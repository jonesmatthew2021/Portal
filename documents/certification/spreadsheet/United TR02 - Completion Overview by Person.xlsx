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hidePivotFieldList="1" defaultThemeVersion="202300"/>
  <mc:AlternateContent xmlns:mc="http://schemas.openxmlformats.org/markup-compatibility/2006">
    <mc:Choice Requires="x15">
      <x15ac:absPath xmlns:x15ac="http://schemas.microsoft.com/office/spreadsheetml/2010/11/ac" url="C:\Users\KadriHaan\Desktop\United\Reports 17 08 2026\"/>
    </mc:Choice>
  </mc:AlternateContent>
  <xr:revisionPtr revIDLastSave="0" documentId="8_{AB057061-D539-4010-A726-AC5CA48D9DEA}" xr6:coauthVersionLast="47" xr6:coauthVersionMax="47" xr10:uidLastSave="{00000000-0000-0000-0000-000000000000}"/>
  <bookViews>
    <workbookView xWindow="-120" yWindow="-120" windowWidth="29040" windowHeight="15720" xr2:uid="{00000000-000D-0000-FFFF-FFFF00000000}"/>
  </bookViews>
  <sheets>
    <sheet name="Summary" sheetId="4" r:id="rId1"/>
    <sheet name="List" sheetId="5" r:id="rId2"/>
    <sheet name="Data" sheetId="1" r:id="rId3"/>
    <sheet name="Helpers" sheetId="2" r:id="rId4"/>
  </sheets>
  <definedNames>
    <definedName name="ExternalData_1" localSheetId="1" hidden="1">List!$A$1:$L$1194</definedName>
    <definedName name="Slicer_Competency_Groups">#N/A</definedName>
    <definedName name="Slicer_Employer">#N/A</definedName>
    <definedName name="Slicer_Requirement_Level">#N/A</definedName>
    <definedName name="Slicer_StatusNameKey">#N/A</definedName>
  </definedNames>
  <calcPr calcId="191029" refMode="R1C1" iterateCount="0" calcOnSave="0" concurrentCalc="0"/>
  <pivotCaches>
    <pivotCache cacheId="12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 l="1"/>
  <c r="P6" i="1"/>
  <c r="N7" i="1"/>
  <c r="P7" i="1"/>
  <c r="N8" i="1"/>
  <c r="P8" i="1"/>
  <c r="N9" i="1"/>
  <c r="P9" i="1"/>
  <c r="N10" i="1"/>
  <c r="P10" i="1"/>
  <c r="N11" i="1"/>
  <c r="P11" i="1"/>
  <c r="N12" i="1"/>
  <c r="P12" i="1"/>
  <c r="N13" i="1"/>
  <c r="P13" i="1"/>
  <c r="N14" i="1"/>
  <c r="P14" i="1"/>
  <c r="N15" i="1"/>
  <c r="P15" i="1"/>
  <c r="N16" i="1"/>
  <c r="P16" i="1"/>
  <c r="N17" i="1"/>
  <c r="P17" i="1"/>
  <c r="N18" i="1"/>
  <c r="P18" i="1"/>
  <c r="N19" i="1"/>
  <c r="P19" i="1"/>
  <c r="N20" i="1"/>
  <c r="P20" i="1"/>
  <c r="N21" i="1"/>
  <c r="P21" i="1"/>
  <c r="N22" i="1"/>
  <c r="P22" i="1"/>
  <c r="N23" i="1"/>
  <c r="P23" i="1"/>
  <c r="N24" i="1"/>
  <c r="P24" i="1"/>
  <c r="N25" i="1"/>
  <c r="P25" i="1"/>
  <c r="N26" i="1"/>
  <c r="P26" i="1"/>
  <c r="N27" i="1"/>
  <c r="P27" i="1"/>
  <c r="N28" i="1"/>
  <c r="P28" i="1"/>
  <c r="N29" i="1"/>
  <c r="P29" i="1"/>
  <c r="N30" i="1"/>
  <c r="P30" i="1"/>
  <c r="N31" i="1"/>
  <c r="P31" i="1"/>
  <c r="N32" i="1"/>
  <c r="P32" i="1"/>
  <c r="N33" i="1"/>
  <c r="P33" i="1"/>
  <c r="N34" i="1"/>
  <c r="P34" i="1"/>
  <c r="N35" i="1"/>
  <c r="P35" i="1"/>
  <c r="N36" i="1"/>
  <c r="P36" i="1"/>
  <c r="N37" i="1"/>
  <c r="P37" i="1"/>
  <c r="N38" i="1"/>
  <c r="P38" i="1"/>
  <c r="N39" i="1"/>
  <c r="P39" i="1"/>
  <c r="N40" i="1"/>
  <c r="P40" i="1"/>
  <c r="N41" i="1"/>
  <c r="P41" i="1"/>
  <c r="N42" i="1"/>
  <c r="P42" i="1"/>
  <c r="N43" i="1"/>
  <c r="P43" i="1"/>
  <c r="N44" i="1"/>
  <c r="P44" i="1"/>
  <c r="N45" i="1"/>
  <c r="P45" i="1"/>
  <c r="N46" i="1"/>
  <c r="P46" i="1"/>
  <c r="N47" i="1"/>
  <c r="P47" i="1"/>
  <c r="N48" i="1"/>
  <c r="P48" i="1"/>
  <c r="N49" i="1"/>
  <c r="P49" i="1"/>
  <c r="N50" i="1"/>
  <c r="P50" i="1"/>
  <c r="N51" i="1"/>
  <c r="P51" i="1"/>
  <c r="N52" i="1"/>
  <c r="P52" i="1"/>
  <c r="N53" i="1"/>
  <c r="P53" i="1"/>
  <c r="N54" i="1"/>
  <c r="P54" i="1"/>
  <c r="N55" i="1"/>
  <c r="P55" i="1"/>
  <c r="N56" i="1"/>
  <c r="P56" i="1"/>
  <c r="N57" i="1"/>
  <c r="P57" i="1"/>
  <c r="N58" i="1"/>
  <c r="P58" i="1"/>
  <c r="N59" i="1"/>
  <c r="P59" i="1"/>
  <c r="N60" i="1"/>
  <c r="P60" i="1"/>
  <c r="N61" i="1"/>
  <c r="P61" i="1"/>
  <c r="N62" i="1"/>
  <c r="P62" i="1"/>
  <c r="N63" i="1"/>
  <c r="P63" i="1"/>
  <c r="N64" i="1"/>
  <c r="P64" i="1"/>
  <c r="N65" i="1"/>
  <c r="P65" i="1"/>
  <c r="N66" i="1"/>
  <c r="P66" i="1"/>
  <c r="N67" i="1"/>
  <c r="P67" i="1"/>
  <c r="N68" i="1"/>
  <c r="P68" i="1"/>
  <c r="N69" i="1"/>
  <c r="P69" i="1"/>
  <c r="N70" i="1"/>
  <c r="P70" i="1"/>
  <c r="N71" i="1"/>
  <c r="P71" i="1"/>
  <c r="N72" i="1"/>
  <c r="P72" i="1"/>
  <c r="N73" i="1"/>
  <c r="P73" i="1"/>
  <c r="N74" i="1"/>
  <c r="P74" i="1"/>
  <c r="N75" i="1"/>
  <c r="P75" i="1"/>
  <c r="N76" i="1"/>
  <c r="P76" i="1"/>
  <c r="N77" i="1"/>
  <c r="P77" i="1"/>
  <c r="N78" i="1"/>
  <c r="P78" i="1"/>
  <c r="N79" i="1"/>
  <c r="P79" i="1"/>
  <c r="N80" i="1"/>
  <c r="P80" i="1"/>
  <c r="N81" i="1"/>
  <c r="P81" i="1"/>
  <c r="N82" i="1"/>
  <c r="P82" i="1"/>
  <c r="N83" i="1"/>
  <c r="P83" i="1"/>
  <c r="N84" i="1"/>
  <c r="P84" i="1"/>
  <c r="N85" i="1"/>
  <c r="P85" i="1"/>
  <c r="N86" i="1"/>
  <c r="P86" i="1"/>
  <c r="N87" i="1"/>
  <c r="P87" i="1"/>
  <c r="N88" i="1"/>
  <c r="P88" i="1"/>
  <c r="N89" i="1"/>
  <c r="P89" i="1"/>
  <c r="N90" i="1"/>
  <c r="P90" i="1"/>
  <c r="N91" i="1"/>
  <c r="P91" i="1"/>
  <c r="N92" i="1"/>
  <c r="P92" i="1"/>
  <c r="N93" i="1"/>
  <c r="P93" i="1"/>
  <c r="N94" i="1"/>
  <c r="P94" i="1"/>
  <c r="N95" i="1"/>
  <c r="P95" i="1"/>
  <c r="N96" i="1"/>
  <c r="P96" i="1"/>
  <c r="N97" i="1"/>
  <c r="P97" i="1"/>
  <c r="N98" i="1"/>
  <c r="P98" i="1"/>
  <c r="N99" i="1"/>
  <c r="P99" i="1"/>
  <c r="N100" i="1"/>
  <c r="P100" i="1"/>
  <c r="N101" i="1"/>
  <c r="P101" i="1"/>
  <c r="N102" i="1"/>
  <c r="P102" i="1"/>
  <c r="N103" i="1"/>
  <c r="P103" i="1"/>
  <c r="N104" i="1"/>
  <c r="P104" i="1"/>
  <c r="N105" i="1"/>
  <c r="P105" i="1"/>
  <c r="N106" i="1"/>
  <c r="P106" i="1"/>
  <c r="N107" i="1"/>
  <c r="P107" i="1"/>
  <c r="N108" i="1"/>
  <c r="P108" i="1"/>
  <c r="N109" i="1"/>
  <c r="P109" i="1"/>
  <c r="N110" i="1"/>
  <c r="P110" i="1"/>
  <c r="N111" i="1"/>
  <c r="P111" i="1"/>
  <c r="N112" i="1"/>
  <c r="P112" i="1"/>
  <c r="N113" i="1"/>
  <c r="P113" i="1"/>
  <c r="N114" i="1"/>
  <c r="P114" i="1"/>
  <c r="N115" i="1"/>
  <c r="P115" i="1"/>
  <c r="N116" i="1"/>
  <c r="P116" i="1"/>
  <c r="N117" i="1"/>
  <c r="P117" i="1"/>
  <c r="N118" i="1"/>
  <c r="P118" i="1"/>
  <c r="N119" i="1"/>
  <c r="P119" i="1"/>
  <c r="N120" i="1"/>
  <c r="P120" i="1"/>
  <c r="N121" i="1"/>
  <c r="P121" i="1"/>
  <c r="N122" i="1"/>
  <c r="P122" i="1"/>
  <c r="N123" i="1"/>
  <c r="P123" i="1"/>
  <c r="N124" i="1"/>
  <c r="P124" i="1"/>
  <c r="N125" i="1"/>
  <c r="P125" i="1"/>
  <c r="N126" i="1"/>
  <c r="P126" i="1"/>
  <c r="N127" i="1"/>
  <c r="P127" i="1"/>
  <c r="N128" i="1"/>
  <c r="P128" i="1"/>
  <c r="N129" i="1"/>
  <c r="P129" i="1"/>
  <c r="N130" i="1"/>
  <c r="P130" i="1"/>
  <c r="N131" i="1"/>
  <c r="P131" i="1"/>
  <c r="N132" i="1"/>
  <c r="P132" i="1"/>
  <c r="N133" i="1"/>
  <c r="P133" i="1"/>
  <c r="N134" i="1"/>
  <c r="P134" i="1"/>
  <c r="N135" i="1"/>
  <c r="P135" i="1"/>
  <c r="N136" i="1"/>
  <c r="P136" i="1"/>
  <c r="N137" i="1"/>
  <c r="P137" i="1"/>
  <c r="N138" i="1"/>
  <c r="P138" i="1"/>
  <c r="N139" i="1"/>
  <c r="P139" i="1"/>
  <c r="N140" i="1"/>
  <c r="P140" i="1"/>
  <c r="N141" i="1"/>
  <c r="P141" i="1"/>
  <c r="N142" i="1"/>
  <c r="P142" i="1"/>
  <c r="N143" i="1"/>
  <c r="P143" i="1"/>
  <c r="N144" i="1"/>
  <c r="P144" i="1"/>
  <c r="N145" i="1"/>
  <c r="P145" i="1"/>
  <c r="N146" i="1"/>
  <c r="P146" i="1"/>
  <c r="N147" i="1"/>
  <c r="P147" i="1"/>
  <c r="N148" i="1"/>
  <c r="P148" i="1"/>
  <c r="N149" i="1"/>
  <c r="P149" i="1"/>
  <c r="N150" i="1"/>
  <c r="P150" i="1"/>
  <c r="N151" i="1"/>
  <c r="P151" i="1"/>
  <c r="N152" i="1"/>
  <c r="P152" i="1"/>
  <c r="N153" i="1"/>
  <c r="P153" i="1"/>
  <c r="N154" i="1"/>
  <c r="P154" i="1"/>
  <c r="N155" i="1"/>
  <c r="P155" i="1"/>
  <c r="N156" i="1"/>
  <c r="P156" i="1"/>
  <c r="N157" i="1"/>
  <c r="P157" i="1"/>
  <c r="N158" i="1"/>
  <c r="P158" i="1"/>
  <c r="N159" i="1"/>
  <c r="P159" i="1"/>
  <c r="N160" i="1"/>
  <c r="P160" i="1"/>
  <c r="N161" i="1"/>
  <c r="P161" i="1"/>
  <c r="N162" i="1"/>
  <c r="P162" i="1"/>
  <c r="N163" i="1"/>
  <c r="P163" i="1"/>
  <c r="N164" i="1"/>
  <c r="P164" i="1"/>
  <c r="N165" i="1"/>
  <c r="P165" i="1"/>
  <c r="N166" i="1"/>
  <c r="P166" i="1"/>
  <c r="N167" i="1"/>
  <c r="P167" i="1"/>
  <c r="N168" i="1"/>
  <c r="P168" i="1"/>
  <c r="N169" i="1"/>
  <c r="P169" i="1"/>
  <c r="N170" i="1"/>
  <c r="P170" i="1"/>
  <c r="N171" i="1"/>
  <c r="P171" i="1"/>
  <c r="N172" i="1"/>
  <c r="P172" i="1"/>
  <c r="N173" i="1"/>
  <c r="P173" i="1"/>
  <c r="N174" i="1"/>
  <c r="P174" i="1"/>
  <c r="N175" i="1"/>
  <c r="P175" i="1"/>
  <c r="N176" i="1"/>
  <c r="P176" i="1"/>
  <c r="N177" i="1"/>
  <c r="P177" i="1"/>
  <c r="N178" i="1"/>
  <c r="P178" i="1"/>
  <c r="N179" i="1"/>
  <c r="P179" i="1"/>
  <c r="N180" i="1"/>
  <c r="P180" i="1"/>
  <c r="N181" i="1"/>
  <c r="P181" i="1"/>
  <c r="N182" i="1"/>
  <c r="P182" i="1"/>
  <c r="N183" i="1"/>
  <c r="P183" i="1"/>
  <c r="N184" i="1"/>
  <c r="P184" i="1"/>
  <c r="N185" i="1"/>
  <c r="P185" i="1"/>
  <c r="N186" i="1"/>
  <c r="P186" i="1"/>
  <c r="N187" i="1"/>
  <c r="P187" i="1"/>
  <c r="N188" i="1"/>
  <c r="P188" i="1"/>
  <c r="N189" i="1"/>
  <c r="P189" i="1"/>
  <c r="N190" i="1"/>
  <c r="P190" i="1"/>
  <c r="N191" i="1"/>
  <c r="P191" i="1"/>
  <c r="N192" i="1"/>
  <c r="P192" i="1"/>
  <c r="N193" i="1"/>
  <c r="P193" i="1"/>
  <c r="N194" i="1"/>
  <c r="P194" i="1"/>
  <c r="N195" i="1"/>
  <c r="P195" i="1"/>
  <c r="N196" i="1"/>
  <c r="P196" i="1"/>
  <c r="N197" i="1"/>
  <c r="P197" i="1"/>
  <c r="N198" i="1"/>
  <c r="P198" i="1"/>
  <c r="N199" i="1"/>
  <c r="P199" i="1"/>
  <c r="N200" i="1"/>
  <c r="P200" i="1"/>
  <c r="N201" i="1"/>
  <c r="P201" i="1"/>
  <c r="N202" i="1"/>
  <c r="P202" i="1"/>
  <c r="N203" i="1"/>
  <c r="P203" i="1"/>
  <c r="N204" i="1"/>
  <c r="P204" i="1"/>
  <c r="N205" i="1"/>
  <c r="P205" i="1"/>
  <c r="N206" i="1"/>
  <c r="P206" i="1"/>
  <c r="N207" i="1"/>
  <c r="P207" i="1"/>
  <c r="N208" i="1"/>
  <c r="P208" i="1"/>
  <c r="N209" i="1"/>
  <c r="P209" i="1"/>
  <c r="N210" i="1"/>
  <c r="P210" i="1"/>
  <c r="N211" i="1"/>
  <c r="P211" i="1"/>
  <c r="N212" i="1"/>
  <c r="P212" i="1"/>
  <c r="N213" i="1"/>
  <c r="P213" i="1"/>
  <c r="N214" i="1"/>
  <c r="P214" i="1"/>
  <c r="N215" i="1"/>
  <c r="P215" i="1"/>
  <c r="N216" i="1"/>
  <c r="P216" i="1"/>
  <c r="N217" i="1"/>
  <c r="P217" i="1"/>
  <c r="N218" i="1"/>
  <c r="P218" i="1"/>
  <c r="N219" i="1"/>
  <c r="P219" i="1"/>
  <c r="N220" i="1"/>
  <c r="P220" i="1"/>
  <c r="N221" i="1"/>
  <c r="P221" i="1"/>
  <c r="N222" i="1"/>
  <c r="P222" i="1"/>
  <c r="N223" i="1"/>
  <c r="P223" i="1"/>
  <c r="N224" i="1"/>
  <c r="P224" i="1"/>
  <c r="N225" i="1"/>
  <c r="P225" i="1"/>
  <c r="N226" i="1"/>
  <c r="P226" i="1"/>
  <c r="N227" i="1"/>
  <c r="P227" i="1"/>
  <c r="N228" i="1"/>
  <c r="P228" i="1"/>
  <c r="N229" i="1"/>
  <c r="P229" i="1"/>
  <c r="N230" i="1"/>
  <c r="P230" i="1"/>
  <c r="N231" i="1"/>
  <c r="P231" i="1"/>
  <c r="N232" i="1"/>
  <c r="P232" i="1"/>
  <c r="N233" i="1"/>
  <c r="P233" i="1"/>
  <c r="N234" i="1"/>
  <c r="P234" i="1"/>
  <c r="N235" i="1"/>
  <c r="P235" i="1"/>
  <c r="N236" i="1"/>
  <c r="P236" i="1"/>
  <c r="N237" i="1"/>
  <c r="P237" i="1"/>
  <c r="N238" i="1"/>
  <c r="P238" i="1"/>
  <c r="N239" i="1"/>
  <c r="P239" i="1"/>
  <c r="N240" i="1"/>
  <c r="P240" i="1"/>
  <c r="N241" i="1"/>
  <c r="P241" i="1"/>
  <c r="N242" i="1"/>
  <c r="P242" i="1"/>
  <c r="N243" i="1"/>
  <c r="P243" i="1"/>
  <c r="N244" i="1"/>
  <c r="P244" i="1"/>
  <c r="N245" i="1"/>
  <c r="P245" i="1"/>
  <c r="N246" i="1"/>
  <c r="P246" i="1"/>
  <c r="N247" i="1"/>
  <c r="P247" i="1"/>
  <c r="N248" i="1"/>
  <c r="P248" i="1"/>
  <c r="N249" i="1"/>
  <c r="P249" i="1"/>
  <c r="N250" i="1"/>
  <c r="P250" i="1"/>
  <c r="N251" i="1"/>
  <c r="P251" i="1"/>
  <c r="N252" i="1"/>
  <c r="P252" i="1"/>
  <c r="N253" i="1"/>
  <c r="P253" i="1"/>
  <c r="N254" i="1"/>
  <c r="P254" i="1"/>
  <c r="N255" i="1"/>
  <c r="P255" i="1"/>
  <c r="N256" i="1"/>
  <c r="P256" i="1"/>
  <c r="N257" i="1"/>
  <c r="P257" i="1"/>
  <c r="N258" i="1"/>
  <c r="P258" i="1"/>
  <c r="N259" i="1"/>
  <c r="P259" i="1"/>
  <c r="N260" i="1"/>
  <c r="P260" i="1"/>
  <c r="N261" i="1"/>
  <c r="P261" i="1"/>
  <c r="N262" i="1"/>
  <c r="P262" i="1"/>
  <c r="N263" i="1"/>
  <c r="P263" i="1"/>
  <c r="N264" i="1"/>
  <c r="P264" i="1"/>
  <c r="N265" i="1"/>
  <c r="P265" i="1"/>
  <c r="N266" i="1"/>
  <c r="P266" i="1"/>
  <c r="N267" i="1"/>
  <c r="P267" i="1"/>
  <c r="N268" i="1"/>
  <c r="P268" i="1"/>
  <c r="N269" i="1"/>
  <c r="P269" i="1"/>
  <c r="N270" i="1"/>
  <c r="P270" i="1"/>
  <c r="N271" i="1"/>
  <c r="P271" i="1"/>
  <c r="N272" i="1"/>
  <c r="P272" i="1"/>
  <c r="N273" i="1"/>
  <c r="P273" i="1"/>
  <c r="N274" i="1"/>
  <c r="P274" i="1"/>
  <c r="N275" i="1"/>
  <c r="P275" i="1"/>
  <c r="N276" i="1"/>
  <c r="P276" i="1"/>
  <c r="N277" i="1"/>
  <c r="P277" i="1"/>
  <c r="N278" i="1"/>
  <c r="P278" i="1"/>
  <c r="N279" i="1"/>
  <c r="P279" i="1"/>
  <c r="N280" i="1"/>
  <c r="P280" i="1"/>
  <c r="N281" i="1"/>
  <c r="P281" i="1"/>
  <c r="N282" i="1"/>
  <c r="P282" i="1"/>
  <c r="N283" i="1"/>
  <c r="P283" i="1"/>
  <c r="N284" i="1"/>
  <c r="P284" i="1"/>
  <c r="N285" i="1"/>
  <c r="P285" i="1"/>
  <c r="N286" i="1"/>
  <c r="P286" i="1"/>
  <c r="N287" i="1"/>
  <c r="P287" i="1"/>
  <c r="N288" i="1"/>
  <c r="P288" i="1"/>
  <c r="N289" i="1"/>
  <c r="P289" i="1"/>
  <c r="N290" i="1"/>
  <c r="P290" i="1"/>
  <c r="N291" i="1"/>
  <c r="P291" i="1"/>
  <c r="N292" i="1"/>
  <c r="P292" i="1"/>
  <c r="N293" i="1"/>
  <c r="P293" i="1"/>
  <c r="N294" i="1"/>
  <c r="P294" i="1"/>
  <c r="N295" i="1"/>
  <c r="P295" i="1"/>
  <c r="N296" i="1"/>
  <c r="P296" i="1"/>
  <c r="N297" i="1"/>
  <c r="P297" i="1"/>
  <c r="N298" i="1"/>
  <c r="P298" i="1"/>
  <c r="N299" i="1"/>
  <c r="P299" i="1"/>
  <c r="N300" i="1"/>
  <c r="P300" i="1"/>
  <c r="N301" i="1"/>
  <c r="P301" i="1"/>
  <c r="N302" i="1"/>
  <c r="P302" i="1"/>
  <c r="N303" i="1"/>
  <c r="P303" i="1"/>
  <c r="N304" i="1"/>
  <c r="P304" i="1"/>
  <c r="N305" i="1"/>
  <c r="P305" i="1"/>
  <c r="N306" i="1"/>
  <c r="P306" i="1"/>
  <c r="N307" i="1"/>
  <c r="P307" i="1"/>
  <c r="N308" i="1"/>
  <c r="P308" i="1"/>
  <c r="N309" i="1"/>
  <c r="P309" i="1"/>
  <c r="N310" i="1"/>
  <c r="P310" i="1"/>
  <c r="N311" i="1"/>
  <c r="P311" i="1"/>
  <c r="N312" i="1"/>
  <c r="P312" i="1"/>
  <c r="N313" i="1"/>
  <c r="P313" i="1"/>
  <c r="N314" i="1"/>
  <c r="P314" i="1"/>
  <c r="N315" i="1"/>
  <c r="P315" i="1"/>
  <c r="N316" i="1"/>
  <c r="P316" i="1"/>
  <c r="N317" i="1"/>
  <c r="P317" i="1"/>
  <c r="N318" i="1"/>
  <c r="P318" i="1"/>
  <c r="N319" i="1"/>
  <c r="P319" i="1"/>
  <c r="N320" i="1"/>
  <c r="P320" i="1"/>
  <c r="N321" i="1"/>
  <c r="P321" i="1"/>
  <c r="N322" i="1"/>
  <c r="P322" i="1"/>
  <c r="N323" i="1"/>
  <c r="P323" i="1"/>
  <c r="N324" i="1"/>
  <c r="P324" i="1"/>
  <c r="N325" i="1"/>
  <c r="P325" i="1"/>
  <c r="N326" i="1"/>
  <c r="P326" i="1"/>
  <c r="N327" i="1"/>
  <c r="P327" i="1"/>
  <c r="N328" i="1"/>
  <c r="P328" i="1"/>
  <c r="N329" i="1"/>
  <c r="P329" i="1"/>
  <c r="N330" i="1"/>
  <c r="P330" i="1"/>
  <c r="N331" i="1"/>
  <c r="P331" i="1"/>
  <c r="N332" i="1"/>
  <c r="P332" i="1"/>
  <c r="N333" i="1"/>
  <c r="P333" i="1"/>
  <c r="N334" i="1"/>
  <c r="P334" i="1"/>
  <c r="N335" i="1"/>
  <c r="P335" i="1"/>
  <c r="N336" i="1"/>
  <c r="P336" i="1"/>
  <c r="N337" i="1"/>
  <c r="P337" i="1"/>
  <c r="N338" i="1"/>
  <c r="P338" i="1"/>
  <c r="N339" i="1"/>
  <c r="P339" i="1"/>
  <c r="N340" i="1"/>
  <c r="P340" i="1"/>
  <c r="N341" i="1"/>
  <c r="P341" i="1"/>
  <c r="N342" i="1"/>
  <c r="P342" i="1"/>
  <c r="N343" i="1"/>
  <c r="P343" i="1"/>
  <c r="N344" i="1"/>
  <c r="P344" i="1"/>
  <c r="N345" i="1"/>
  <c r="P345" i="1"/>
  <c r="N346" i="1"/>
  <c r="P346" i="1"/>
  <c r="N347" i="1"/>
  <c r="P347" i="1"/>
  <c r="N348" i="1"/>
  <c r="P348" i="1"/>
  <c r="N349" i="1"/>
  <c r="P349" i="1"/>
  <c r="N350" i="1"/>
  <c r="P350" i="1"/>
  <c r="N351" i="1"/>
  <c r="P351" i="1"/>
  <c r="N352" i="1"/>
  <c r="P352" i="1"/>
  <c r="N353" i="1"/>
  <c r="P353" i="1"/>
  <c r="N354" i="1"/>
  <c r="P354" i="1"/>
  <c r="N355" i="1"/>
  <c r="P355" i="1"/>
  <c r="N356" i="1"/>
  <c r="P356" i="1"/>
  <c r="N357" i="1"/>
  <c r="P357" i="1"/>
  <c r="N358" i="1"/>
  <c r="P358" i="1"/>
  <c r="N359" i="1"/>
  <c r="P359" i="1"/>
  <c r="N360" i="1"/>
  <c r="P360" i="1"/>
  <c r="N361" i="1"/>
  <c r="P361" i="1"/>
  <c r="N362" i="1"/>
  <c r="P362" i="1"/>
  <c r="N363" i="1"/>
  <c r="P363" i="1"/>
  <c r="N364" i="1"/>
  <c r="P364" i="1"/>
  <c r="N365" i="1"/>
  <c r="P365" i="1"/>
  <c r="N366" i="1"/>
  <c r="P366" i="1"/>
  <c r="N367" i="1"/>
  <c r="P367" i="1"/>
  <c r="N368" i="1"/>
  <c r="P368" i="1"/>
  <c r="N369" i="1"/>
  <c r="P369" i="1"/>
  <c r="N370" i="1"/>
  <c r="P370" i="1"/>
  <c r="N371" i="1"/>
  <c r="P371" i="1"/>
  <c r="N372" i="1"/>
  <c r="P372" i="1"/>
  <c r="N373" i="1"/>
  <c r="P373" i="1"/>
  <c r="N374" i="1"/>
  <c r="P374" i="1"/>
  <c r="N375" i="1"/>
  <c r="P375" i="1"/>
  <c r="N376" i="1"/>
  <c r="P376" i="1"/>
  <c r="N377" i="1"/>
  <c r="P377" i="1"/>
  <c r="N378" i="1"/>
  <c r="P378" i="1"/>
  <c r="N379" i="1"/>
  <c r="P379" i="1"/>
  <c r="N380" i="1"/>
  <c r="P380" i="1"/>
  <c r="N381" i="1"/>
  <c r="P381" i="1"/>
  <c r="N382" i="1"/>
  <c r="P382" i="1"/>
  <c r="N383" i="1"/>
  <c r="P383" i="1"/>
  <c r="N384" i="1"/>
  <c r="P384" i="1"/>
  <c r="N385" i="1"/>
  <c r="P385" i="1"/>
  <c r="N386" i="1"/>
  <c r="P386" i="1"/>
  <c r="N387" i="1"/>
  <c r="P387" i="1"/>
  <c r="N388" i="1"/>
  <c r="P388" i="1"/>
  <c r="N389" i="1"/>
  <c r="P389" i="1"/>
  <c r="N390" i="1"/>
  <c r="P390" i="1"/>
  <c r="N391" i="1"/>
  <c r="P391" i="1"/>
  <c r="N392" i="1"/>
  <c r="P392" i="1"/>
  <c r="N393" i="1"/>
  <c r="P393" i="1"/>
  <c r="N394" i="1"/>
  <c r="P394" i="1"/>
  <c r="N395" i="1"/>
  <c r="P395" i="1"/>
  <c r="N396" i="1"/>
  <c r="P396" i="1"/>
  <c r="N397" i="1"/>
  <c r="P397" i="1"/>
  <c r="N398" i="1"/>
  <c r="P398" i="1"/>
  <c r="N399" i="1"/>
  <c r="P399" i="1"/>
  <c r="N400" i="1"/>
  <c r="P400" i="1"/>
  <c r="N401" i="1"/>
  <c r="P401" i="1"/>
  <c r="N402" i="1"/>
  <c r="P402" i="1"/>
  <c r="N403" i="1"/>
  <c r="P403" i="1"/>
  <c r="N404" i="1"/>
  <c r="P404" i="1"/>
  <c r="N405" i="1"/>
  <c r="P405" i="1"/>
  <c r="N406" i="1"/>
  <c r="P406" i="1"/>
  <c r="N407" i="1"/>
  <c r="P407" i="1"/>
  <c r="N408" i="1"/>
  <c r="P408" i="1"/>
  <c r="N409" i="1"/>
  <c r="P409" i="1"/>
  <c r="N410" i="1"/>
  <c r="P410" i="1"/>
  <c r="N411" i="1"/>
  <c r="P411" i="1"/>
  <c r="N412" i="1"/>
  <c r="P412" i="1"/>
  <c r="N413" i="1"/>
  <c r="P413" i="1"/>
  <c r="N414" i="1"/>
  <c r="P414" i="1"/>
  <c r="N415" i="1"/>
  <c r="P415" i="1"/>
  <c r="N416" i="1"/>
  <c r="P416" i="1"/>
  <c r="N417" i="1"/>
  <c r="P417" i="1"/>
  <c r="N418" i="1"/>
  <c r="P418" i="1"/>
  <c r="N419" i="1"/>
  <c r="P419" i="1"/>
  <c r="N420" i="1"/>
  <c r="P420" i="1"/>
  <c r="N421" i="1"/>
  <c r="P421" i="1"/>
  <c r="N422" i="1"/>
  <c r="P422" i="1"/>
  <c r="N423" i="1"/>
  <c r="P423" i="1"/>
  <c r="N424" i="1"/>
  <c r="P424" i="1"/>
  <c r="N425" i="1"/>
  <c r="P425" i="1"/>
  <c r="N426" i="1"/>
  <c r="P426" i="1"/>
  <c r="N427" i="1"/>
  <c r="P427" i="1"/>
  <c r="N428" i="1"/>
  <c r="P428" i="1"/>
  <c r="N429" i="1"/>
  <c r="P429" i="1"/>
  <c r="N430" i="1"/>
  <c r="P430" i="1"/>
  <c r="N431" i="1"/>
  <c r="P431" i="1"/>
  <c r="N432" i="1"/>
  <c r="P432" i="1"/>
  <c r="N433" i="1"/>
  <c r="P433" i="1"/>
  <c r="N434" i="1"/>
  <c r="P434" i="1"/>
  <c r="N435" i="1"/>
  <c r="P435" i="1"/>
  <c r="N436" i="1"/>
  <c r="P436" i="1"/>
  <c r="N437" i="1"/>
  <c r="P437" i="1"/>
  <c r="N438" i="1"/>
  <c r="P438" i="1"/>
  <c r="N439" i="1"/>
  <c r="P439" i="1"/>
  <c r="N440" i="1"/>
  <c r="P440" i="1"/>
  <c r="N441" i="1"/>
  <c r="P441" i="1"/>
  <c r="N442" i="1"/>
  <c r="P442" i="1"/>
  <c r="N443" i="1"/>
  <c r="P443" i="1"/>
  <c r="N444" i="1"/>
  <c r="P444" i="1"/>
  <c r="N445" i="1"/>
  <c r="P445" i="1"/>
  <c r="N446" i="1"/>
  <c r="P446" i="1"/>
  <c r="N447" i="1"/>
  <c r="P447" i="1"/>
  <c r="N448" i="1"/>
  <c r="P448" i="1"/>
  <c r="N449" i="1"/>
  <c r="P449" i="1"/>
  <c r="N450" i="1"/>
  <c r="P450" i="1"/>
  <c r="N451" i="1"/>
  <c r="P451" i="1"/>
  <c r="N452" i="1"/>
  <c r="P452" i="1"/>
  <c r="N453" i="1"/>
  <c r="P453" i="1"/>
  <c r="N454" i="1"/>
  <c r="P454" i="1"/>
  <c r="N455" i="1"/>
  <c r="P455" i="1"/>
  <c r="N456" i="1"/>
  <c r="P456" i="1"/>
  <c r="N457" i="1"/>
  <c r="P457" i="1"/>
  <c r="N458" i="1"/>
  <c r="P458" i="1"/>
  <c r="N459" i="1"/>
  <c r="P459" i="1"/>
  <c r="N460" i="1"/>
  <c r="P460" i="1"/>
  <c r="N461" i="1"/>
  <c r="P461" i="1"/>
  <c r="N462" i="1"/>
  <c r="P462" i="1"/>
  <c r="N463" i="1"/>
  <c r="P463" i="1"/>
  <c r="N464" i="1"/>
  <c r="P464" i="1"/>
  <c r="N465" i="1"/>
  <c r="P465" i="1"/>
  <c r="N466" i="1"/>
  <c r="P466" i="1"/>
  <c r="N467" i="1"/>
  <c r="P467" i="1"/>
  <c r="N468" i="1"/>
  <c r="P468" i="1"/>
  <c r="N469" i="1"/>
  <c r="P469" i="1"/>
  <c r="N470" i="1"/>
  <c r="P470" i="1"/>
  <c r="N471" i="1"/>
  <c r="P471" i="1"/>
  <c r="N472" i="1"/>
  <c r="P472" i="1"/>
  <c r="N473" i="1"/>
  <c r="P473" i="1"/>
  <c r="N474" i="1"/>
  <c r="P474" i="1"/>
  <c r="N475" i="1"/>
  <c r="P475" i="1"/>
  <c r="N476" i="1"/>
  <c r="P476" i="1"/>
  <c r="N477" i="1"/>
  <c r="P477" i="1"/>
  <c r="N478" i="1"/>
  <c r="P478" i="1"/>
  <c r="N479" i="1"/>
  <c r="P479" i="1"/>
  <c r="N480" i="1"/>
  <c r="P480" i="1"/>
  <c r="N481" i="1"/>
  <c r="P481" i="1"/>
  <c r="N482" i="1"/>
  <c r="P482" i="1"/>
  <c r="N483" i="1"/>
  <c r="P483" i="1"/>
  <c r="N484" i="1"/>
  <c r="P484" i="1"/>
  <c r="N485" i="1"/>
  <c r="P485" i="1"/>
  <c r="N486" i="1"/>
  <c r="P486" i="1"/>
  <c r="N487" i="1"/>
  <c r="P487" i="1"/>
  <c r="N488" i="1"/>
  <c r="P488" i="1"/>
  <c r="N489" i="1"/>
  <c r="P489" i="1"/>
  <c r="N490" i="1"/>
  <c r="P490" i="1"/>
  <c r="N491" i="1"/>
  <c r="P491" i="1"/>
  <c r="N492" i="1"/>
  <c r="P492" i="1"/>
  <c r="N493" i="1"/>
  <c r="P493" i="1"/>
  <c r="N494" i="1"/>
  <c r="P494" i="1"/>
  <c r="N495" i="1"/>
  <c r="P495" i="1"/>
  <c r="N496" i="1"/>
  <c r="P496" i="1"/>
  <c r="N497" i="1"/>
  <c r="P497" i="1"/>
  <c r="N498" i="1"/>
  <c r="P498" i="1"/>
  <c r="N499" i="1"/>
  <c r="P499" i="1"/>
  <c r="N500" i="1"/>
  <c r="P500" i="1"/>
  <c r="N501" i="1"/>
  <c r="P501" i="1"/>
  <c r="N502" i="1"/>
  <c r="P502" i="1"/>
  <c r="N503" i="1"/>
  <c r="P503" i="1"/>
  <c r="N504" i="1"/>
  <c r="P504" i="1"/>
  <c r="N505" i="1"/>
  <c r="P505" i="1"/>
  <c r="N506" i="1"/>
  <c r="P506" i="1"/>
  <c r="N507" i="1"/>
  <c r="P507" i="1"/>
  <c r="N508" i="1"/>
  <c r="P508" i="1"/>
  <c r="N509" i="1"/>
  <c r="P509" i="1"/>
  <c r="N510" i="1"/>
  <c r="P510" i="1"/>
  <c r="N511" i="1"/>
  <c r="P511" i="1"/>
  <c r="N512" i="1"/>
  <c r="P512" i="1"/>
  <c r="N513" i="1"/>
  <c r="P513" i="1"/>
  <c r="N514" i="1"/>
  <c r="P514" i="1"/>
  <c r="N515" i="1"/>
  <c r="P515" i="1"/>
  <c r="N516" i="1"/>
  <c r="P516" i="1"/>
  <c r="N517" i="1"/>
  <c r="P517" i="1"/>
  <c r="N518" i="1"/>
  <c r="P518" i="1"/>
  <c r="N519" i="1"/>
  <c r="P519" i="1"/>
  <c r="N520" i="1"/>
  <c r="P520" i="1"/>
  <c r="N521" i="1"/>
  <c r="P521" i="1"/>
  <c r="N522" i="1"/>
  <c r="P522" i="1"/>
  <c r="N523" i="1"/>
  <c r="P523" i="1"/>
  <c r="N524" i="1"/>
  <c r="P524" i="1"/>
  <c r="N525" i="1"/>
  <c r="P525" i="1"/>
  <c r="N526" i="1"/>
  <c r="P526" i="1"/>
  <c r="N527" i="1"/>
  <c r="P527" i="1"/>
  <c r="N528" i="1"/>
  <c r="P528" i="1"/>
  <c r="N529" i="1"/>
  <c r="P529" i="1"/>
  <c r="N530" i="1"/>
  <c r="P530" i="1"/>
  <c r="N531" i="1"/>
  <c r="P531" i="1"/>
  <c r="N532" i="1"/>
  <c r="P532" i="1"/>
  <c r="N533" i="1"/>
  <c r="P533" i="1"/>
  <c r="N534" i="1"/>
  <c r="P534" i="1"/>
  <c r="N535" i="1"/>
  <c r="P535" i="1"/>
  <c r="N536" i="1"/>
  <c r="P536" i="1"/>
  <c r="N537" i="1"/>
  <c r="P537" i="1"/>
  <c r="N538" i="1"/>
  <c r="P538" i="1"/>
  <c r="N539" i="1"/>
  <c r="P539" i="1"/>
  <c r="N540" i="1"/>
  <c r="P540" i="1"/>
  <c r="N541" i="1"/>
  <c r="P541" i="1"/>
  <c r="N542" i="1"/>
  <c r="P542" i="1"/>
  <c r="N543" i="1"/>
  <c r="P543" i="1"/>
  <c r="N544" i="1"/>
  <c r="P544" i="1"/>
  <c r="N545" i="1"/>
  <c r="P545" i="1"/>
  <c r="N546" i="1"/>
  <c r="P546" i="1"/>
  <c r="N547" i="1"/>
  <c r="P547" i="1"/>
  <c r="N548" i="1"/>
  <c r="P548" i="1"/>
  <c r="N549" i="1"/>
  <c r="P549" i="1"/>
  <c r="N550" i="1"/>
  <c r="P550" i="1"/>
  <c r="N551" i="1"/>
  <c r="P551" i="1"/>
  <c r="N552" i="1"/>
  <c r="P552" i="1"/>
  <c r="N553" i="1"/>
  <c r="P553" i="1"/>
  <c r="N554" i="1"/>
  <c r="P554" i="1"/>
  <c r="N555" i="1"/>
  <c r="P555" i="1"/>
  <c r="N556" i="1"/>
  <c r="P556" i="1"/>
  <c r="N557" i="1"/>
  <c r="P557" i="1"/>
  <c r="N558" i="1"/>
  <c r="P558" i="1"/>
  <c r="N559" i="1"/>
  <c r="P559" i="1"/>
  <c r="N560" i="1"/>
  <c r="P560" i="1"/>
  <c r="N561" i="1"/>
  <c r="P561" i="1"/>
  <c r="N562" i="1"/>
  <c r="P562" i="1"/>
  <c r="N563" i="1"/>
  <c r="P563" i="1"/>
  <c r="N564" i="1"/>
  <c r="P564" i="1"/>
  <c r="N565" i="1"/>
  <c r="P565" i="1"/>
  <c r="N566" i="1"/>
  <c r="P566" i="1"/>
  <c r="N567" i="1"/>
  <c r="P567" i="1"/>
  <c r="N568" i="1"/>
  <c r="P568" i="1"/>
  <c r="N569" i="1"/>
  <c r="P569" i="1"/>
  <c r="N570" i="1"/>
  <c r="P570" i="1"/>
  <c r="N571" i="1"/>
  <c r="P571" i="1"/>
  <c r="N572" i="1"/>
  <c r="P572" i="1"/>
  <c r="N573" i="1"/>
  <c r="P573" i="1"/>
  <c r="N574" i="1"/>
  <c r="P574" i="1"/>
  <c r="N575" i="1"/>
  <c r="P575" i="1"/>
  <c r="N576" i="1"/>
  <c r="P576" i="1"/>
  <c r="N577" i="1"/>
  <c r="P577" i="1"/>
  <c r="N578" i="1"/>
  <c r="P578" i="1"/>
  <c r="N579" i="1"/>
  <c r="P579" i="1"/>
  <c r="N580" i="1"/>
  <c r="P580" i="1"/>
  <c r="N581" i="1"/>
  <c r="P581" i="1"/>
  <c r="N582" i="1"/>
  <c r="P582" i="1"/>
  <c r="N583" i="1"/>
  <c r="P583" i="1"/>
  <c r="N584" i="1"/>
  <c r="P584" i="1"/>
  <c r="N585" i="1"/>
  <c r="P585" i="1"/>
  <c r="N586" i="1"/>
  <c r="P586" i="1"/>
  <c r="N587" i="1"/>
  <c r="P587" i="1"/>
  <c r="N588" i="1"/>
  <c r="P588" i="1"/>
  <c r="N589" i="1"/>
  <c r="P589" i="1"/>
  <c r="N590" i="1"/>
  <c r="P590" i="1"/>
  <c r="N591" i="1"/>
  <c r="P591" i="1"/>
  <c r="N592" i="1"/>
  <c r="P592" i="1"/>
  <c r="N593" i="1"/>
  <c r="P593" i="1"/>
  <c r="N594" i="1"/>
  <c r="P594" i="1"/>
  <c r="N595" i="1"/>
  <c r="P595" i="1"/>
  <c r="N596" i="1"/>
  <c r="P596" i="1"/>
  <c r="N597" i="1"/>
  <c r="P597" i="1"/>
  <c r="N598" i="1"/>
  <c r="P598" i="1"/>
  <c r="N599" i="1"/>
  <c r="P599" i="1"/>
  <c r="N600" i="1"/>
  <c r="P600" i="1"/>
  <c r="N601" i="1"/>
  <c r="P601" i="1"/>
  <c r="N602" i="1"/>
  <c r="P602" i="1"/>
  <c r="N603" i="1"/>
  <c r="P603" i="1"/>
  <c r="N604" i="1"/>
  <c r="P604" i="1"/>
  <c r="N605" i="1"/>
  <c r="P605" i="1"/>
  <c r="N606" i="1"/>
  <c r="P606" i="1"/>
  <c r="N607" i="1"/>
  <c r="P607" i="1"/>
  <c r="N608" i="1"/>
  <c r="P608" i="1"/>
  <c r="N609" i="1"/>
  <c r="P609" i="1"/>
  <c r="N610" i="1"/>
  <c r="P610" i="1"/>
  <c r="N611" i="1"/>
  <c r="P611" i="1"/>
  <c r="N612" i="1"/>
  <c r="P612" i="1"/>
  <c r="N613" i="1"/>
  <c r="P613" i="1"/>
  <c r="N614" i="1"/>
  <c r="P614" i="1"/>
  <c r="N615" i="1"/>
  <c r="P615" i="1"/>
  <c r="N616" i="1"/>
  <c r="P616" i="1"/>
  <c r="N617" i="1"/>
  <c r="P617" i="1"/>
  <c r="N618" i="1"/>
  <c r="P618" i="1"/>
  <c r="N619" i="1"/>
  <c r="P619" i="1"/>
  <c r="N620" i="1"/>
  <c r="P620" i="1"/>
  <c r="N621" i="1"/>
  <c r="P621" i="1"/>
  <c r="N622" i="1"/>
  <c r="P622" i="1"/>
  <c r="N623" i="1"/>
  <c r="P623" i="1"/>
  <c r="N624" i="1"/>
  <c r="P624" i="1"/>
  <c r="N625" i="1"/>
  <c r="P625" i="1"/>
  <c r="N626" i="1"/>
  <c r="P626" i="1"/>
  <c r="N627" i="1"/>
  <c r="P627" i="1"/>
  <c r="N628" i="1"/>
  <c r="P628" i="1"/>
  <c r="N629" i="1"/>
  <c r="P629" i="1"/>
  <c r="N630" i="1"/>
  <c r="P630" i="1"/>
  <c r="N631" i="1"/>
  <c r="P631" i="1"/>
  <c r="N632" i="1"/>
  <c r="P632" i="1"/>
  <c r="N633" i="1"/>
  <c r="P633" i="1"/>
  <c r="N634" i="1"/>
  <c r="P634" i="1"/>
  <c r="N635" i="1"/>
  <c r="P635" i="1"/>
  <c r="N636" i="1"/>
  <c r="P636" i="1"/>
  <c r="N637" i="1"/>
  <c r="P637" i="1"/>
  <c r="N638" i="1"/>
  <c r="P638" i="1"/>
  <c r="N639" i="1"/>
  <c r="P639" i="1"/>
  <c r="N640" i="1"/>
  <c r="P640" i="1"/>
  <c r="N641" i="1"/>
  <c r="P641" i="1"/>
  <c r="N642" i="1"/>
  <c r="P642" i="1"/>
  <c r="N643" i="1"/>
  <c r="P643" i="1"/>
  <c r="N644" i="1"/>
  <c r="P644" i="1"/>
  <c r="N645" i="1"/>
  <c r="P645" i="1"/>
  <c r="N646" i="1"/>
  <c r="P646" i="1"/>
  <c r="N647" i="1"/>
  <c r="P647" i="1"/>
  <c r="N648" i="1"/>
  <c r="P648" i="1"/>
  <c r="N649" i="1"/>
  <c r="P649" i="1"/>
  <c r="N650" i="1"/>
  <c r="P650" i="1"/>
  <c r="N651" i="1"/>
  <c r="P651" i="1"/>
  <c r="N652" i="1"/>
  <c r="P652" i="1"/>
  <c r="N653" i="1"/>
  <c r="P653" i="1"/>
  <c r="N654" i="1"/>
  <c r="P654" i="1"/>
  <c r="N655" i="1"/>
  <c r="P655" i="1"/>
  <c r="N656" i="1"/>
  <c r="P656" i="1"/>
  <c r="N657" i="1"/>
  <c r="P657" i="1"/>
  <c r="N658" i="1"/>
  <c r="P658" i="1"/>
  <c r="N659" i="1"/>
  <c r="P659" i="1"/>
  <c r="N660" i="1"/>
  <c r="P660" i="1"/>
  <c r="N661" i="1"/>
  <c r="P661" i="1"/>
  <c r="N662" i="1"/>
  <c r="P662" i="1"/>
  <c r="N663" i="1"/>
  <c r="P663" i="1"/>
  <c r="N664" i="1"/>
  <c r="P664" i="1"/>
  <c r="N665" i="1"/>
  <c r="P665" i="1"/>
  <c r="N666" i="1"/>
  <c r="P666" i="1"/>
  <c r="N667" i="1"/>
  <c r="P667" i="1"/>
  <c r="N668" i="1"/>
  <c r="P668" i="1"/>
  <c r="N669" i="1"/>
  <c r="P669" i="1"/>
  <c r="N670" i="1"/>
  <c r="P670" i="1"/>
  <c r="N671" i="1"/>
  <c r="P671" i="1"/>
  <c r="N672" i="1"/>
  <c r="P672" i="1"/>
  <c r="N673" i="1"/>
  <c r="P673" i="1"/>
  <c r="N674" i="1"/>
  <c r="P674" i="1"/>
  <c r="N675" i="1"/>
  <c r="P675" i="1"/>
  <c r="N676" i="1"/>
  <c r="P676" i="1"/>
  <c r="N677" i="1"/>
  <c r="P677" i="1"/>
  <c r="N678" i="1"/>
  <c r="P678" i="1"/>
  <c r="N679" i="1"/>
  <c r="P679" i="1"/>
  <c r="N680" i="1"/>
  <c r="P680" i="1"/>
  <c r="N681" i="1"/>
  <c r="P681" i="1"/>
  <c r="N682" i="1"/>
  <c r="P682" i="1"/>
  <c r="N683" i="1"/>
  <c r="P683" i="1"/>
  <c r="N684" i="1"/>
  <c r="P684" i="1"/>
  <c r="N685" i="1"/>
  <c r="P685" i="1"/>
  <c r="N686" i="1"/>
  <c r="P686" i="1"/>
  <c r="N687" i="1"/>
  <c r="P687" i="1"/>
  <c r="N688" i="1"/>
  <c r="P688" i="1"/>
  <c r="N689" i="1"/>
  <c r="P689" i="1"/>
  <c r="N690" i="1"/>
  <c r="P690" i="1"/>
  <c r="N691" i="1"/>
  <c r="P691" i="1"/>
  <c r="N692" i="1"/>
  <c r="P692" i="1"/>
  <c r="N693" i="1"/>
  <c r="P693" i="1"/>
  <c r="N694" i="1"/>
  <c r="P694" i="1"/>
  <c r="N695" i="1"/>
  <c r="P695" i="1"/>
  <c r="N696" i="1"/>
  <c r="P696" i="1"/>
  <c r="N697" i="1"/>
  <c r="P697" i="1"/>
  <c r="N698" i="1"/>
  <c r="P698" i="1"/>
  <c r="N699" i="1"/>
  <c r="P699" i="1"/>
  <c r="N700" i="1"/>
  <c r="P700" i="1"/>
  <c r="N701" i="1"/>
  <c r="P701" i="1"/>
  <c r="N702" i="1"/>
  <c r="P702" i="1"/>
  <c r="N703" i="1"/>
  <c r="P703" i="1"/>
  <c r="N704" i="1"/>
  <c r="P704" i="1"/>
  <c r="N705" i="1"/>
  <c r="P705" i="1"/>
  <c r="N706" i="1"/>
  <c r="P706" i="1"/>
  <c r="N707" i="1"/>
  <c r="P707" i="1"/>
  <c r="N708" i="1"/>
  <c r="P708" i="1"/>
  <c r="N709" i="1"/>
  <c r="P709" i="1"/>
  <c r="N710" i="1"/>
  <c r="P710" i="1"/>
  <c r="N711" i="1"/>
  <c r="P711" i="1"/>
  <c r="N712" i="1"/>
  <c r="P712" i="1"/>
  <c r="N713" i="1"/>
  <c r="P713" i="1"/>
  <c r="N714" i="1"/>
  <c r="P714" i="1"/>
  <c r="N715" i="1"/>
  <c r="P715" i="1"/>
  <c r="N716" i="1"/>
  <c r="P716" i="1"/>
  <c r="N717" i="1"/>
  <c r="P717" i="1"/>
  <c r="N718" i="1"/>
  <c r="P718" i="1"/>
  <c r="N719" i="1"/>
  <c r="P719" i="1"/>
  <c r="N720" i="1"/>
  <c r="P720" i="1"/>
  <c r="N721" i="1"/>
  <c r="P721" i="1"/>
  <c r="N722" i="1"/>
  <c r="P722" i="1"/>
  <c r="N723" i="1"/>
  <c r="P723" i="1"/>
  <c r="N724" i="1"/>
  <c r="P724" i="1"/>
  <c r="N725" i="1"/>
  <c r="P725" i="1"/>
  <c r="N726" i="1"/>
  <c r="P726" i="1"/>
  <c r="N727" i="1"/>
  <c r="P727" i="1"/>
  <c r="N728" i="1"/>
  <c r="P728" i="1"/>
  <c r="N729" i="1"/>
  <c r="P729" i="1"/>
  <c r="N730" i="1"/>
  <c r="P730" i="1"/>
  <c r="N731" i="1"/>
  <c r="P731" i="1"/>
  <c r="N732" i="1"/>
  <c r="P732" i="1"/>
  <c r="N733" i="1"/>
  <c r="P733" i="1"/>
  <c r="N734" i="1"/>
  <c r="P734" i="1"/>
  <c r="N735" i="1"/>
  <c r="P735" i="1"/>
  <c r="N736" i="1"/>
  <c r="P736" i="1"/>
  <c r="N737" i="1"/>
  <c r="P737" i="1"/>
  <c r="N738" i="1"/>
  <c r="P738" i="1"/>
  <c r="N739" i="1"/>
  <c r="P739" i="1"/>
  <c r="N740" i="1"/>
  <c r="P740" i="1"/>
  <c r="N741" i="1"/>
  <c r="P741" i="1"/>
  <c r="N742" i="1"/>
  <c r="P742" i="1"/>
  <c r="N743" i="1"/>
  <c r="P743" i="1"/>
  <c r="N744" i="1"/>
  <c r="P744" i="1"/>
  <c r="N745" i="1"/>
  <c r="P745" i="1"/>
  <c r="N746" i="1"/>
  <c r="P746" i="1"/>
  <c r="N747" i="1"/>
  <c r="P747" i="1"/>
  <c r="N748" i="1"/>
  <c r="P748" i="1"/>
  <c r="N749" i="1"/>
  <c r="P749" i="1"/>
  <c r="N750" i="1"/>
  <c r="P750" i="1"/>
  <c r="N751" i="1"/>
  <c r="P751" i="1"/>
  <c r="N752" i="1"/>
  <c r="P752" i="1"/>
  <c r="N753" i="1"/>
  <c r="P753" i="1"/>
  <c r="N754" i="1"/>
  <c r="P754" i="1"/>
  <c r="N755" i="1"/>
  <c r="P755" i="1"/>
  <c r="N756" i="1"/>
  <c r="P756" i="1"/>
  <c r="N757" i="1"/>
  <c r="P757" i="1"/>
  <c r="N758" i="1"/>
  <c r="P758" i="1"/>
  <c r="N759" i="1"/>
  <c r="P759" i="1"/>
  <c r="N760" i="1"/>
  <c r="P760" i="1"/>
  <c r="N761" i="1"/>
  <c r="P761" i="1"/>
  <c r="N762" i="1"/>
  <c r="P762" i="1"/>
  <c r="N763" i="1"/>
  <c r="P763" i="1"/>
  <c r="N764" i="1"/>
  <c r="P764" i="1"/>
  <c r="N765" i="1"/>
  <c r="P765" i="1"/>
  <c r="N766" i="1"/>
  <c r="P766" i="1"/>
  <c r="N767" i="1"/>
  <c r="P767" i="1"/>
  <c r="N768" i="1"/>
  <c r="P768" i="1"/>
  <c r="N769" i="1"/>
  <c r="P769" i="1"/>
  <c r="N770" i="1"/>
  <c r="P770" i="1"/>
  <c r="N771" i="1"/>
  <c r="P771" i="1"/>
  <c r="N772" i="1"/>
  <c r="P772" i="1"/>
  <c r="N773" i="1"/>
  <c r="P773" i="1"/>
  <c r="N774" i="1"/>
  <c r="P774" i="1"/>
  <c r="N775" i="1"/>
  <c r="P775" i="1"/>
  <c r="N776" i="1"/>
  <c r="P776" i="1"/>
  <c r="N777" i="1"/>
  <c r="P777" i="1"/>
  <c r="N778" i="1"/>
  <c r="P778" i="1"/>
  <c r="N779" i="1"/>
  <c r="P779" i="1"/>
  <c r="N780" i="1"/>
  <c r="P780" i="1"/>
  <c r="N781" i="1"/>
  <c r="P781" i="1"/>
  <c r="N782" i="1"/>
  <c r="P782" i="1"/>
  <c r="N783" i="1"/>
  <c r="P783" i="1"/>
  <c r="N784" i="1"/>
  <c r="P784" i="1"/>
  <c r="N785" i="1"/>
  <c r="P785" i="1"/>
  <c r="N786" i="1"/>
  <c r="P786" i="1"/>
  <c r="N787" i="1"/>
  <c r="P787" i="1"/>
  <c r="N788" i="1"/>
  <c r="P788" i="1"/>
  <c r="N789" i="1"/>
  <c r="P789" i="1"/>
  <c r="N790" i="1"/>
  <c r="P790" i="1"/>
  <c r="N791" i="1"/>
  <c r="P791" i="1"/>
  <c r="N792" i="1"/>
  <c r="P792" i="1"/>
  <c r="N793" i="1"/>
  <c r="P793" i="1"/>
  <c r="N794" i="1"/>
  <c r="P794" i="1"/>
  <c r="N795" i="1"/>
  <c r="P795" i="1"/>
  <c r="N796" i="1"/>
  <c r="P796" i="1"/>
  <c r="N797" i="1"/>
  <c r="P797" i="1"/>
  <c r="N798" i="1"/>
  <c r="P798" i="1"/>
  <c r="N799" i="1"/>
  <c r="P799" i="1"/>
  <c r="N800" i="1"/>
  <c r="P800" i="1"/>
  <c r="N801" i="1"/>
  <c r="P801" i="1"/>
  <c r="N802" i="1"/>
  <c r="P802" i="1"/>
  <c r="N803" i="1"/>
  <c r="P803" i="1"/>
  <c r="N804" i="1"/>
  <c r="P804" i="1"/>
  <c r="N805" i="1"/>
  <c r="P805" i="1"/>
  <c r="N806" i="1"/>
  <c r="P806" i="1"/>
  <c r="N807" i="1"/>
  <c r="P807" i="1"/>
  <c r="N808" i="1"/>
  <c r="P808" i="1"/>
  <c r="N809" i="1"/>
  <c r="P809" i="1"/>
  <c r="N810" i="1"/>
  <c r="P810" i="1"/>
  <c r="N811" i="1"/>
  <c r="P811" i="1"/>
  <c r="N812" i="1"/>
  <c r="P812" i="1"/>
  <c r="N813" i="1"/>
  <c r="P813" i="1"/>
  <c r="N814" i="1"/>
  <c r="P814" i="1"/>
  <c r="N815" i="1"/>
  <c r="P815" i="1"/>
  <c r="N816" i="1"/>
  <c r="P816" i="1"/>
  <c r="N817" i="1"/>
  <c r="P817" i="1"/>
  <c r="N818" i="1"/>
  <c r="P818" i="1"/>
  <c r="N819" i="1"/>
  <c r="P819" i="1"/>
  <c r="N820" i="1"/>
  <c r="P820" i="1"/>
  <c r="N821" i="1"/>
  <c r="P821" i="1"/>
  <c r="N822" i="1"/>
  <c r="P822" i="1"/>
  <c r="N823" i="1"/>
  <c r="P823" i="1"/>
  <c r="N824" i="1"/>
  <c r="P824" i="1"/>
  <c r="N825" i="1"/>
  <c r="P825" i="1"/>
  <c r="N826" i="1"/>
  <c r="P826" i="1"/>
  <c r="N827" i="1"/>
  <c r="P827" i="1"/>
  <c r="N828" i="1"/>
  <c r="P828" i="1"/>
  <c r="N829" i="1"/>
  <c r="P829" i="1"/>
  <c r="N830" i="1"/>
  <c r="P830" i="1"/>
  <c r="N831" i="1"/>
  <c r="P831" i="1"/>
  <c r="N832" i="1"/>
  <c r="P832" i="1"/>
  <c r="N833" i="1"/>
  <c r="P833" i="1"/>
  <c r="N834" i="1"/>
  <c r="P834" i="1"/>
  <c r="N835" i="1"/>
  <c r="P835" i="1"/>
  <c r="N836" i="1"/>
  <c r="P836" i="1"/>
  <c r="N837" i="1"/>
  <c r="P837" i="1"/>
  <c r="N838" i="1"/>
  <c r="P838" i="1"/>
  <c r="N839" i="1"/>
  <c r="P839" i="1"/>
  <c r="N840" i="1"/>
  <c r="P840" i="1"/>
  <c r="N841" i="1"/>
  <c r="P841" i="1"/>
  <c r="N842" i="1"/>
  <c r="P842" i="1"/>
  <c r="N843" i="1"/>
  <c r="P843" i="1"/>
  <c r="N844" i="1"/>
  <c r="P844" i="1"/>
  <c r="N845" i="1"/>
  <c r="P845" i="1"/>
  <c r="N846" i="1"/>
  <c r="P846" i="1"/>
  <c r="N847" i="1"/>
  <c r="P847" i="1"/>
  <c r="N848" i="1"/>
  <c r="P848" i="1"/>
  <c r="N849" i="1"/>
  <c r="P849" i="1"/>
  <c r="N850" i="1"/>
  <c r="P850" i="1"/>
  <c r="N851" i="1"/>
  <c r="P851" i="1"/>
  <c r="N852" i="1"/>
  <c r="P852" i="1"/>
  <c r="N853" i="1"/>
  <c r="P853" i="1"/>
  <c r="N854" i="1"/>
  <c r="P854" i="1"/>
  <c r="N855" i="1"/>
  <c r="P855" i="1"/>
  <c r="N856" i="1"/>
  <c r="P856" i="1"/>
  <c r="N857" i="1"/>
  <c r="P857" i="1"/>
  <c r="N858" i="1"/>
  <c r="P858" i="1"/>
  <c r="N859" i="1"/>
  <c r="P859" i="1"/>
  <c r="N860" i="1"/>
  <c r="P860" i="1"/>
  <c r="N861" i="1"/>
  <c r="P861" i="1"/>
  <c r="N862" i="1"/>
  <c r="P862" i="1"/>
  <c r="N863" i="1"/>
  <c r="P863" i="1"/>
  <c r="N864" i="1"/>
  <c r="P864" i="1"/>
  <c r="N865" i="1"/>
  <c r="P865" i="1"/>
  <c r="N866" i="1"/>
  <c r="P866" i="1"/>
  <c r="N867" i="1"/>
  <c r="P867" i="1"/>
  <c r="N868" i="1"/>
  <c r="P868" i="1"/>
  <c r="N869" i="1"/>
  <c r="P869" i="1"/>
  <c r="N870" i="1"/>
  <c r="P870" i="1"/>
  <c r="N871" i="1"/>
  <c r="P871" i="1"/>
  <c r="N872" i="1"/>
  <c r="P872" i="1"/>
  <c r="N873" i="1"/>
  <c r="P873" i="1"/>
  <c r="N874" i="1"/>
  <c r="P874" i="1"/>
  <c r="N875" i="1"/>
  <c r="P875" i="1"/>
  <c r="N876" i="1"/>
  <c r="P876" i="1"/>
  <c r="N877" i="1"/>
  <c r="P877" i="1"/>
  <c r="N878" i="1"/>
  <c r="P878" i="1"/>
  <c r="N879" i="1"/>
  <c r="P879" i="1"/>
  <c r="N880" i="1"/>
  <c r="P880" i="1"/>
  <c r="N881" i="1"/>
  <c r="P881" i="1"/>
  <c r="N882" i="1"/>
  <c r="P882" i="1"/>
  <c r="N883" i="1"/>
  <c r="P883" i="1"/>
  <c r="N884" i="1"/>
  <c r="P884" i="1"/>
  <c r="N885" i="1"/>
  <c r="P885" i="1"/>
  <c r="N886" i="1"/>
  <c r="P886" i="1"/>
  <c r="N887" i="1"/>
  <c r="P887" i="1"/>
  <c r="N888" i="1"/>
  <c r="P888" i="1"/>
  <c r="N889" i="1"/>
  <c r="P889" i="1"/>
  <c r="N890" i="1"/>
  <c r="P890" i="1"/>
  <c r="N891" i="1"/>
  <c r="P891" i="1"/>
  <c r="N892" i="1"/>
  <c r="P892" i="1"/>
  <c r="N893" i="1"/>
  <c r="P893" i="1"/>
  <c r="N894" i="1"/>
  <c r="P894" i="1"/>
  <c r="N895" i="1"/>
  <c r="P895" i="1"/>
  <c r="N896" i="1"/>
  <c r="P896" i="1"/>
  <c r="N897" i="1"/>
  <c r="P897" i="1"/>
  <c r="N898" i="1"/>
  <c r="P898" i="1"/>
  <c r="N899" i="1"/>
  <c r="P899" i="1"/>
  <c r="N900" i="1"/>
  <c r="P900" i="1"/>
  <c r="N901" i="1"/>
  <c r="P901" i="1"/>
  <c r="N902" i="1"/>
  <c r="P902" i="1"/>
  <c r="N903" i="1"/>
  <c r="P903" i="1"/>
  <c r="N904" i="1"/>
  <c r="P904" i="1"/>
  <c r="N905" i="1"/>
  <c r="P905" i="1"/>
  <c r="N906" i="1"/>
  <c r="P906" i="1"/>
  <c r="N907" i="1"/>
  <c r="P907" i="1"/>
  <c r="N908" i="1"/>
  <c r="P908" i="1"/>
  <c r="N909" i="1"/>
  <c r="P909" i="1"/>
  <c r="N910" i="1"/>
  <c r="P910" i="1"/>
  <c r="N911" i="1"/>
  <c r="P911" i="1"/>
  <c r="N912" i="1"/>
  <c r="P912" i="1"/>
  <c r="N913" i="1"/>
  <c r="P913" i="1"/>
  <c r="N914" i="1"/>
  <c r="P914" i="1"/>
  <c r="N915" i="1"/>
  <c r="P915" i="1"/>
  <c r="N916" i="1"/>
  <c r="P916" i="1"/>
  <c r="N917" i="1"/>
  <c r="P917" i="1"/>
  <c r="N918" i="1"/>
  <c r="P918" i="1"/>
  <c r="N919" i="1"/>
  <c r="P919" i="1"/>
  <c r="N920" i="1"/>
  <c r="P920" i="1"/>
  <c r="N921" i="1"/>
  <c r="P921" i="1"/>
  <c r="N922" i="1"/>
  <c r="P922" i="1"/>
  <c r="N923" i="1"/>
  <c r="P923" i="1"/>
  <c r="N924" i="1"/>
  <c r="P924" i="1"/>
  <c r="N925" i="1"/>
  <c r="P925" i="1"/>
  <c r="N926" i="1"/>
  <c r="P926" i="1"/>
  <c r="N927" i="1"/>
  <c r="P927" i="1"/>
  <c r="N928" i="1"/>
  <c r="P928" i="1"/>
  <c r="N929" i="1"/>
  <c r="P929" i="1"/>
  <c r="N930" i="1"/>
  <c r="P930" i="1"/>
  <c r="N931" i="1"/>
  <c r="P931" i="1"/>
  <c r="N932" i="1"/>
  <c r="P932" i="1"/>
  <c r="N933" i="1"/>
  <c r="P933" i="1"/>
  <c r="N934" i="1"/>
  <c r="P934" i="1"/>
  <c r="N935" i="1"/>
  <c r="P935" i="1"/>
  <c r="N936" i="1"/>
  <c r="P936" i="1"/>
  <c r="N937" i="1"/>
  <c r="P937" i="1"/>
  <c r="N938" i="1"/>
  <c r="P938" i="1"/>
  <c r="N939" i="1"/>
  <c r="P939" i="1"/>
  <c r="N940" i="1"/>
  <c r="P940" i="1"/>
  <c r="N941" i="1"/>
  <c r="P941" i="1"/>
  <c r="N942" i="1"/>
  <c r="P942" i="1"/>
  <c r="N943" i="1"/>
  <c r="P943" i="1"/>
  <c r="N944" i="1"/>
  <c r="P944" i="1"/>
  <c r="N945" i="1"/>
  <c r="P945" i="1"/>
  <c r="N946" i="1"/>
  <c r="P946" i="1"/>
  <c r="N947" i="1"/>
  <c r="P947" i="1"/>
  <c r="N948" i="1"/>
  <c r="P948" i="1"/>
  <c r="N949" i="1"/>
  <c r="P949" i="1"/>
  <c r="N950" i="1"/>
  <c r="P950" i="1"/>
  <c r="N951" i="1"/>
  <c r="P951" i="1"/>
  <c r="N952" i="1"/>
  <c r="P952" i="1"/>
  <c r="N953" i="1"/>
  <c r="P953" i="1"/>
  <c r="N954" i="1"/>
  <c r="P954" i="1"/>
  <c r="N955" i="1"/>
  <c r="P955" i="1"/>
  <c r="N956" i="1"/>
  <c r="P956" i="1"/>
  <c r="N957" i="1"/>
  <c r="P957" i="1"/>
  <c r="N958" i="1"/>
  <c r="P958" i="1"/>
  <c r="N959" i="1"/>
  <c r="P959" i="1"/>
  <c r="N960" i="1"/>
  <c r="P960" i="1"/>
  <c r="N961" i="1"/>
  <c r="P961" i="1"/>
  <c r="N962" i="1"/>
  <c r="P962" i="1"/>
  <c r="N963" i="1"/>
  <c r="P963" i="1"/>
  <c r="N964" i="1"/>
  <c r="P964" i="1"/>
  <c r="N965" i="1"/>
  <c r="P965" i="1"/>
  <c r="N966" i="1"/>
  <c r="P966" i="1"/>
  <c r="N967" i="1"/>
  <c r="P967" i="1"/>
  <c r="N968" i="1"/>
  <c r="P968" i="1"/>
  <c r="N969" i="1"/>
  <c r="P969" i="1"/>
  <c r="N970" i="1"/>
  <c r="P970" i="1"/>
  <c r="N971" i="1"/>
  <c r="P971" i="1"/>
  <c r="N972" i="1"/>
  <c r="P972" i="1"/>
  <c r="N973" i="1"/>
  <c r="P973" i="1"/>
  <c r="N974" i="1"/>
  <c r="P974" i="1"/>
  <c r="N975" i="1"/>
  <c r="P975" i="1"/>
  <c r="N976" i="1"/>
  <c r="P976" i="1"/>
  <c r="N977" i="1"/>
  <c r="P977" i="1"/>
  <c r="N978" i="1"/>
  <c r="P978" i="1"/>
  <c r="N979" i="1"/>
  <c r="P979" i="1"/>
  <c r="N980" i="1"/>
  <c r="P980" i="1"/>
  <c r="N981" i="1"/>
  <c r="P981" i="1"/>
  <c r="N982" i="1"/>
  <c r="P982" i="1"/>
  <c r="N983" i="1"/>
  <c r="P983" i="1"/>
  <c r="N984" i="1"/>
  <c r="P984" i="1"/>
  <c r="N985" i="1"/>
  <c r="P985" i="1"/>
  <c r="N986" i="1"/>
  <c r="P986" i="1"/>
  <c r="N987" i="1"/>
  <c r="P987" i="1"/>
  <c r="N988" i="1"/>
  <c r="P988" i="1"/>
  <c r="N989" i="1"/>
  <c r="P989" i="1"/>
  <c r="N990" i="1"/>
  <c r="P990" i="1"/>
  <c r="N991" i="1"/>
  <c r="P991" i="1"/>
  <c r="N992" i="1"/>
  <c r="P992" i="1"/>
  <c r="N993" i="1"/>
  <c r="P993" i="1"/>
  <c r="N994" i="1"/>
  <c r="P994" i="1"/>
  <c r="N995" i="1"/>
  <c r="P995" i="1"/>
  <c r="N996" i="1"/>
  <c r="P996" i="1"/>
  <c r="N997" i="1"/>
  <c r="P997" i="1"/>
  <c r="N998" i="1"/>
  <c r="P998" i="1"/>
  <c r="N999" i="1"/>
  <c r="P999" i="1"/>
  <c r="N1000" i="1"/>
  <c r="P1000" i="1"/>
  <c r="N1001" i="1"/>
  <c r="P1001" i="1"/>
  <c r="N1002" i="1"/>
  <c r="P1002" i="1"/>
  <c r="N1003" i="1"/>
  <c r="P1003" i="1"/>
  <c r="N1004" i="1"/>
  <c r="P1004" i="1"/>
  <c r="N1005" i="1"/>
  <c r="P1005" i="1"/>
  <c r="N1006" i="1"/>
  <c r="P1006" i="1"/>
  <c r="N1007" i="1"/>
  <c r="P1007" i="1"/>
  <c r="N1008" i="1"/>
  <c r="P1008" i="1"/>
  <c r="N1009" i="1"/>
  <c r="P1009" i="1"/>
  <c r="N1010" i="1"/>
  <c r="P1010" i="1"/>
  <c r="N1011" i="1"/>
  <c r="P1011" i="1"/>
  <c r="N1012" i="1"/>
  <c r="P1012" i="1"/>
  <c r="N1013" i="1"/>
  <c r="P1013" i="1"/>
  <c r="N1014" i="1"/>
  <c r="P1014" i="1"/>
  <c r="N1015" i="1"/>
  <c r="P1015" i="1"/>
  <c r="N1016" i="1"/>
  <c r="P1016" i="1"/>
  <c r="N1017" i="1"/>
  <c r="P1017" i="1"/>
  <c r="N1018" i="1"/>
  <c r="P1018" i="1"/>
  <c r="N1019" i="1"/>
  <c r="P1019" i="1"/>
  <c r="N1020" i="1"/>
  <c r="P1020" i="1"/>
  <c r="N1021" i="1"/>
  <c r="P1021" i="1"/>
  <c r="N1022" i="1"/>
  <c r="P1022" i="1"/>
  <c r="N1023" i="1"/>
  <c r="P1023" i="1"/>
  <c r="N1024" i="1"/>
  <c r="P1024" i="1"/>
  <c r="N1025" i="1"/>
  <c r="P1025" i="1"/>
  <c r="N1026" i="1"/>
  <c r="P1026" i="1"/>
  <c r="N1027" i="1"/>
  <c r="P1027" i="1"/>
  <c r="N1028" i="1"/>
  <c r="P1028" i="1"/>
  <c r="N1029" i="1"/>
  <c r="P1029" i="1"/>
  <c r="N1030" i="1"/>
  <c r="P1030" i="1"/>
  <c r="N1031" i="1"/>
  <c r="P1031" i="1"/>
  <c r="N1032" i="1"/>
  <c r="P1032" i="1"/>
  <c r="N1033" i="1"/>
  <c r="P1033" i="1"/>
  <c r="N1034" i="1"/>
  <c r="P1034" i="1"/>
  <c r="N1035" i="1"/>
  <c r="P1035" i="1"/>
  <c r="N1036" i="1"/>
  <c r="P1036" i="1"/>
  <c r="N1037" i="1"/>
  <c r="P1037" i="1"/>
  <c r="N1038" i="1"/>
  <c r="P1038" i="1"/>
  <c r="N1039" i="1"/>
  <c r="P1039" i="1"/>
  <c r="N1040" i="1"/>
  <c r="P1040" i="1"/>
  <c r="N1041" i="1"/>
  <c r="P1041" i="1"/>
  <c r="N1042" i="1"/>
  <c r="P1042" i="1"/>
  <c r="N1043" i="1"/>
  <c r="P1043" i="1"/>
  <c r="N1044" i="1"/>
  <c r="P1044" i="1"/>
  <c r="N1045" i="1"/>
  <c r="P1045" i="1"/>
  <c r="N1046" i="1"/>
  <c r="P1046" i="1"/>
  <c r="N1047" i="1"/>
  <c r="P1047" i="1"/>
  <c r="N1048" i="1"/>
  <c r="P1048" i="1"/>
  <c r="N1049" i="1"/>
  <c r="P1049" i="1"/>
  <c r="N1050" i="1"/>
  <c r="P1050" i="1"/>
  <c r="N1051" i="1"/>
  <c r="P1051" i="1"/>
  <c r="N1052" i="1"/>
  <c r="P1052" i="1"/>
  <c r="N1053" i="1"/>
  <c r="P1053" i="1"/>
  <c r="N1054" i="1"/>
  <c r="P1054" i="1"/>
  <c r="N1055" i="1"/>
  <c r="P1055" i="1"/>
  <c r="N1056" i="1"/>
  <c r="P1056" i="1"/>
  <c r="N1057" i="1"/>
  <c r="P1057" i="1"/>
  <c r="N1058" i="1"/>
  <c r="P1058" i="1"/>
  <c r="N1059" i="1"/>
  <c r="P1059" i="1"/>
  <c r="N1060" i="1"/>
  <c r="P1060" i="1"/>
  <c r="N1061" i="1"/>
  <c r="P1061" i="1"/>
  <c r="N1062" i="1"/>
  <c r="P1062" i="1"/>
  <c r="N1063" i="1"/>
  <c r="P1063" i="1"/>
  <c r="N1064" i="1"/>
  <c r="P1064" i="1"/>
  <c r="N1065" i="1"/>
  <c r="P1065" i="1"/>
  <c r="N1066" i="1"/>
  <c r="P1066" i="1"/>
  <c r="N1067" i="1"/>
  <c r="P1067" i="1"/>
  <c r="N1068" i="1"/>
  <c r="P1068" i="1"/>
  <c r="N1069" i="1"/>
  <c r="P1069" i="1"/>
  <c r="N1070" i="1"/>
  <c r="P1070" i="1"/>
  <c r="N1071" i="1"/>
  <c r="P1071" i="1"/>
  <c r="N1072" i="1"/>
  <c r="P1072" i="1"/>
  <c r="N1073" i="1"/>
  <c r="P1073" i="1"/>
  <c r="N1074" i="1"/>
  <c r="P1074" i="1"/>
  <c r="N1075" i="1"/>
  <c r="P1075" i="1"/>
  <c r="N1076" i="1"/>
  <c r="P1076" i="1"/>
  <c r="N1077" i="1"/>
  <c r="P1077" i="1"/>
  <c r="N1078" i="1"/>
  <c r="P1078" i="1"/>
  <c r="N1079" i="1"/>
  <c r="P1079" i="1"/>
  <c r="N1080" i="1"/>
  <c r="P1080" i="1"/>
  <c r="N1081" i="1"/>
  <c r="P1081" i="1"/>
  <c r="N1082" i="1"/>
  <c r="P1082" i="1"/>
  <c r="N1083" i="1"/>
  <c r="P1083" i="1"/>
  <c r="N1084" i="1"/>
  <c r="P1084" i="1"/>
  <c r="N1085" i="1"/>
  <c r="P1085" i="1"/>
  <c r="N1086" i="1"/>
  <c r="P1086" i="1"/>
  <c r="N1087" i="1"/>
  <c r="P1087" i="1"/>
  <c r="N1088" i="1"/>
  <c r="P1088" i="1"/>
  <c r="N1089" i="1"/>
  <c r="P1089" i="1"/>
  <c r="N1090" i="1"/>
  <c r="P1090" i="1"/>
  <c r="N1091" i="1"/>
  <c r="P1091" i="1"/>
  <c r="N1092" i="1"/>
  <c r="P1092" i="1"/>
  <c r="N1093" i="1"/>
  <c r="P1093" i="1"/>
  <c r="N1094" i="1"/>
  <c r="P1094" i="1"/>
  <c r="N1095" i="1"/>
  <c r="P1095" i="1"/>
  <c r="N1096" i="1"/>
  <c r="P1096" i="1"/>
  <c r="N1097" i="1"/>
  <c r="P1097" i="1"/>
  <c r="N1098" i="1"/>
  <c r="P1098" i="1"/>
  <c r="N1099" i="1"/>
  <c r="P1099" i="1"/>
  <c r="N1100" i="1"/>
  <c r="P1100" i="1"/>
  <c r="N1101" i="1"/>
  <c r="P1101" i="1"/>
  <c r="N1102" i="1"/>
  <c r="P1102" i="1"/>
  <c r="N1103" i="1"/>
  <c r="P1103" i="1"/>
  <c r="N1104" i="1"/>
  <c r="P1104" i="1"/>
  <c r="N1105" i="1"/>
  <c r="P1105" i="1"/>
  <c r="N1106" i="1"/>
  <c r="P1106" i="1"/>
  <c r="N1107" i="1"/>
  <c r="P1107" i="1"/>
  <c r="N1108" i="1"/>
  <c r="P1108" i="1"/>
  <c r="N1109" i="1"/>
  <c r="P1109" i="1"/>
  <c r="N1110" i="1"/>
  <c r="P1110" i="1"/>
  <c r="N1111" i="1"/>
  <c r="P1111" i="1"/>
  <c r="N1112" i="1"/>
  <c r="P1112" i="1"/>
  <c r="N1113" i="1"/>
  <c r="P1113" i="1"/>
  <c r="N1114" i="1"/>
  <c r="P1114" i="1"/>
  <c r="N1115" i="1"/>
  <c r="P1115" i="1"/>
  <c r="N1116" i="1"/>
  <c r="P1116" i="1"/>
  <c r="N1117" i="1"/>
  <c r="P1117" i="1"/>
  <c r="N1118" i="1"/>
  <c r="P1118" i="1"/>
  <c r="N1119" i="1"/>
  <c r="P1119" i="1"/>
  <c r="N1120" i="1"/>
  <c r="P1120" i="1"/>
  <c r="N1121" i="1"/>
  <c r="P1121" i="1"/>
  <c r="N1122" i="1"/>
  <c r="P1122" i="1"/>
  <c r="N1123" i="1"/>
  <c r="P1123" i="1"/>
  <c r="N1124" i="1"/>
  <c r="P1124" i="1"/>
  <c r="N1125" i="1"/>
  <c r="P1125" i="1"/>
  <c r="N1126" i="1"/>
  <c r="P1126" i="1"/>
  <c r="N1127" i="1"/>
  <c r="P1127" i="1"/>
  <c r="N1128" i="1"/>
  <c r="P1128" i="1"/>
  <c r="N1129" i="1"/>
  <c r="P1129" i="1"/>
  <c r="N1130" i="1"/>
  <c r="P1130" i="1"/>
  <c r="N1131" i="1"/>
  <c r="P1131" i="1"/>
  <c r="N1132" i="1"/>
  <c r="P1132" i="1"/>
  <c r="N1133" i="1"/>
  <c r="P1133" i="1"/>
  <c r="N1134" i="1"/>
  <c r="P1134" i="1"/>
  <c r="N1135" i="1"/>
  <c r="P1135" i="1"/>
  <c r="N1136" i="1"/>
  <c r="P1136" i="1"/>
  <c r="N1137" i="1"/>
  <c r="P1137" i="1"/>
  <c r="N1138" i="1"/>
  <c r="P1138" i="1"/>
  <c r="N1139" i="1"/>
  <c r="P1139" i="1"/>
  <c r="N1140" i="1"/>
  <c r="P1140" i="1"/>
  <c r="N1141" i="1"/>
  <c r="P1141" i="1"/>
  <c r="N1142" i="1"/>
  <c r="P1142" i="1"/>
  <c r="N1143" i="1"/>
  <c r="P1143" i="1"/>
  <c r="N1144" i="1"/>
  <c r="P1144" i="1"/>
  <c r="N1145" i="1"/>
  <c r="P1145" i="1"/>
  <c r="N1146" i="1"/>
  <c r="P1146" i="1"/>
  <c r="N1147" i="1"/>
  <c r="P1147" i="1"/>
  <c r="N1148" i="1"/>
  <c r="P1148" i="1"/>
  <c r="N1149" i="1"/>
  <c r="P1149" i="1"/>
  <c r="N1150" i="1"/>
  <c r="P1150" i="1"/>
  <c r="N1151" i="1"/>
  <c r="P1151" i="1"/>
  <c r="N1152" i="1"/>
  <c r="P1152" i="1"/>
  <c r="N1153" i="1"/>
  <c r="P1153" i="1"/>
  <c r="N1154" i="1"/>
  <c r="P1154" i="1"/>
  <c r="N1155" i="1"/>
  <c r="P1155" i="1"/>
  <c r="N1156" i="1"/>
  <c r="P1156" i="1"/>
  <c r="N1157" i="1"/>
  <c r="P1157" i="1"/>
  <c r="N1158" i="1"/>
  <c r="P1158" i="1"/>
  <c r="N1159" i="1"/>
  <c r="P1159" i="1"/>
  <c r="N1160" i="1"/>
  <c r="P1160" i="1"/>
  <c r="N1161" i="1"/>
  <c r="P1161" i="1"/>
  <c r="N1162" i="1"/>
  <c r="P1162" i="1"/>
  <c r="N1163" i="1"/>
  <c r="P1163" i="1"/>
  <c r="N1164" i="1"/>
  <c r="P1164" i="1"/>
  <c r="N1165" i="1"/>
  <c r="P1165" i="1"/>
  <c r="N1166" i="1"/>
  <c r="P1166" i="1"/>
  <c r="N1167" i="1"/>
  <c r="P1167" i="1"/>
  <c r="N1168" i="1"/>
  <c r="P1168" i="1"/>
  <c r="N1169" i="1"/>
  <c r="P1169" i="1"/>
  <c r="N1170" i="1"/>
  <c r="P1170" i="1"/>
  <c r="N1171" i="1"/>
  <c r="P1171" i="1"/>
  <c r="N1172" i="1"/>
  <c r="P1172" i="1"/>
  <c r="N1173" i="1"/>
  <c r="P1173" i="1"/>
  <c r="N1174" i="1"/>
  <c r="P1174" i="1"/>
  <c r="N1175" i="1"/>
  <c r="P1175" i="1"/>
  <c r="N1176" i="1"/>
  <c r="P1176" i="1"/>
  <c r="N1177" i="1"/>
  <c r="P1177" i="1"/>
  <c r="N1178" i="1"/>
  <c r="P1178" i="1"/>
  <c r="N1179" i="1"/>
  <c r="P1179" i="1"/>
  <c r="N1180" i="1"/>
  <c r="P1180" i="1"/>
  <c r="N1181" i="1"/>
  <c r="P1181" i="1"/>
  <c r="N1182" i="1"/>
  <c r="P1182" i="1"/>
  <c r="N1183" i="1"/>
  <c r="P1183" i="1"/>
  <c r="N1184" i="1"/>
  <c r="P1184" i="1"/>
  <c r="N1185" i="1"/>
  <c r="P1185" i="1"/>
  <c r="N1186" i="1"/>
  <c r="P1186" i="1"/>
  <c r="N1187" i="1"/>
  <c r="P1187" i="1"/>
  <c r="N1188" i="1"/>
  <c r="P1188" i="1"/>
  <c r="N1189" i="1"/>
  <c r="P1189" i="1"/>
  <c r="N1190" i="1"/>
  <c r="P1190" i="1"/>
  <c r="N1191" i="1"/>
  <c r="P1191" i="1"/>
  <c r="N1192" i="1"/>
  <c r="P1192" i="1"/>
  <c r="N1193" i="1"/>
  <c r="P1193" i="1"/>
  <c r="N1194" i="1"/>
  <c r="P1194" i="1"/>
  <c r="N1195" i="1"/>
  <c r="P1195" i="1"/>
  <c r="N1196" i="1"/>
  <c r="P1196" i="1"/>
  <c r="N1197" i="1"/>
  <c r="P1197" i="1"/>
  <c r="N1198" i="1"/>
  <c r="P1198" i="1"/>
  <c r="N1199" i="1"/>
  <c r="P1199" i="1"/>
  <c r="N1200" i="1"/>
  <c r="P1200" i="1"/>
  <c r="N1201" i="1"/>
  <c r="P1201" i="1"/>
  <c r="N1202" i="1"/>
  <c r="P1202" i="1"/>
  <c r="N1203" i="1"/>
  <c r="P1203" i="1"/>
  <c r="N1204" i="1"/>
  <c r="P1204" i="1"/>
  <c r="N1205" i="1"/>
  <c r="P1205" i="1"/>
  <c r="N1206" i="1"/>
  <c r="P1206" i="1"/>
  <c r="N1207" i="1"/>
  <c r="P1207" i="1"/>
  <c r="N1208" i="1"/>
  <c r="P1208" i="1"/>
  <c r="N1209" i="1"/>
  <c r="P1209" i="1"/>
  <c r="N1210" i="1"/>
  <c r="P1210" i="1"/>
  <c r="N1211" i="1"/>
  <c r="P1211" i="1"/>
  <c r="N1212" i="1"/>
  <c r="P1212" i="1"/>
  <c r="N1213" i="1"/>
  <c r="P1213" i="1"/>
  <c r="N1214" i="1"/>
  <c r="P1214" i="1"/>
  <c r="N1215" i="1"/>
  <c r="P1215" i="1"/>
  <c r="N1216" i="1"/>
  <c r="P1216" i="1"/>
  <c r="N1217" i="1"/>
  <c r="P1217" i="1"/>
  <c r="N1218" i="1"/>
  <c r="P1218" i="1"/>
  <c r="N1219" i="1"/>
  <c r="P1219" i="1"/>
  <c r="N1220" i="1"/>
  <c r="P1220" i="1"/>
  <c r="N1221" i="1"/>
  <c r="P1221" i="1"/>
  <c r="N1222" i="1"/>
  <c r="P1222" i="1"/>
  <c r="N1223" i="1"/>
  <c r="P1223" i="1"/>
  <c r="N1224" i="1"/>
  <c r="P1224" i="1"/>
  <c r="N1225" i="1"/>
  <c r="P1225" i="1"/>
  <c r="N1226" i="1"/>
  <c r="P1226" i="1"/>
  <c r="N1227" i="1"/>
  <c r="P1227" i="1"/>
  <c r="N1228" i="1"/>
  <c r="P1228" i="1"/>
  <c r="N1229" i="1"/>
  <c r="P1229" i="1"/>
  <c r="N1230" i="1"/>
  <c r="P1230" i="1"/>
  <c r="N1231" i="1"/>
  <c r="P1231" i="1"/>
  <c r="N1232" i="1"/>
  <c r="P1232" i="1"/>
  <c r="N1233" i="1"/>
  <c r="P1233" i="1"/>
  <c r="N1234" i="1"/>
  <c r="P1234" i="1"/>
  <c r="N1235" i="1"/>
  <c r="P1235" i="1"/>
  <c r="N1236" i="1"/>
  <c r="P1236" i="1"/>
  <c r="N1237" i="1"/>
  <c r="P1237" i="1"/>
  <c r="N1238" i="1"/>
  <c r="P1238" i="1"/>
  <c r="N1239" i="1"/>
  <c r="P1239" i="1"/>
  <c r="N1240" i="1"/>
  <c r="P1240" i="1"/>
  <c r="N1241" i="1"/>
  <c r="P1241" i="1"/>
  <c r="N1242" i="1"/>
  <c r="P1242" i="1"/>
  <c r="N1243" i="1"/>
  <c r="P1243" i="1"/>
  <c r="P1244" i="1"/>
  <c r="P124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5" i="1"/>
  <c r="B2" i="4"/>
  <c r="B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D1B32-4B5F-4294-AA63-6BCD6857E936}" keepAlive="1" name="Query - Competencie list" description="Connection to the 'Competencie list' query in the workbook." type="5" refreshedVersion="0" background="1" saveData="1">
    <dbPr connection="Provider=Microsoft.Mashup.OleDb.1;Data Source=$Workbook$;Location=&quot;Competencie list&quot;;Extended Properties=&quot;&quot;" command="SELECT * FROM [Competencie list]"/>
  </connection>
  <connection id="2" xr16:uid="{6CD40825-7573-442B-A18A-3264653D34EB}" keepAlive="1" name="Query - Data" description="Connection to the 'Data' query in the workbook." type="5" refreshedVersion="8" background="1" refreshOnLoad="1" saveData="1">
    <dbPr connection="Provider=Microsoft.Mashup.OleDb.1;Data Source=$Workbook$;Location=Data;Extended Properties=&quot;&quot;" command="SELECT * FROM [Data]"/>
  </connection>
  <connection id="3" xr16:uid="{7DCF8D26-CE09-4FE3-B31B-2A1CF153310D}" keepAlive="1" name="Query - Group_index" description="Connection to the 'Group_index' query in the workbook." type="5" refreshedVersion="0" background="1" saveData="1">
    <dbPr connection="Provider=Microsoft.Mashup.OleDb.1;Data Source=$Workbook$;Location=Group_index;Extended Properties=&quot;&quot;" command="SELECT * FROM [Group_index]"/>
  </connection>
  <connection id="4" xr16:uid="{33F8EA99-0BB3-4B8F-976B-30A752C95CB3}" keepAlive="1" name="Query - List" description="Connection to the 'List' query in the workbook." type="5" refreshedVersion="8" background="1" saveData="1">
    <dbPr connection="Provider=Microsoft.Mashup.OleDb.1;Data Source=$Workbook$;Location=List;Extended Properties=&quot;&quot;" command="SELECT * FROM [List]"/>
  </connection>
</connections>
</file>

<file path=xl/sharedStrings.xml><?xml version="1.0" encoding="utf-8"?>
<sst xmlns="http://schemas.openxmlformats.org/spreadsheetml/2006/main" count="31354" uniqueCount="1145">
  <si>
    <t>OPMS ID</t>
  </si>
  <si>
    <t>Required Competency</t>
  </si>
  <si>
    <t>Requirement Level</t>
  </si>
  <si>
    <t>Status</t>
  </si>
  <si>
    <t>Position</t>
  </si>
  <si>
    <t>&lt;OPMS_ID&gt;&gt;</t>
  </si>
  <si>
    <t>&lt;CourseNameTrainingMatrix&gt;&gt;</t>
  </si>
  <si>
    <t>&lt;RequirementLevelTrainingMatrix&gt;&gt;</t>
  </si>
  <si>
    <t>&lt;CourseStatus&gt;&gt;</t>
  </si>
  <si>
    <t>&lt;Role&gt;&gt;</t>
  </si>
  <si>
    <t>&lt;Competency_Group_Name&gt;&gt;</t>
  </si>
  <si>
    <t>Report Extracted</t>
  </si>
  <si>
    <t>Vessel Name</t>
  </si>
  <si>
    <t>&lt;UNIQUE_Today_Date&gt;&gt;</t>
  </si>
  <si>
    <t>&lt;UNIQUE_VesselName&gt;&gt;</t>
  </si>
  <si>
    <t>Confirmed Booking</t>
  </si>
  <si>
    <t>In Date</t>
  </si>
  <si>
    <t>Missing</t>
  </si>
  <si>
    <t>Outstanding</t>
  </si>
  <si>
    <t>Expired (Unconfirmed Booking)</t>
  </si>
  <si>
    <t>Expired (Confirmed Booking)</t>
  </si>
  <si>
    <t>Outstanding (Unconfirmed Booking)</t>
  </si>
  <si>
    <t>Overridden</t>
  </si>
  <si>
    <t>Unconfirmed Booking</t>
  </si>
  <si>
    <t>About To Expire</t>
  </si>
  <si>
    <t>Expired</t>
  </si>
  <si>
    <t>Outstanding (Confirmed Booking)</t>
  </si>
  <si>
    <t>Status from OPMS</t>
  </si>
  <si>
    <t>Employer</t>
  </si>
  <si>
    <t>&lt;Employer&gt;&gt;</t>
  </si>
  <si>
    <t>Has Course booking</t>
  </si>
  <si>
    <t>&lt;CourseScannedDocExists&gt;&gt;</t>
  </si>
  <si>
    <t>Scanned Document</t>
  </si>
  <si>
    <t>Competency Groups</t>
  </si>
  <si>
    <t>Name</t>
  </si>
  <si>
    <t>StatusNameKey</t>
  </si>
  <si>
    <t>Total</t>
  </si>
  <si>
    <t>Include in report</t>
  </si>
  <si>
    <t>Status_Key</t>
  </si>
  <si>
    <t>About to expire</t>
  </si>
  <si>
    <t>StatusKey</t>
  </si>
  <si>
    <t>Expiry</t>
  </si>
  <si>
    <t>FullName</t>
  </si>
  <si>
    <t>&lt;Full_Name&gt;&gt;</t>
  </si>
  <si>
    <t>Email</t>
  </si>
  <si>
    <t>MobilePhone</t>
  </si>
  <si>
    <t>&lt;MobilePhone&gt;&gt;</t>
  </si>
  <si>
    <t>&lt;email&gt;&gt;</t>
  </si>
  <si>
    <t>&lt;CourseExpiryDate&gt;&gt;</t>
  </si>
  <si>
    <t>*From helper table</t>
  </si>
  <si>
    <t>Grand Total</t>
  </si>
  <si>
    <t>CB*</t>
  </si>
  <si>
    <t>Issued</t>
  </si>
  <si>
    <t>Course_index</t>
  </si>
  <si>
    <t/>
  </si>
  <si>
    <t>StatusName</t>
  </si>
  <si>
    <t>Competency Group</t>
  </si>
  <si>
    <t>Status in OPMS</t>
  </si>
  <si>
    <t>Attachement</t>
  </si>
  <si>
    <t>&lt;CourseEndDate&gt;&gt;</t>
  </si>
  <si>
    <t>UNITED</t>
  </si>
  <si>
    <t>EVAN FARMER</t>
  </si>
  <si>
    <t>efarmer@live.com.au</t>
  </si>
  <si>
    <t>+61415804246</t>
  </si>
  <si>
    <t>QL-01 AMSA Master II/2 (Unlimited)</t>
  </si>
  <si>
    <t>Mandatory</t>
  </si>
  <si>
    <t>Master</t>
  </si>
  <si>
    <t>Yes</t>
  </si>
  <si>
    <t>1. Qualification</t>
  </si>
  <si>
    <t>QL-13 AMSA ECDIS Endorsement (STCW Reg II/1 &amp; II/2)</t>
  </si>
  <si>
    <t>QL-14 AMSA GMDSS/ General Radio Operator IV/2</t>
  </si>
  <si>
    <t>QL-16 Carry out Fast Rescue Craft Operations (MARF034)</t>
  </si>
  <si>
    <t>Ratio</t>
  </si>
  <si>
    <t>QL-17 AMSA Certificate of Medical Fitness</t>
  </si>
  <si>
    <t>QL-18 Provide First Aid - HLTAID011</t>
  </si>
  <si>
    <t>QL-19 Adv Resuscitation and Oxygen Therapy - HLTIAD015</t>
  </si>
  <si>
    <t>VS-01 Maritime Security Identification Card (MSIC)</t>
  </si>
  <si>
    <t>2. Vessel Specific</t>
  </si>
  <si>
    <t>VS-02 ECDIS Specific FURUNO</t>
  </si>
  <si>
    <t>Perpetual</t>
  </si>
  <si>
    <t>VS-04 Helm CONNECT - Crew Basic + Jobs</t>
  </si>
  <si>
    <t>VS-05 MRN - Connecting Tug to Barge Articouple Sys</t>
  </si>
  <si>
    <t>PS-01 MRN - Marine Fauna Observer</t>
  </si>
  <si>
    <t>3. Project Specific</t>
  </si>
  <si>
    <t>PS-02 MinRes - Mooring Operations Awareness-Onslow</t>
  </si>
  <si>
    <t>MS-01 Seaways Phase 1: ASD/ATB Theory (Online)</t>
  </si>
  <si>
    <t>4. Master Specific</t>
  </si>
  <si>
    <t>MS-02 Seaways Phase 2: (TugSim) ASD Tug Handling</t>
  </si>
  <si>
    <t>MS-03 Seaways Phase 3:(TugSim) Articulated Tug &amp; Barge (ATB) Manoeuvring &amp; PEC</t>
  </si>
  <si>
    <t>MS-04 Phase 4a - On-Water Training &amp; Practical Assessment ASD</t>
  </si>
  <si>
    <t>MS-05 Phase 4b - On-Water Training &amp; Practical Assessment ATB</t>
  </si>
  <si>
    <t>MS-06 Phase 5 - On-Water Passing in the LNG Swing Basin</t>
  </si>
  <si>
    <t>MS-07 Pilotage Exemption - Ashburton, Coolibah</t>
  </si>
  <si>
    <t>CS-01 MRN - EMS Tech Mat Handling - Single Point Loading</t>
  </si>
  <si>
    <t>5. Cargo System</t>
  </si>
  <si>
    <t>CS-02 MRN - EMS Tech Mat Handling - Self-Unloading</t>
  </si>
  <si>
    <t>CS-03 Cargo System Operator - Practical (MRM-ATB-OCS-ASS-0001)</t>
  </si>
  <si>
    <t>PT-01 MinRes - Lock Holder, Isolation and Tagging</t>
  </si>
  <si>
    <t>7. Permit to Work</t>
  </si>
  <si>
    <t>PT-02 Enter and Work in Confined Spaces - RIIWHS202E</t>
  </si>
  <si>
    <t>PT-03 Work Safely at Heights (WSAH)</t>
  </si>
  <si>
    <t>VI-01 Onboard induction-Coolibah</t>
  </si>
  <si>
    <t>8. Vessel Induction</t>
  </si>
  <si>
    <t>VI-02 MRN - Tug and Barge Induction Completion Certificate</t>
  </si>
  <si>
    <t>PI-01 MinRes - Code of Conduct &amp; Business Integrity</t>
  </si>
  <si>
    <t>9. Project Induction</t>
  </si>
  <si>
    <t>PI-03 MinRes - Hazard Report Card,Take Time and JHA</t>
  </si>
  <si>
    <t>PI-04 MinRes - Manual Handling</t>
  </si>
  <si>
    <t>PI-05 MinRes - Operational Health and Safety Induction</t>
  </si>
  <si>
    <t>PI-06 MinRes - Safe and Respectful Behaviours</t>
  </si>
  <si>
    <t>PI-07 MinRes - Welcome to MinRes</t>
  </si>
  <si>
    <t>PI-08 MinRes - Cybersecurity Awareness Training</t>
  </si>
  <si>
    <t>PI-09 MinRes - Critical Risk Management (CRM) Awareness</t>
  </si>
  <si>
    <t>PI-10 MinRes - Airborne Contaminant Awareness</t>
  </si>
  <si>
    <t>MATTHEW JONES</t>
  </si>
  <si>
    <t>jonesmatthew2021@gmail.com</t>
  </si>
  <si>
    <t>+61407103112</t>
  </si>
  <si>
    <t>ROHIN JITENDER</t>
  </si>
  <si>
    <t>rohinjitender@gmail.com</t>
  </si>
  <si>
    <t>+61493436296</t>
  </si>
  <si>
    <t>Chief Mate Unlimited</t>
  </si>
  <si>
    <t>QL-02 AMSA Chief Mate II/2 Unlimited</t>
  </si>
  <si>
    <t>CS-04 Cargo System Operator - Trainer (MRM-ATB-OCS-ASS-0002)</t>
  </si>
  <si>
    <t>No</t>
  </si>
  <si>
    <t>HR-02 WorkSafe - CV - Licence to Operate a Vehicle Loading Crane</t>
  </si>
  <si>
    <t>6. High Risk Work Licence (HRWL)</t>
  </si>
  <si>
    <t>RYAN STEWART</t>
  </si>
  <si>
    <t>ryno.stewart@hotmail.com</t>
  </si>
  <si>
    <t>+61429991739</t>
  </si>
  <si>
    <t>QL-03 AMSA Master &lt;100m (Near Coastal)</t>
  </si>
  <si>
    <t>Chief Mate (2)</t>
  </si>
  <si>
    <t>QL-12 AMSA Cert of Safety Training VI/1</t>
  </si>
  <si>
    <t>QL-15 Long Range Operator Certificate of Proficiency (LROCP)</t>
  </si>
  <si>
    <t>JACK COOK</t>
  </si>
  <si>
    <t>jack.cook@live.com</t>
  </si>
  <si>
    <t>+61427523821</t>
  </si>
  <si>
    <t>QL-04 AMSA Master &lt;45m (Near Coastal)</t>
  </si>
  <si>
    <t>2nd Mate</t>
  </si>
  <si>
    <t>ZACHARY RUBOCK</t>
  </si>
  <si>
    <t>zachary.rubock@outlook.com</t>
  </si>
  <si>
    <t>+61408629289</t>
  </si>
  <si>
    <t>ANDRIY OZHOGA</t>
  </si>
  <si>
    <t>andreyozhoga@gmail.com</t>
  </si>
  <si>
    <t>+61435850430</t>
  </si>
  <si>
    <t>QL-05 AMSA Engineer Class 1 III/2 (Motor)</t>
  </si>
  <si>
    <t>Chief Eng</t>
  </si>
  <si>
    <t>DAVID BUTLER</t>
  </si>
  <si>
    <t>butlerdr@utas.edu.au</t>
  </si>
  <si>
    <t>+61404530020</t>
  </si>
  <si>
    <t>QL-06 Engineer Class 2, Second Engineer, Chief Engineer &lt;3000 kW (Motor)</t>
  </si>
  <si>
    <t>1st Eng</t>
  </si>
  <si>
    <t>FINN KEELEY</t>
  </si>
  <si>
    <t>finnkeeleyyacht@outlook.com</t>
  </si>
  <si>
    <t>+61434100192</t>
  </si>
  <si>
    <t>QL-07 AMSA Engineer Class 3 (Near Coastal)</t>
  </si>
  <si>
    <t>Assistant Engineer</t>
  </si>
  <si>
    <t>HR-01 Worksafe - Dogging - DG</t>
  </si>
  <si>
    <t>JAMIE MILLER</t>
  </si>
  <si>
    <t>jamie.dante.miller@gmail.com</t>
  </si>
  <si>
    <t>+61413020329</t>
  </si>
  <si>
    <t>KYLE ASANGE</t>
  </si>
  <si>
    <t>kyle.asange@outlook.com</t>
  </si>
  <si>
    <t>+61488977810</t>
  </si>
  <si>
    <t>MRL - GPH Accepted CoC (QL-08,09,10)</t>
  </si>
  <si>
    <t>GPH</t>
  </si>
  <si>
    <t>QL-20 SITXFSA005 – Use hygienic practices for food safety</t>
  </si>
  <si>
    <t>ERIC BATERNA</t>
  </si>
  <si>
    <t>e5_henn@yahoo.com</t>
  </si>
  <si>
    <t>+61406921883</t>
  </si>
  <si>
    <t>DYLAN EVANS</t>
  </si>
  <si>
    <t>dpemarine1@gmail.com</t>
  </si>
  <si>
    <t>+61439900123</t>
  </si>
  <si>
    <t>BRADD HEARFIELD</t>
  </si>
  <si>
    <t>hearfieldbradd@gmail.com</t>
  </si>
  <si>
    <t>+61405246623</t>
  </si>
  <si>
    <t>LUKE MACKNAMARA</t>
  </si>
  <si>
    <t>Lukemacknamara1993@gmail.com</t>
  </si>
  <si>
    <t>+61497077569</t>
  </si>
  <si>
    <t>MARK JAY TADIAMAN</t>
  </si>
  <si>
    <t>ttadiaman@gmail.com</t>
  </si>
  <si>
    <t>+61474543911</t>
  </si>
  <si>
    <t>TAMAS OROSZ</t>
  </si>
  <si>
    <t>tomikasilver@gmail.com</t>
  </si>
  <si>
    <t>+61474131884</t>
  </si>
  <si>
    <t>QL-11 AMSA Prof in Marine Cook</t>
  </si>
  <si>
    <t>Marine Cook</t>
  </si>
  <si>
    <t>BRENTON EVANS</t>
  </si>
  <si>
    <t>brentonwevans@gmail.com</t>
  </si>
  <si>
    <t>+61407019064</t>
  </si>
  <si>
    <t>ARTHUR TYMOFEYEV</t>
  </si>
  <si>
    <t>a.tymofeyev@gmail.com</t>
  </si>
  <si>
    <t>+61467930313</t>
  </si>
  <si>
    <t>RUWAN WITHARANA</t>
  </si>
  <si>
    <t>ruwanw@rocketmail.com</t>
  </si>
  <si>
    <t>+61466059226</t>
  </si>
  <si>
    <t>MICHAEL ROGERS</t>
  </si>
  <si>
    <t>mickcrogers@gmail.com</t>
  </si>
  <si>
    <t>+61447123920</t>
  </si>
  <si>
    <t>JOHN BAUTISTA</t>
  </si>
  <si>
    <t>johnleo_rbautista@yahoo.com</t>
  </si>
  <si>
    <t>+61431055499</t>
  </si>
  <si>
    <t>MATTHEW KINGDON</t>
  </si>
  <si>
    <t>kingdon.ent@yahoo.com</t>
  </si>
  <si>
    <t>+61477730436</t>
  </si>
  <si>
    <t>ANAND PATWARDHAN</t>
  </si>
  <si>
    <t>anand.patwardhan@mrl.com.au</t>
  </si>
  <si>
    <t>+61477870866</t>
  </si>
  <si>
    <t>SAVIO ATHIHE</t>
  </si>
  <si>
    <t>sanisavio@gmail.com</t>
  </si>
  <si>
    <t>+61477794890</t>
  </si>
  <si>
    <t>LEON CLEMONES</t>
  </si>
  <si>
    <t>leonclemones@mac.com</t>
  </si>
  <si>
    <t>+61484905964</t>
  </si>
  <si>
    <t>ANTON PEJIC</t>
  </si>
  <si>
    <t>pejicant@gmail.com</t>
  </si>
  <si>
    <t>+61429857042</t>
  </si>
  <si>
    <t>ANDREW WRIGHT</t>
  </si>
  <si>
    <t>djandyfine@gmail.com</t>
  </si>
  <si>
    <t>+61451001045</t>
  </si>
  <si>
    <t>MICHAEL DOUGLAS</t>
  </si>
  <si>
    <t>M.i.d2010@hotmail.com</t>
  </si>
  <si>
    <t>+61400019669</t>
  </si>
  <si>
    <t>MATTHEW DWYER</t>
  </si>
  <si>
    <t>mattdwyer135@gmail.com</t>
  </si>
  <si>
    <t>+61416864088</t>
  </si>
  <si>
    <t>JAKE ENGLISH</t>
  </si>
  <si>
    <t>jake-english@outlook.com</t>
  </si>
  <si>
    <t>+61408764024</t>
  </si>
  <si>
    <t>ZANE ENGLISH</t>
  </si>
  <si>
    <t>zane1247@hotmail.com</t>
  </si>
  <si>
    <t>+61448485797</t>
  </si>
  <si>
    <t>MARLOU MATA</t>
  </si>
  <si>
    <t>marlou_princesscruise@yahoo.com</t>
  </si>
  <si>
    <t>+61415200139</t>
  </si>
  <si>
    <t>KACHIN SITTIYOS</t>
  </si>
  <si>
    <t>K_CHIN_CHIN@HOTMAIL.COM</t>
  </si>
  <si>
    <t>+61488464075</t>
  </si>
  <si>
    <t>PREETHAM KUMAR</t>
  </si>
  <si>
    <t>preethamk79@gmail.com</t>
  </si>
  <si>
    <t>+61422426229</t>
  </si>
  <si>
    <t>RANAWEERA YASAS KALUARACHCHI</t>
  </si>
  <si>
    <t>chaminda.kaluarachchi@gmail.com</t>
  </si>
  <si>
    <t>+61455174270</t>
  </si>
  <si>
    <t>MATTHEW ROSE</t>
  </si>
  <si>
    <t>matt.rose71@gmail.com</t>
  </si>
  <si>
    <t>+61416018453</t>
  </si>
  <si>
    <t>NORSE</t>
  </si>
  <si>
    <t>CHRISTOPHER AYERS</t>
  </si>
  <si>
    <t>chris.j.ayers87@gmail.com</t>
  </si>
  <si>
    <t>+61408036814</t>
  </si>
  <si>
    <t>CORNELIUS KEOGH</t>
  </si>
  <si>
    <t>con.keogh02@gmail.com</t>
  </si>
  <si>
    <t>+61417191455</t>
  </si>
  <si>
    <t>JUSTIN MACDONALD</t>
  </si>
  <si>
    <t>jmac2804@gmail.com</t>
  </si>
  <si>
    <t>+61476693153</t>
  </si>
  <si>
    <t>TRAVIS MICHALZIK</t>
  </si>
  <si>
    <t>travismichalzik@gmail.com</t>
  </si>
  <si>
    <t>+61461297690</t>
  </si>
  <si>
    <t>KARTHIK MURUGESAN</t>
  </si>
  <si>
    <t>karthikapple91@gmail.com</t>
  </si>
  <si>
    <t>+61422788871</t>
  </si>
  <si>
    <t>UNITED AA TRAVEL REQUESTS</t>
  </si>
  <si>
    <t>Travel Request</t>
  </si>
  <si>
    <t>Travel Information</t>
  </si>
  <si>
    <t>0 Travel</t>
  </si>
  <si>
    <t>Evan Farmer</t>
  </si>
  <si>
    <t>18/04/2028</t>
  </si>
  <si>
    <t>19/04/2023</t>
  </si>
  <si>
    <t>8/12/2029</t>
  </si>
  <si>
    <t>9/12/2024</t>
  </si>
  <si>
    <t>13/11/2026</t>
  </si>
  <si>
    <t>13/11/2024</t>
  </si>
  <si>
    <t>15/07/2027</t>
  </si>
  <si>
    <t>15/07/2024</t>
  </si>
  <si>
    <t>30/06/2029</t>
  </si>
  <si>
    <t>30/06/2025</t>
  </si>
  <si>
    <t>13/06/2024</t>
  </si>
  <si>
    <t>21/05/2025</t>
  </si>
  <si>
    <t>23/12/2027</t>
  </si>
  <si>
    <t>23/12/2025</t>
  </si>
  <si>
    <t>21/12/2027</t>
  </si>
  <si>
    <t>21/12/2025</t>
  </si>
  <si>
    <t>7/12/2027</t>
  </si>
  <si>
    <t>7/12/2025</t>
  </si>
  <si>
    <t>21/07/2025</t>
  </si>
  <si>
    <t>28/06/2024</t>
  </si>
  <si>
    <t>5/07/2024</t>
  </si>
  <si>
    <t>21/07/2026</t>
  </si>
  <si>
    <t>16/09/2024</t>
  </si>
  <si>
    <t>22/10/2025</t>
  </si>
  <si>
    <t>19/09/2026</t>
  </si>
  <si>
    <t>19/09/2024</t>
  </si>
  <si>
    <t>28/08/2027</t>
  </si>
  <si>
    <t>28/08/2025</t>
  </si>
  <si>
    <t>27/08/2027</t>
  </si>
  <si>
    <t>27/08/2025</t>
  </si>
  <si>
    <t>1/01/2026</t>
  </si>
  <si>
    <t>30/06/2024</t>
  </si>
  <si>
    <t>7/10/2028</t>
  </si>
  <si>
    <t>8/10/2025</t>
  </si>
  <si>
    <t>22/07/2024</t>
  </si>
  <si>
    <t>8/03/2027</t>
  </si>
  <si>
    <t>8/03/2025</t>
  </si>
  <si>
    <t>31/08/2027</t>
  </si>
  <si>
    <t>31/08/2025</t>
  </si>
  <si>
    <t>1/07/2029</t>
  </si>
  <si>
    <t>1/07/2024</t>
  </si>
  <si>
    <t>29/06/2027</t>
  </si>
  <si>
    <t>29/06/2024</t>
  </si>
  <si>
    <t>19/07/2029</t>
  </si>
  <si>
    <t>19/07/2026</t>
  </si>
  <si>
    <t>30/04/2028</t>
  </si>
  <si>
    <t>30/04/2026</t>
  </si>
  <si>
    <t>17/01/2028</t>
  </si>
  <si>
    <t>17/01/2026</t>
  </si>
  <si>
    <t>Matthew Jones</t>
  </si>
  <si>
    <t>31/12/2026</t>
  </si>
  <si>
    <t>14/10/2021</t>
  </si>
  <si>
    <t>21/01/2031</t>
  </si>
  <si>
    <t>22/01/2026</t>
  </si>
  <si>
    <t>14/02/2027</t>
  </si>
  <si>
    <t>9/09/2021</t>
  </si>
  <si>
    <t>13/10/2026</t>
  </si>
  <si>
    <t>10/10/2026</t>
  </si>
  <si>
    <t>10/10/2024</t>
  </si>
  <si>
    <t>29/12/2026</t>
  </si>
  <si>
    <t>24/05/2023</t>
  </si>
  <si>
    <t>31/12/2029</t>
  </si>
  <si>
    <t>31/12/2025</t>
  </si>
  <si>
    <t>5/04/2024</t>
  </si>
  <si>
    <t>2/05/2025</t>
  </si>
  <si>
    <t>18/01/2028</t>
  </si>
  <si>
    <t>18/01/2026</t>
  </si>
  <si>
    <t>14/01/2028</t>
  </si>
  <si>
    <t>14/01/2026</t>
  </si>
  <si>
    <t>8/12/2027</t>
  </si>
  <si>
    <t>8/12/2025</t>
  </si>
  <si>
    <t>15/04/2024</t>
  </si>
  <si>
    <t>9/02/2024</t>
  </si>
  <si>
    <t>16/02/2024</t>
  </si>
  <si>
    <t>1/09/2024</t>
  </si>
  <si>
    <t>31/08/2024</t>
  </si>
  <si>
    <t>20/10/2025</t>
  </si>
  <si>
    <t>3/09/2026</t>
  </si>
  <si>
    <t>3/09/2024</t>
  </si>
  <si>
    <t>11/05/2029</t>
  </si>
  <si>
    <t>11/05/2024</t>
  </si>
  <si>
    <t>27/01/2029</t>
  </si>
  <si>
    <t>28/01/2026</t>
  </si>
  <si>
    <t>19/04/2024</t>
  </si>
  <si>
    <t>18/05/2027</t>
  </si>
  <si>
    <t>18/05/2025</t>
  </si>
  <si>
    <t>9/04/2028</t>
  </si>
  <si>
    <t>9/04/2026</t>
  </si>
  <si>
    <t>11/05/2027</t>
  </si>
  <si>
    <t>26/07/2028</t>
  </si>
  <si>
    <t>26/07/2026</t>
  </si>
  <si>
    <t>26/01/2028</t>
  </si>
  <si>
    <t>26/01/2026</t>
  </si>
  <si>
    <t>8/05/2024</t>
  </si>
  <si>
    <t>Rohin Jitender</t>
  </si>
  <si>
    <t>22/12/2027</t>
  </si>
  <si>
    <t>23/12/2022</t>
  </si>
  <si>
    <t>29/01/2031</t>
  </si>
  <si>
    <t>15/04/2026</t>
  </si>
  <si>
    <t>17/10/2029</t>
  </si>
  <si>
    <t>17/10/2024</t>
  </si>
  <si>
    <t>11/03/2028</t>
  </si>
  <si>
    <t>12/03/2026</t>
  </si>
  <si>
    <t>3/05/2027</t>
  </si>
  <si>
    <t>3/05/2024</t>
  </si>
  <si>
    <t>6/05/2027</t>
  </si>
  <si>
    <t>6/05/2026</t>
  </si>
  <si>
    <t>31/12/2028</t>
  </si>
  <si>
    <t>31/12/2024</t>
  </si>
  <si>
    <t>23/07/2017</t>
  </si>
  <si>
    <t>14/04/2024</t>
  </si>
  <si>
    <t>22/12/2025</t>
  </si>
  <si>
    <t>25/10/2027</t>
  </si>
  <si>
    <t>25/10/2025</t>
  </si>
  <si>
    <t>1/06/2024</t>
  </si>
  <si>
    <t>8/05/2029</t>
  </si>
  <si>
    <t>19/05/2024</t>
  </si>
  <si>
    <t>16/04/2027</t>
  </si>
  <si>
    <t>16/04/2025</t>
  </si>
  <si>
    <t>8/05/2027</t>
  </si>
  <si>
    <t>27/07/2029</t>
  </si>
  <si>
    <t>27/07/2026</t>
  </si>
  <si>
    <t>31/03/2028</t>
  </si>
  <si>
    <t>31/03/2026</t>
  </si>
  <si>
    <t>9/05/2024</t>
  </si>
  <si>
    <t>6/12/2027</t>
  </si>
  <si>
    <t>6/12/2025</t>
  </si>
  <si>
    <t>Ryan Stewart</t>
  </si>
  <si>
    <t>29/04/2031</t>
  </si>
  <si>
    <t>19/10/2030</t>
  </si>
  <si>
    <t>9/09/2025</t>
  </si>
  <si>
    <t>8/08/2026</t>
  </si>
  <si>
    <t>8/08/2021</t>
  </si>
  <si>
    <t>20/02/2027</t>
  </si>
  <si>
    <t>20/02/2025</t>
  </si>
  <si>
    <t>26/02/2027</t>
  </si>
  <si>
    <t>26/02/2024</t>
  </si>
  <si>
    <t>19/02/2027</t>
  </si>
  <si>
    <t>19/02/2026</t>
  </si>
  <si>
    <t>30/11/2028</t>
  </si>
  <si>
    <t>30/11/2024</t>
  </si>
  <si>
    <t>7/04/2024</t>
  </si>
  <si>
    <t>28/01/2028</t>
  </si>
  <si>
    <t>30/11/2027</t>
  </si>
  <si>
    <t>30/11/2025</t>
  </si>
  <si>
    <t>17/10/2027</t>
  </si>
  <si>
    <t>17/10/2025</t>
  </si>
  <si>
    <t>10/05/2029</t>
  </si>
  <si>
    <t>10/05/2024</t>
  </si>
  <si>
    <t>7/03/2027</t>
  </si>
  <si>
    <t>7/03/2025</t>
  </si>
  <si>
    <t>12/03/2028</t>
  </si>
  <si>
    <t>10/05/2027</t>
  </si>
  <si>
    <t>26/07/2029</t>
  </si>
  <si>
    <t>14/03/2028</t>
  </si>
  <si>
    <t>14/03/2026</t>
  </si>
  <si>
    <t>9/12/2027</t>
  </si>
  <si>
    <t>9/12/2025</t>
  </si>
  <si>
    <t>18/10/2027</t>
  </si>
  <si>
    <t>18/10/2025</t>
  </si>
  <si>
    <t>12/10/2030</t>
  </si>
  <si>
    <t>13/10/2025</t>
  </si>
  <si>
    <t>8/08/2031</t>
  </si>
  <si>
    <t>30/12/1899</t>
  </si>
  <si>
    <t>Jack Cook</t>
  </si>
  <si>
    <t>4/02/2031</t>
  </si>
  <si>
    <t>5/02/2026</t>
  </si>
  <si>
    <t>5/01/2028</t>
  </si>
  <si>
    <t>5/01/2026</t>
  </si>
  <si>
    <t>19/07/2028</t>
  </si>
  <si>
    <t>19/07/2025</t>
  </si>
  <si>
    <t>4/03/2025</t>
  </si>
  <si>
    <t>30/06/2028</t>
  </si>
  <si>
    <t>21/06/2026</t>
  </si>
  <si>
    <t>24/03/2024</t>
  </si>
  <si>
    <t>10/04/2024</t>
  </si>
  <si>
    <t>19/12/2027</t>
  </si>
  <si>
    <t>19/12/2025</t>
  </si>
  <si>
    <t>1/12/2027</t>
  </si>
  <si>
    <t>1/12/2025</t>
  </si>
  <si>
    <t>9/05/2029</t>
  </si>
  <si>
    <t>23/02/2028</t>
  </si>
  <si>
    <t>23/02/2026</t>
  </si>
  <si>
    <t>9/05/2027</t>
  </si>
  <si>
    <t>16/07/2029</t>
  </si>
  <si>
    <t>16/07/2026</t>
  </si>
  <si>
    <t>2/12/2027</t>
  </si>
  <si>
    <t>2/12/2025</t>
  </si>
  <si>
    <t>13/07/2031</t>
  </si>
  <si>
    <t>14/07/2026</t>
  </si>
  <si>
    <t>28/10/2028</t>
  </si>
  <si>
    <t>5/07/2023</t>
  </si>
  <si>
    <t>Zachary Rubock</t>
  </si>
  <si>
    <t>1/04/2029</t>
  </si>
  <si>
    <t>2/04/2024</t>
  </si>
  <si>
    <t>28/05/2027</t>
  </si>
  <si>
    <t>28/05/2025</t>
  </si>
  <si>
    <t>24/04/2027</t>
  </si>
  <si>
    <t>24/04/2024</t>
  </si>
  <si>
    <t>31/10/2027</t>
  </si>
  <si>
    <t>31/10/2023</t>
  </si>
  <si>
    <t>27/03/2024</t>
  </si>
  <si>
    <t>21/04/2024</t>
  </si>
  <si>
    <t>12/12/2027</t>
  </si>
  <si>
    <t>12/12/2025</t>
  </si>
  <si>
    <t>20/10/2027</t>
  </si>
  <si>
    <t>20/05/2024</t>
  </si>
  <si>
    <t>19/02/2028</t>
  </si>
  <si>
    <t>6/05/2029</t>
  </si>
  <si>
    <t>6/05/2024</t>
  </si>
  <si>
    <t>15/07/2029</t>
  </si>
  <si>
    <t>15/07/2026</t>
  </si>
  <si>
    <t>21/06/2027</t>
  </si>
  <si>
    <t>21/06/2025</t>
  </si>
  <si>
    <t>18/12/2021</t>
  </si>
  <si>
    <t>20/09/2027</t>
  </si>
  <si>
    <t>21/09/2022</t>
  </si>
  <si>
    <t>15/05/2027</t>
  </si>
  <si>
    <t>5/06/2023</t>
  </si>
  <si>
    <t>Andriy Ozhoga</t>
  </si>
  <si>
    <t>28/07/2027</t>
  </si>
  <si>
    <t>28/07/2025</t>
  </si>
  <si>
    <t>15/02/2027</t>
  </si>
  <si>
    <t>15/02/2024</t>
  </si>
  <si>
    <t>31/03/2027</t>
  </si>
  <si>
    <t>31/03/2023</t>
  </si>
  <si>
    <t>25/02/2029</t>
  </si>
  <si>
    <t>26/02/2026</t>
  </si>
  <si>
    <t>11/03/2027</t>
  </si>
  <si>
    <t>11/03/2025</t>
  </si>
  <si>
    <t>18/07/2029</t>
  </si>
  <si>
    <t>18/07/2026</t>
  </si>
  <si>
    <t>16/01/2028</t>
  </si>
  <si>
    <t>16/01/2026</t>
  </si>
  <si>
    <t>25/10/2028</t>
  </si>
  <si>
    <t>6/12/2023</t>
  </si>
  <si>
    <t>David Butler</t>
  </si>
  <si>
    <t>30/09/2027</t>
  </si>
  <si>
    <t>30/09/2025</t>
  </si>
  <si>
    <t>21/02/2027</t>
  </si>
  <si>
    <t>22/02/2024</t>
  </si>
  <si>
    <t>30/11/2023</t>
  </si>
  <si>
    <t>21/04/2025</t>
  </si>
  <si>
    <t>5/12/2027</t>
  </si>
  <si>
    <t>5/12/2025</t>
  </si>
  <si>
    <t>7/04/2030</t>
  </si>
  <si>
    <t>7/04/2025</t>
  </si>
  <si>
    <t>5/11/2027</t>
  </si>
  <si>
    <t>5/11/2024</t>
  </si>
  <si>
    <t>4/11/2027</t>
  </si>
  <si>
    <t>4/11/2024</t>
  </si>
  <si>
    <t>26/04/2025</t>
  </si>
  <si>
    <t>1/03/2028</t>
  </si>
  <si>
    <t>1/03/2026</t>
  </si>
  <si>
    <t>5/04/2028</t>
  </si>
  <si>
    <t>6/04/2025</t>
  </si>
  <si>
    <t>7/04/2027</t>
  </si>
  <si>
    <t>25/03/2024</t>
  </si>
  <si>
    <t>Finn Keeley</t>
  </si>
  <si>
    <t>10/11/2027</t>
  </si>
  <si>
    <t>10/11/2025</t>
  </si>
  <si>
    <t>10/12/2027</t>
  </si>
  <si>
    <t>10/12/2024</t>
  </si>
  <si>
    <t>31/10/2029</t>
  </si>
  <si>
    <t>31/10/2025</t>
  </si>
  <si>
    <t>9/05/2025</t>
  </si>
  <si>
    <t>5/09/2027</t>
  </si>
  <si>
    <t>5/09/2025</t>
  </si>
  <si>
    <t>27/08/2029</t>
  </si>
  <si>
    <t>27/08/2024</t>
  </si>
  <si>
    <t>16/04/2028</t>
  </si>
  <si>
    <t>16/04/2026</t>
  </si>
  <si>
    <t>17/09/2024</t>
  </si>
  <si>
    <t>10/12/2025</t>
  </si>
  <si>
    <t>25/08/2029</t>
  </si>
  <si>
    <t>25/08/2024</t>
  </si>
  <si>
    <t>25/08/2027</t>
  </si>
  <si>
    <t>25/10/2024</t>
  </si>
  <si>
    <t>17/09/2029</t>
  </si>
  <si>
    <t>13/08/2029</t>
  </si>
  <si>
    <t>14/08/2024</t>
  </si>
  <si>
    <t>Jamie Miller</t>
  </si>
  <si>
    <t>24/08/2027</t>
  </si>
  <si>
    <t>24/08/2025</t>
  </si>
  <si>
    <t>20/02/2029</t>
  </si>
  <si>
    <t>20/02/2026</t>
  </si>
  <si>
    <t>2/02/2027</t>
  </si>
  <si>
    <t>2/02/2026</t>
  </si>
  <si>
    <t>30/04/2030</t>
  </si>
  <si>
    <t>12/05/2029</t>
  </si>
  <si>
    <t>12/05/2024</t>
  </si>
  <si>
    <t>12/04/2028</t>
  </si>
  <si>
    <t>12/04/2026</t>
  </si>
  <si>
    <t>10/05/2030</t>
  </si>
  <si>
    <t>10/05/2025</t>
  </si>
  <si>
    <t>12/05/2027</t>
  </si>
  <si>
    <t>1/08/2029</t>
  </si>
  <si>
    <t>1/08/2026</t>
  </si>
  <si>
    <t>19/01/2028</t>
  </si>
  <si>
    <t>19/01/2026</t>
  </si>
  <si>
    <t>1/02/2028</t>
  </si>
  <si>
    <t>1/02/2026</t>
  </si>
  <si>
    <t>23/11/2026</t>
  </si>
  <si>
    <t>24/11/2021</t>
  </si>
  <si>
    <t>15/12/2028</t>
  </si>
  <si>
    <t>16/12/2023</t>
  </si>
  <si>
    <t>30/05/2029</t>
  </si>
  <si>
    <t>30/05/2024</t>
  </si>
  <si>
    <t>Kyle Asange</t>
  </si>
  <si>
    <t>22/06/2029</t>
  </si>
  <si>
    <t>23/05/2024</t>
  </si>
  <si>
    <t>25/06/2028</t>
  </si>
  <si>
    <t>25/06/2026</t>
  </si>
  <si>
    <t>5/05/2029</t>
  </si>
  <si>
    <t>5/05/2026</t>
  </si>
  <si>
    <t>13/02/2025</t>
  </si>
  <si>
    <t>31/05/2030</t>
  </si>
  <si>
    <t>1/05/2026</t>
  </si>
  <si>
    <t>4/05/2029</t>
  </si>
  <si>
    <t>4/05/2024</t>
  </si>
  <si>
    <t>8/04/2028</t>
  </si>
  <si>
    <t>8/04/2026</t>
  </si>
  <si>
    <t>30/01/2028</t>
  </si>
  <si>
    <t>30/01/2026</t>
  </si>
  <si>
    <t>4/05/2027</t>
  </si>
  <si>
    <t>23/07/2029</t>
  </si>
  <si>
    <t>23/07/2026</t>
  </si>
  <si>
    <t>5/05/2024</t>
  </si>
  <si>
    <t>28/08/2030</t>
  </si>
  <si>
    <t>30/06/2030</t>
  </si>
  <si>
    <t>3/12/2028</t>
  </si>
  <si>
    <t>4/12/2023</t>
  </si>
  <si>
    <t>Eric Baterna</t>
  </si>
  <si>
    <t>11/04/2028</t>
  </si>
  <si>
    <t>11/04/2025</t>
  </si>
  <si>
    <t>31/01/2028</t>
  </si>
  <si>
    <t>31/01/2024</t>
  </si>
  <si>
    <t>22/04/2025</t>
  </si>
  <si>
    <t>11/09/2027</t>
  </si>
  <si>
    <t>11/09/2025</t>
  </si>
  <si>
    <t>11/04/2030</t>
  </si>
  <si>
    <t>25/03/2028</t>
  </si>
  <si>
    <t>25/03/2026</t>
  </si>
  <si>
    <t>27/04/2025</t>
  </si>
  <si>
    <t>6/04/2027</t>
  </si>
  <si>
    <t>10/04/2030</t>
  </si>
  <si>
    <t>10/04/2025</t>
  </si>
  <si>
    <t>10/04/2028</t>
  </si>
  <si>
    <t>2/08/2029</t>
  </si>
  <si>
    <t>2/08/2026</t>
  </si>
  <si>
    <t>31/01/2026</t>
  </si>
  <si>
    <t>1/01/2028</t>
  </si>
  <si>
    <t>23/04/2030</t>
  </si>
  <si>
    <t>23/04/2025</t>
  </si>
  <si>
    <t>14/10/2030</t>
  </si>
  <si>
    <t>15/10/2025</t>
  </si>
  <si>
    <t>14/12/2030</t>
  </si>
  <si>
    <t>15/12/2025</t>
  </si>
  <si>
    <t>Dylan Evans</t>
  </si>
  <si>
    <t>16/03/2028</t>
  </si>
  <si>
    <t>17/03/2026</t>
  </si>
  <si>
    <t>30/04/2029</t>
  </si>
  <si>
    <t>30/04/2027</t>
  </si>
  <si>
    <t>31/01/2030</t>
  </si>
  <si>
    <t>9/04/2024</t>
  </si>
  <si>
    <t>6/09/2027</t>
  </si>
  <si>
    <t>6/09/2025</t>
  </si>
  <si>
    <t>22/03/2027</t>
  </si>
  <si>
    <t>22/03/2025</t>
  </si>
  <si>
    <t>7/05/2027</t>
  </si>
  <si>
    <t>7/05/2025</t>
  </si>
  <si>
    <t>16/07/2028</t>
  </si>
  <si>
    <t>25/06/2027</t>
  </si>
  <si>
    <t>25/06/2025</t>
  </si>
  <si>
    <t>25/03/2029</t>
  </si>
  <si>
    <t>3/09/2030</t>
  </si>
  <si>
    <t>4/09/2025</t>
  </si>
  <si>
    <t>31/10/2030</t>
  </si>
  <si>
    <t>1/11/2025</t>
  </si>
  <si>
    <t>19/02/2024</t>
  </si>
  <si>
    <t>Bradd Hearfield</t>
  </si>
  <si>
    <t>18/03/2028</t>
  </si>
  <si>
    <t>19/03/2026</t>
  </si>
  <si>
    <t>18/02/2026</t>
  </si>
  <si>
    <t>10/04/2026</t>
  </si>
  <si>
    <t>14/03/2027</t>
  </si>
  <si>
    <t>14/03/2025</t>
  </si>
  <si>
    <t>17/07/2028</t>
  </si>
  <si>
    <t>17/07/2026</t>
  </si>
  <si>
    <t>30/01/2027</t>
  </si>
  <si>
    <t>5/03/2029</t>
  </si>
  <si>
    <t>6/03/2024</t>
  </si>
  <si>
    <t>2/11/2027</t>
  </si>
  <si>
    <t>3/11/2022</t>
  </si>
  <si>
    <t>Luke Macknamara</t>
  </si>
  <si>
    <t>14/03/2029</t>
  </si>
  <si>
    <t>15/03/2024</t>
  </si>
  <si>
    <t>10/03/2028</t>
  </si>
  <si>
    <t>11/03/2026</t>
  </si>
  <si>
    <t>11/11/2023</t>
  </si>
  <si>
    <t>6/05/2031</t>
  </si>
  <si>
    <t>28/04/2028</t>
  </si>
  <si>
    <t>28/04/2026</t>
  </si>
  <si>
    <t>13/03/2027</t>
  </si>
  <si>
    <t>13/03/2025</t>
  </si>
  <si>
    <t>20/07/2029</t>
  </si>
  <si>
    <t>20/07/2026</t>
  </si>
  <si>
    <t>14/04/2029</t>
  </si>
  <si>
    <t>15/04/2025</t>
  </si>
  <si>
    <t>31/01/2031</t>
  </si>
  <si>
    <t>Mark Jay Tadiaman</t>
  </si>
  <si>
    <t>9/03/2028</t>
  </si>
  <si>
    <t>10/03/2026</t>
  </si>
  <si>
    <t>8/04/2027</t>
  </si>
  <si>
    <t>8/04/2024</t>
  </si>
  <si>
    <t>31/03/2030</t>
  </si>
  <si>
    <t>13/04/2024</t>
  </si>
  <si>
    <t>8/09/2027</t>
  </si>
  <si>
    <t>8/09/2025</t>
  </si>
  <si>
    <t>9/03/2027</t>
  </si>
  <si>
    <t>9/03/2025</t>
  </si>
  <si>
    <t>7/05/2029</t>
  </si>
  <si>
    <t>5/03/2031</t>
  </si>
  <si>
    <t>6/03/2026</t>
  </si>
  <si>
    <t>21/12/2030</t>
  </si>
  <si>
    <t>Tamas Orosz</t>
  </si>
  <si>
    <t>27/01/2028</t>
  </si>
  <si>
    <t>27/01/2026</t>
  </si>
  <si>
    <t>1/06/2023</t>
  </si>
  <si>
    <t>31/12/2022</t>
  </si>
  <si>
    <t>15/11/2030</t>
  </si>
  <si>
    <t>15/11/2025</t>
  </si>
  <si>
    <t>14/11/2027</t>
  </si>
  <si>
    <t>14/11/2025</t>
  </si>
  <si>
    <t>14/11/2028</t>
  </si>
  <si>
    <t>29/07/2029</t>
  </si>
  <si>
    <t>29/07/2026</t>
  </si>
  <si>
    <t>16/11/2025</t>
  </si>
  <si>
    <t>15/11/2027</t>
  </si>
  <si>
    <t>26/03/2024</t>
  </si>
  <si>
    <t>Brenton Evans</t>
  </si>
  <si>
    <t>26/05/2031</t>
  </si>
  <si>
    <t>27/05/2026</t>
  </si>
  <si>
    <t>7/10/2029</t>
  </si>
  <si>
    <t>6/08/2024</t>
  </si>
  <si>
    <t>18/06/2029</t>
  </si>
  <si>
    <t>18/06/2024</t>
  </si>
  <si>
    <t>2/02/2028</t>
  </si>
  <si>
    <t>28/02/2028</t>
  </si>
  <si>
    <t>28/02/2025</t>
  </si>
  <si>
    <t>28/02/2027</t>
  </si>
  <si>
    <t>28/02/2023</t>
  </si>
  <si>
    <t>6/11/2022</t>
  </si>
  <si>
    <t>6/01/2028</t>
  </si>
  <si>
    <t>6/01/2026</t>
  </si>
  <si>
    <t>5/03/2025</t>
  </si>
  <si>
    <t>10/03/2025</t>
  </si>
  <si>
    <t>16/03/2025</t>
  </si>
  <si>
    <t>19/11/2025</t>
  </si>
  <si>
    <t>10/04/2027</t>
  </si>
  <si>
    <t>6/10/2027</t>
  </si>
  <si>
    <t>6/10/2025</t>
  </si>
  <si>
    <t>14/09/2027</t>
  </si>
  <si>
    <t>14/09/2025</t>
  </si>
  <si>
    <t>7/02/2030</t>
  </si>
  <si>
    <t>7/02/2025</t>
  </si>
  <si>
    <t>17/04/2028</t>
  </si>
  <si>
    <t>17/04/2026</t>
  </si>
  <si>
    <t>28/03/2025</t>
  </si>
  <si>
    <t>18/03/2027</t>
  </si>
  <si>
    <t>18/03/2025</t>
  </si>
  <si>
    <t>3/01/2028</t>
  </si>
  <si>
    <t>3/01/2026</t>
  </si>
  <si>
    <t>6/02/2028</t>
  </si>
  <si>
    <t>6/02/2025</t>
  </si>
  <si>
    <t>14/07/2029</t>
  </si>
  <si>
    <t>23/11/2027</t>
  </si>
  <si>
    <t>23/11/2025</t>
  </si>
  <si>
    <t>5/01/2027</t>
  </si>
  <si>
    <t>Arthur Tymofeyev</t>
  </si>
  <si>
    <t>26/09/2027</t>
  </si>
  <si>
    <t>27/09/2022</t>
  </si>
  <si>
    <t>25/02/2026</t>
  </si>
  <si>
    <t>9/09/2026</t>
  </si>
  <si>
    <t>18/07/2027</t>
  </si>
  <si>
    <t>18/07/2025</t>
  </si>
  <si>
    <t>14/06/2027</t>
  </si>
  <si>
    <t>14/06/2024</t>
  </si>
  <si>
    <t>28/02/2030</t>
  </si>
  <si>
    <t>22/11/2027</t>
  </si>
  <si>
    <t>22/11/2025</t>
  </si>
  <si>
    <t>16/12/2024</t>
  </si>
  <si>
    <t>30/08/2024</t>
  </si>
  <si>
    <t>21/09/2025</t>
  </si>
  <si>
    <t>30/07/2028</t>
  </si>
  <si>
    <t>30/07/2026</t>
  </si>
  <si>
    <t>24/11/2027</t>
  </si>
  <si>
    <t>24/11/2025</t>
  </si>
  <si>
    <t>24/04/2025</t>
  </si>
  <si>
    <t>16/10/2027</t>
  </si>
  <si>
    <t>16/10/2025</t>
  </si>
  <si>
    <t>1/04/2027</t>
  </si>
  <si>
    <t>1/04/2025</t>
  </si>
  <si>
    <t>28/02/2026</t>
  </si>
  <si>
    <t>4/07/2026</t>
  </si>
  <si>
    <t>4/01/2028</t>
  </si>
  <si>
    <t>4/01/2026</t>
  </si>
  <si>
    <t>20/01/2028</t>
  </si>
  <si>
    <t>20/01/2026</t>
  </si>
  <si>
    <t>Ruwan Witharana</t>
  </si>
  <si>
    <t>31/10/2026</t>
  </si>
  <si>
    <t>24/10/2023</t>
  </si>
  <si>
    <t>10/10/2023</t>
  </si>
  <si>
    <t>8/03/2029</t>
  </si>
  <si>
    <t>8/03/2024</t>
  </si>
  <si>
    <t>13/10/2027</t>
  </si>
  <si>
    <t>16/01/2027</t>
  </si>
  <si>
    <t>16/01/2024</t>
  </si>
  <si>
    <t>12/02/2027</t>
  </si>
  <si>
    <t>12/02/2026</t>
  </si>
  <si>
    <t>17/03/2024</t>
  </si>
  <si>
    <t>12/01/2028</t>
  </si>
  <si>
    <t>12/01/2026</t>
  </si>
  <si>
    <t>19/09/2027</t>
  </si>
  <si>
    <t>19/09/2025</t>
  </si>
  <si>
    <t>17/09/2027</t>
  </si>
  <si>
    <t>17/09/2025</t>
  </si>
  <si>
    <t>1/01/2024</t>
  </si>
  <si>
    <t>13/04/2029</t>
  </si>
  <si>
    <t>15/04/2027</t>
  </si>
  <si>
    <t>11/08/2029</t>
  </si>
  <si>
    <t>11/08/2026</t>
  </si>
  <si>
    <t>Michael Rogers</t>
  </si>
  <si>
    <t>28/04/2031</t>
  </si>
  <si>
    <t>15/08/2029</t>
  </si>
  <si>
    <t>6/06/2024</t>
  </si>
  <si>
    <t>27/04/2031</t>
  </si>
  <si>
    <t>23/01/2027</t>
  </si>
  <si>
    <t>23/01/2025</t>
  </si>
  <si>
    <t>15/01/2027</t>
  </si>
  <si>
    <t>15/01/2024</t>
  </si>
  <si>
    <t>31/07/2029</t>
  </si>
  <si>
    <t>31/07/2025</t>
  </si>
  <si>
    <t>4/02/2024</t>
  </si>
  <si>
    <t>8/04/2025</t>
  </si>
  <si>
    <t>16/04/2029</t>
  </si>
  <si>
    <t>16/04/2024</t>
  </si>
  <si>
    <t>29/03/2027</t>
  </si>
  <si>
    <t>29/03/2025</t>
  </si>
  <si>
    <t>21/01/2028</t>
  </si>
  <si>
    <t>21/01/2026</t>
  </si>
  <si>
    <t>29/11/2027</t>
  </si>
  <si>
    <t>29/11/2025</t>
  </si>
  <si>
    <t>28/09/2030</t>
  </si>
  <si>
    <t>29/09/2025</t>
  </si>
  <si>
    <t>1/11/2024</t>
  </si>
  <si>
    <t>John Bautista</t>
  </si>
  <si>
    <t>27/06/2029</t>
  </si>
  <si>
    <t>26/11/2024</t>
  </si>
  <si>
    <t>19/03/2027</t>
  </si>
  <si>
    <t>19/03/2025</t>
  </si>
  <si>
    <t>7/01/2028</t>
  </si>
  <si>
    <t>7/01/2025</t>
  </si>
  <si>
    <t>3/01/2025</t>
  </si>
  <si>
    <t>19/04/2025</t>
  </si>
  <si>
    <t>25/11/2027</t>
  </si>
  <si>
    <t>25/11/2025</t>
  </si>
  <si>
    <t>22/09/2027</t>
  </si>
  <si>
    <t>22/09/2025</t>
  </si>
  <si>
    <t>21/09/2027</t>
  </si>
  <si>
    <t>5/01/2030</t>
  </si>
  <si>
    <t>5/01/2025</t>
  </si>
  <si>
    <t>1/03/2025</t>
  </si>
  <si>
    <t>28/03/2027</t>
  </si>
  <si>
    <t>10/08/2029</t>
  </si>
  <si>
    <t>10/08/2026</t>
  </si>
  <si>
    <t>Matthew Kingdon</t>
  </si>
  <si>
    <t>13/04/2028</t>
  </si>
  <si>
    <t>14/04/2026</t>
  </si>
  <si>
    <t>20/08/2028</t>
  </si>
  <si>
    <t>20/08/2025</t>
  </si>
  <si>
    <t>30/09/2023</t>
  </si>
  <si>
    <t>3/04/2024</t>
  </si>
  <si>
    <t>5/10/2027</t>
  </si>
  <si>
    <t>5/10/2025</t>
  </si>
  <si>
    <t>23/04/2024</t>
  </si>
  <si>
    <t>8/08/2028</t>
  </si>
  <si>
    <t>9/08/2023</t>
  </si>
  <si>
    <t>14/08/2029</t>
  </si>
  <si>
    <t>15/08/2024</t>
  </si>
  <si>
    <t>9/12/2028</t>
  </si>
  <si>
    <t>10/12/2023</t>
  </si>
  <si>
    <t>Anand Patwardhan</t>
  </si>
  <si>
    <t>17/01/2025</t>
  </si>
  <si>
    <t>26/11/2027</t>
  </si>
  <si>
    <t>26/11/2025</t>
  </si>
  <si>
    <t>13/09/2027</t>
  </si>
  <si>
    <t>13/09/2025</t>
  </si>
  <si>
    <t>1/12/2029</t>
  </si>
  <si>
    <t>12/09/2024</t>
  </si>
  <si>
    <t>Savio Athihe</t>
  </si>
  <si>
    <t>21/07/2028</t>
  </si>
  <si>
    <t>25/03/2027</t>
  </si>
  <si>
    <t>1/04/2026</t>
  </si>
  <si>
    <t>17/04/2024</t>
  </si>
  <si>
    <t>28/09/2027</t>
  </si>
  <si>
    <t>28/09/2025</t>
  </si>
  <si>
    <t>5/12/2024</t>
  </si>
  <si>
    <t>9/04/2027</t>
  </si>
  <si>
    <t>9/04/2025</t>
  </si>
  <si>
    <t>4/07/2023</t>
  </si>
  <si>
    <t>Leon Clemones</t>
  </si>
  <si>
    <t>3/05/2028</t>
  </si>
  <si>
    <t>4/05/2026</t>
  </si>
  <si>
    <t>15/07/2028</t>
  </si>
  <si>
    <t>15/07/2025</t>
  </si>
  <si>
    <t>31/01/2027</t>
  </si>
  <si>
    <t>31/01/2023</t>
  </si>
  <si>
    <t>17/04/2025</t>
  </si>
  <si>
    <t>28/11/2027</t>
  </si>
  <si>
    <t>28/11/2025</t>
  </si>
  <si>
    <t>12/01/2030</t>
  </si>
  <si>
    <t>12/01/2025</t>
  </si>
  <si>
    <t>29/07/2028</t>
  </si>
  <si>
    <t>2/06/2025</t>
  </si>
  <si>
    <t>18/04/2031</t>
  </si>
  <si>
    <t>18/04/2026</t>
  </si>
  <si>
    <t>17/12/2030</t>
  </si>
  <si>
    <t>12/02/2025</t>
  </si>
  <si>
    <t>1/08/2030</t>
  </si>
  <si>
    <t>1/09/2025</t>
  </si>
  <si>
    <t>Anton Pejic</t>
  </si>
  <si>
    <t>10/09/2027</t>
  </si>
  <si>
    <t>10/09/2025</t>
  </si>
  <si>
    <t>18/01/2025</t>
  </si>
  <si>
    <t>16/06/2029</t>
  </si>
  <si>
    <t>16/06/2024</t>
  </si>
  <si>
    <t>7/07/2024</t>
  </si>
  <si>
    <t>12/03/2027</t>
  </si>
  <si>
    <t>12/03/2025</t>
  </si>
  <si>
    <t>15/06/2029</t>
  </si>
  <si>
    <t>15/06/2024</t>
  </si>
  <si>
    <t>16/06/2027</t>
  </si>
  <si>
    <t>13/07/2026</t>
  </si>
  <si>
    <t>27/11/2027</t>
  </si>
  <si>
    <t>27/11/2025</t>
  </si>
  <si>
    <t>31/05/2024</t>
  </si>
  <si>
    <t>10/08/2027</t>
  </si>
  <si>
    <t>11/08/2022</t>
  </si>
  <si>
    <t>7/03/2028</t>
  </si>
  <si>
    <t>10/02/2026</t>
  </si>
  <si>
    <t>Andrew Wright</t>
  </si>
  <si>
    <t>31/10/2024</t>
  </si>
  <si>
    <t>2/10/2027</t>
  </si>
  <si>
    <t>2/10/2024</t>
  </si>
  <si>
    <t>29/02/2028</t>
  </si>
  <si>
    <t>29/02/2024</t>
  </si>
  <si>
    <t>6/02/2026</t>
  </si>
  <si>
    <t>9/02/2028</t>
  </si>
  <si>
    <t>9/02/2026</t>
  </si>
  <si>
    <t>2/12/2029</t>
  </si>
  <si>
    <t>2/12/2024</t>
  </si>
  <si>
    <t>4/02/2028</t>
  </si>
  <si>
    <t>4/02/2026</t>
  </si>
  <si>
    <t>4/02/2029</t>
  </si>
  <si>
    <t>13/07/2029</t>
  </si>
  <si>
    <t>3/10/2029</t>
  </si>
  <si>
    <t>3/10/2024</t>
  </si>
  <si>
    <t>18/09/2030</t>
  </si>
  <si>
    <t>Michael Douglas</t>
  </si>
  <si>
    <t>19/03/2029</t>
  </si>
  <si>
    <t>20/03/2024</t>
  </si>
  <si>
    <t>11/04/2024</t>
  </si>
  <si>
    <t>4/10/2027</t>
  </si>
  <si>
    <t>4/10/2025</t>
  </si>
  <si>
    <t>7/05/2024</t>
  </si>
  <si>
    <t>25/07/2028</t>
  </si>
  <si>
    <t>26/07/2023</t>
  </si>
  <si>
    <t>19/05/2027</t>
  </si>
  <si>
    <t>19/05/2022</t>
  </si>
  <si>
    <t>18/06/2031</t>
  </si>
  <si>
    <t>19/06/2026</t>
  </si>
  <si>
    <t>18/03/2024</t>
  </si>
  <si>
    <t>Matthew Dwyer</t>
  </si>
  <si>
    <t>2/04/2028</t>
  </si>
  <si>
    <t>2/04/2026</t>
  </si>
  <si>
    <t>10/01/2028</t>
  </si>
  <si>
    <t>10/01/2025</t>
  </si>
  <si>
    <t>30/06/2026</t>
  </si>
  <si>
    <t>15/09/2027</t>
  </si>
  <si>
    <t>15/09/2025</t>
  </si>
  <si>
    <t>4/11/2026</t>
  </si>
  <si>
    <t>5/11/2021</t>
  </si>
  <si>
    <t>7/09/2027</t>
  </si>
  <si>
    <t>8/09/2022</t>
  </si>
  <si>
    <t>18/10/2022</t>
  </si>
  <si>
    <t>22/03/2024</t>
  </si>
  <si>
    <t>Jake English</t>
  </si>
  <si>
    <t>18/08/2029</t>
  </si>
  <si>
    <t>19/08/2024</t>
  </si>
  <si>
    <t>5/02/2028</t>
  </si>
  <si>
    <t>27/07/2027</t>
  </si>
  <si>
    <t>24/09/2027</t>
  </si>
  <si>
    <t>24/09/2025</t>
  </si>
  <si>
    <t>21/01/2030</t>
  </si>
  <si>
    <t>21/01/2025</t>
  </si>
  <si>
    <t>26/02/2030</t>
  </si>
  <si>
    <t>29/01/2025</t>
  </si>
  <si>
    <t>20/05/2029</t>
  </si>
  <si>
    <t>21/05/2024</t>
  </si>
  <si>
    <t>Zane English</t>
  </si>
  <si>
    <t>3/08/2028</t>
  </si>
  <si>
    <t>3/08/2026</t>
  </si>
  <si>
    <t>30/09/2029</t>
  </si>
  <si>
    <t>16/09/2027</t>
  </si>
  <si>
    <t>16/09/2025</t>
  </si>
  <si>
    <t>18/01/2029</t>
  </si>
  <si>
    <t>12/08/2029</t>
  </si>
  <si>
    <t>12/08/2026</t>
  </si>
  <si>
    <t>23/07/2027</t>
  </si>
  <si>
    <t>23/07/2025</t>
  </si>
  <si>
    <t>25/11/2030</t>
  </si>
  <si>
    <t>9/07/2030</t>
  </si>
  <si>
    <t>12/05/2025</t>
  </si>
  <si>
    <t>11/01/2023</t>
  </si>
  <si>
    <t>Marlou Mata</t>
  </si>
  <si>
    <t>28/08/2028</t>
  </si>
  <si>
    <t>1/11/2023</t>
  </si>
  <si>
    <t>23/04/2029</t>
  </si>
  <si>
    <t>10/02/2028</t>
  </si>
  <si>
    <t>22/04/2029</t>
  </si>
  <si>
    <t>22/04/2024</t>
  </si>
  <si>
    <t>23/04/2027</t>
  </si>
  <si>
    <t>12/04/2024</t>
  </si>
  <si>
    <t>7/08/2027</t>
  </si>
  <si>
    <t>8/08/2022</t>
  </si>
  <si>
    <t>27/06/2024</t>
  </si>
  <si>
    <t>16/06/2030</t>
  </si>
  <si>
    <t>17/06/2025</t>
  </si>
  <si>
    <t>Kachin Sittiyos</t>
  </si>
  <si>
    <t>19/11/2026</t>
  </si>
  <si>
    <t>19/11/2024</t>
  </si>
  <si>
    <t>30/03/2027</t>
  </si>
  <si>
    <t>30/03/2025</t>
  </si>
  <si>
    <t>13/08/2026</t>
  </si>
  <si>
    <t>17/02/2031</t>
  </si>
  <si>
    <t>Preetham Kumar</t>
  </si>
  <si>
    <t>20/08/2027</t>
  </si>
  <si>
    <t>5/08/2023</t>
  </si>
  <si>
    <t>11/12/2025</t>
  </si>
  <si>
    <t>13/05/2024</t>
  </si>
  <si>
    <t>23/02/2024</t>
  </si>
  <si>
    <t>1/03/2024</t>
  </si>
  <si>
    <t>20/07/2024</t>
  </si>
  <si>
    <t>18/05/2026</t>
  </si>
  <si>
    <t>26/06/2028</t>
  </si>
  <si>
    <t>26/06/2026</t>
  </si>
  <si>
    <t>13/05/2029</t>
  </si>
  <si>
    <t>6/10/2028</t>
  </si>
  <si>
    <t>7/10/2025</t>
  </si>
  <si>
    <t>13/05/2027</t>
  </si>
  <si>
    <t>26/08/2026</t>
  </si>
  <si>
    <t>26/08/2024</t>
  </si>
  <si>
    <t>Ranaweera Yasas Kaluarachchi</t>
  </si>
  <si>
    <t>16/05/2029</t>
  </si>
  <si>
    <t>4/04/2025</t>
  </si>
  <si>
    <t>24/05/2026</t>
  </si>
  <si>
    <t>16/06/2021</t>
  </si>
  <si>
    <t>5/07/2026</t>
  </si>
  <si>
    <t>31/03/2029</t>
  </si>
  <si>
    <t>31/03/2025</t>
  </si>
  <si>
    <t>27/02/2026</t>
  </si>
  <si>
    <t>8/02/2028</t>
  </si>
  <si>
    <t>8/02/2026</t>
  </si>
  <si>
    <t>22/02/2025</t>
  </si>
  <si>
    <t>8/02/2031</t>
  </si>
  <si>
    <t>7/02/2029</t>
  </si>
  <si>
    <t>Matthew Rose</t>
  </si>
  <si>
    <t>11/09/2030</t>
  </si>
  <si>
    <t>12/09/2025</t>
  </si>
  <si>
    <t>19/12/2026</t>
  </si>
  <si>
    <t>19/12/2021</t>
  </si>
  <si>
    <t>30/01/2025</t>
  </si>
  <si>
    <t>2/02/2025</t>
  </si>
  <si>
    <t>23/01/2028</t>
  </si>
  <si>
    <t>23/01/2026</t>
  </si>
  <si>
    <t>7/07/2026</t>
  </si>
  <si>
    <t>1/08/2027</t>
  </si>
  <si>
    <t>1/08/2025</t>
  </si>
  <si>
    <t>3/03/2026</t>
  </si>
  <si>
    <t>7/01/2030</t>
  </si>
  <si>
    <t>8/03/2026</t>
  </si>
  <si>
    <t>3/12/2027</t>
  </si>
  <si>
    <t>3/12/2025</t>
  </si>
  <si>
    <t>25/07/2029</t>
  </si>
  <si>
    <t>25/07/2026</t>
  </si>
  <si>
    <t>21/04/2028</t>
  </si>
  <si>
    <t>21/04/2026</t>
  </si>
  <si>
    <t>4/12/2027</t>
  </si>
  <si>
    <t>4/12/2025</t>
  </si>
  <si>
    <t>Christopher Ayers</t>
  </si>
  <si>
    <t>18/11/2023</t>
  </si>
  <si>
    <t>14/06/2025</t>
  </si>
  <si>
    <t>24/12/2027</t>
  </si>
  <si>
    <t>24/12/2025</t>
  </si>
  <si>
    <t>3/09/2027</t>
  </si>
  <si>
    <t>3/09/2025</t>
  </si>
  <si>
    <t>11/11/2029</t>
  </si>
  <si>
    <t>11/11/2024</t>
  </si>
  <si>
    <t>12/07/2024</t>
  </si>
  <si>
    <t>11/11/2027</t>
  </si>
  <si>
    <t>25/11/2024</t>
  </si>
  <si>
    <t>10/11/2024</t>
  </si>
  <si>
    <t>3/02/2028</t>
  </si>
  <si>
    <t>3/02/2026</t>
  </si>
  <si>
    <t>18/12/2027</t>
  </si>
  <si>
    <t>19/12/2022</t>
  </si>
  <si>
    <t>22/09/2029</t>
  </si>
  <si>
    <t>23/09/2024</t>
  </si>
  <si>
    <t>22/07/2029</t>
  </si>
  <si>
    <t>23/07/2024</t>
  </si>
  <si>
    <t>Cornelius Keogh</t>
  </si>
  <si>
    <t>15/04/2028</t>
  </si>
  <si>
    <t>23/04/2028</t>
  </si>
  <si>
    <t>31/08/2023</t>
  </si>
  <si>
    <t>17/11/2027</t>
  </si>
  <si>
    <t>17/11/2025</t>
  </si>
  <si>
    <t>23/11/2030</t>
  </si>
  <si>
    <t>10/05/2028</t>
  </si>
  <si>
    <t>11/05/2026</t>
  </si>
  <si>
    <t>22/11/2028</t>
  </si>
  <si>
    <t>19/07/2024</t>
  </si>
  <si>
    <t>Justin Macdonald</t>
  </si>
  <si>
    <t>9/04/2031</t>
  </si>
  <si>
    <t>25/02/2028</t>
  </si>
  <si>
    <t>25/02/2025</t>
  </si>
  <si>
    <t>11/02/2026</t>
  </si>
  <si>
    <t>13/02/2028</t>
  </si>
  <si>
    <t>13/02/2026</t>
  </si>
  <si>
    <t>11/02/2028</t>
  </si>
  <si>
    <t>10/02/2031</t>
  </si>
  <si>
    <t>9/02/2029</t>
  </si>
  <si>
    <t>12/02/2028</t>
  </si>
  <si>
    <t>12/01/2031</t>
  </si>
  <si>
    <t>1/04/2031</t>
  </si>
  <si>
    <t>24/08/2030</t>
  </si>
  <si>
    <t>8/08/2025</t>
  </si>
  <si>
    <t>Travis Michalzik</t>
  </si>
  <si>
    <t>1/07/2026</t>
  </si>
  <si>
    <t>31/05/2028</t>
  </si>
  <si>
    <t>11/12/2027</t>
  </si>
  <si>
    <t>27/06/2030</t>
  </si>
  <si>
    <t>27/06/2025</t>
  </si>
  <si>
    <t>26/06/2027</t>
  </si>
  <si>
    <t>26/06/2025</t>
  </si>
  <si>
    <t>29/06/2030</t>
  </si>
  <si>
    <t>29/06/2025</t>
  </si>
  <si>
    <t>28/06/2028</t>
  </si>
  <si>
    <t>10/07/2025</t>
  </si>
  <si>
    <t>22/01/2028</t>
  </si>
  <si>
    <t>22/07/2027</t>
  </si>
  <si>
    <t>20/03/2023</t>
  </si>
  <si>
    <t>13/05/2031</t>
  </si>
  <si>
    <t>13/05/2026</t>
  </si>
  <si>
    <t>Karthik Murugesan</t>
  </si>
  <si>
    <t>18/11/2026</t>
  </si>
  <si>
    <t>18/11/2024</t>
  </si>
  <si>
    <t>19/11/2027</t>
  </si>
  <si>
    <t>30/11/2026</t>
  </si>
  <si>
    <t>30/11/2022</t>
  </si>
  <si>
    <t>10/12/2029</t>
  </si>
  <si>
    <t>30/01/2030</t>
  </si>
  <si>
    <t>31/01/2025</t>
  </si>
  <si>
    <t>2/06/2031</t>
  </si>
  <si>
    <t>2/06/2026</t>
  </si>
  <si>
    <t>6/08/2030</t>
  </si>
  <si>
    <t>7/08/2025</t>
  </si>
  <si>
    <t>United Aa Travel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</si>
</sst>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rgb="FF3F3F76"/>
      <name val="Aptos Narrow"/>
      <family val="2"/>
      <scheme val="minor"/>
    </font>
    <font>
      <i/>
      <sz val="9"/>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FFCC99"/>
      </patternFill>
    </fill>
    <fill>
      <patternFill patternType="solid">
        <fgColor theme="0" tint="-0.249977111117893"/>
        <bgColor auto="1"/>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11">
    <xf numFmtId="0" fontId="0" fillId="0" borderId="0" xfId="0"/>
    <xf numFmtId="0" fontId="2" fillId="0" borderId="0" xfId="0" applyFont="1"/>
    <xf numFmtId="0" fontId="1" fillId="2" borderId="1" xfId="1"/>
    <xf numFmtId="14" fontId="2" fillId="0" borderId="0" xfId="0" applyNumberFormat="1" applyFont="1"/>
    <xf numFmtId="0" fontId="0" fillId="0" borderId="0" xfId="0" pivotButton="1"/>
    <xf numFmtId="0" fontId="0" fillId="3" borderId="0" xfId="0" applyFill="1"/>
    <xf numFmtId="14" fontId="3" fillId="3" borderId="0" xfId="0" applyNumberFormat="1" applyFont="1" applyFill="1" applyAlignment="1">
      <alignment horizontal="left"/>
    </xf>
    <xf numFmtId="14" fontId="0" fillId="0" borderId="0" xfId="0" applyNumberFormat="1"/>
    <xf numFmtId="0" fontId="4" fillId="3" borderId="0" xfId="0" applyFont="1" applyFill="1" applyAlignment="1">
      <alignment horizontal="center" vertical="center"/>
    </xf>
    <xf numFmtId="0" fontId="0" fillId="0" borderId="0" xfId="0" applyAlignment="1">
      <alignment horizontal="center"/>
    </xf>
    <xf numFmtId="0" fontId="0" fillId="0" borderId="0" xfId="0" applyNumberFormat="1"/>
  </cellXfs>
  <cellStyles count="2">
    <cellStyle name="Input" xfId="1" builtinId="20"/>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FDD3"/>
        </patternFill>
      </fill>
    </dxf>
    <dxf>
      <fill>
        <patternFill>
          <bgColor theme="9" tint="0.79995117038483843"/>
        </patternFill>
      </fill>
    </dxf>
    <dxf>
      <fill>
        <patternFill>
          <bgColor rgb="FFF3BFBF"/>
        </patternFill>
      </fill>
    </dxf>
    <dxf>
      <fill>
        <patternFill>
          <bgColor rgb="FFF6D2D2"/>
        </patternFill>
      </fill>
    </dxf>
    <dxf>
      <numFmt numFmtId="19" formatCode="d/mm/yyyy"/>
    </dxf>
    <dxf>
      <numFmt numFmtId="19" formatCode="d/mm/yyyy"/>
    </dxf>
    <dxf>
      <numFmt numFmtId="19" formatCode="d/mm/yyyy"/>
    </dxf>
    <dxf>
      <numFmt numFmtId="19" formatCode="d/mm/yyyy"/>
    </dxf>
    <dxf>
      <font>
        <b/>
        <color theme="1"/>
      </font>
      <border>
        <bottom style="thin">
          <color theme="6"/>
        </bottom>
        <vertical/>
        <horizontal/>
      </border>
    </dxf>
    <dxf>
      <font>
        <color theme="1"/>
      </font>
      <fill>
        <patternFill>
          <bgColor theme="0" tint="-4.9989318521683403E-2"/>
        </patternFill>
      </fill>
      <border>
        <left/>
        <right/>
        <top/>
        <bottom/>
        <vertical/>
        <horizontal/>
      </border>
    </dxf>
    <dxf>
      <fill>
        <patternFill patternType="solid">
          <fgColor theme="0" tint="-0.14996795556505021"/>
          <bgColor theme="0" tint="-0.14996795556505021"/>
        </patternFill>
      </fill>
    </dxf>
    <dxf>
      <fill>
        <patternFill patternType="solid">
          <fgColor theme="0" tint="-0.14993743705557422"/>
          <bgColor theme="0" tint="-4.9989318521683403E-2"/>
        </patternFill>
      </fill>
    </dxf>
    <dxf>
      <font>
        <b/>
        <color theme="1"/>
      </font>
    </dxf>
    <dxf>
      <font>
        <b/>
        <color theme="1"/>
      </font>
    </dxf>
    <dxf>
      <font>
        <b/>
        <color theme="1"/>
      </font>
      <border>
        <top style="double">
          <color theme="1"/>
        </top>
      </border>
    </dxf>
    <dxf>
      <font>
        <b/>
        <color theme="1"/>
      </font>
      <fill>
        <patternFill>
          <bgColor theme="0" tint="-0.34998626667073579"/>
        </patternFill>
      </fill>
      <border>
        <bottom style="medium">
          <color theme="1"/>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
      <font>
        <b/>
        <color theme="1"/>
      </font>
      <border>
        <bottom style="thin">
          <color theme="6"/>
        </bottom>
        <vertical/>
        <horizontal/>
      </border>
    </dxf>
    <dxf>
      <font>
        <color theme="1"/>
      </font>
      <fill>
        <patternFill>
          <bgColor theme="0" tint="-0.34998626667073579"/>
        </patternFill>
      </fill>
      <border>
        <left/>
        <right/>
        <top/>
        <bottom/>
        <vertical/>
        <horizontal/>
      </border>
    </dxf>
    <dxf>
      <fill>
        <patternFill patternType="solid">
          <fgColor theme="0" tint="-0.14993743705557422"/>
          <bgColor theme="0" tint="-0.14993743705557422"/>
        </patternFill>
      </fill>
      <border>
        <bottom style="thin">
          <color theme="0" tint="-0.34998626667073579"/>
        </bottom>
      </border>
    </dxf>
    <dxf>
      <fill>
        <patternFill patternType="solid">
          <fgColor theme="0" tint="-0.14993743705557422"/>
          <bgColor theme="0" tint="-0.14993743705557422"/>
        </patternFill>
      </fill>
      <border>
        <bottom style="thin">
          <color theme="0" tint="-0.34998626667073579"/>
        </bottom>
      </border>
    </dxf>
    <dxf>
      <font>
        <b/>
        <color theme="1"/>
      </font>
    </dxf>
    <dxf>
      <font>
        <b/>
        <color theme="1"/>
      </font>
      <border>
        <bottom style="thin">
          <color theme="0" tint="-0.34998626667073579"/>
        </bottom>
      </border>
    </dxf>
    <dxf>
      <font>
        <b/>
        <color theme="1"/>
      </font>
    </dxf>
    <dxf>
      <font>
        <b/>
        <color theme="1"/>
      </font>
      <fill>
        <patternFill>
          <bgColor theme="0" tint="-4.9989318521683403E-2"/>
        </patternFill>
      </fill>
      <border>
        <top style="thin">
          <color theme="1" tint="0.499984740745262"/>
        </top>
        <bottom style="thin">
          <color theme="1" tint="0.499984740745262"/>
        </bottom>
      </border>
    </dxf>
    <dxf>
      <fill>
        <patternFill patternType="solid">
          <fgColor theme="0" tint="-0.14993743705557422"/>
          <bgColor theme="0" tint="-0.14993743705557422"/>
        </patternFill>
      </fill>
    </dxf>
    <dxf>
      <fill>
        <patternFill patternType="solid">
          <fgColor theme="0" tint="-0.14993743705557422"/>
          <bgColor theme="0" tint="-0.14993743705557422"/>
        </patternFill>
      </fill>
      <border>
        <left style="thin">
          <color theme="0" tint="-0.249977111117893"/>
        </left>
        <right style="thin">
          <color theme="0" tint="-0.249977111117893"/>
        </right>
      </border>
    </dxf>
    <dxf>
      <fill>
        <patternFill patternType="solid">
          <fgColor theme="0" tint="-0.14993743705557422"/>
          <bgColor theme="0" tint="-0.14993743705557422"/>
        </patternFill>
      </fill>
    </dxf>
    <dxf>
      <font>
        <b/>
        <color theme="1"/>
      </font>
      <fill>
        <patternFill patternType="solid">
          <fgColor theme="0" tint="-0.14990691854609822"/>
          <bgColor theme="0" tint="-0.34998626667073579"/>
        </patternFill>
      </fill>
      <border>
        <top style="medium">
          <color theme="0" tint="-0.499984740745262"/>
        </top>
      </border>
    </dxf>
    <dxf>
      <font>
        <b/>
        <color theme="1"/>
      </font>
      <fill>
        <patternFill patternType="solid">
          <fgColor theme="0" tint="-0.14990691854609822"/>
          <bgColor theme="0" tint="-0.34998626667073579"/>
        </patternFill>
      </fill>
      <border>
        <bottom style="medium">
          <color theme="0" tint="-0.499984740745262"/>
        </bottom>
      </border>
    </dxf>
    <dxf>
      <border>
        <left style="medium">
          <color theme="0" tint="-0.34998626667073579"/>
        </left>
        <right style="medium">
          <color theme="0" tint="-0.34998626667073579"/>
        </right>
        <top style="medium">
          <color theme="0" tint="-0.34998626667073579"/>
        </top>
        <bottom style="medium">
          <color theme="0" tint="-0.34998626667073579"/>
        </bottom>
        <vertical style="thin">
          <color theme="0" tint="-0.24994659260841701"/>
        </vertical>
        <horizontal style="thin">
          <color theme="0" tint="-0.24994659260841701"/>
        </horizontal>
      </border>
    </dxf>
  </dxfs>
  <tableStyles count="4" defaultTableStyle="TableStyleMedium2" defaultPivotStyle="PivotStyleLight16">
    <tableStyle name="Custom-Style" table="0" count="12" xr9:uid="{00000000-0011-0000-FFFF-FFFF00000000}">
      <tableStyleElement type="wholeTable" dxfId="41"/>
      <tableStyleElement type="headerRow" dxfId="40"/>
      <tableStyleElement type="totalRow" dxfId="39"/>
      <tableStyleElement type="firstRowStripe" dxfId="38"/>
      <tableStyleElement type="firstColumnStripe" dxfId="37"/>
      <tableStyleElement type="firstSubtotalColumn"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 name="header" pivot="0" table="0" count="10" xr9:uid="{00000000-0011-0000-FFFF-FFFF01000000}">
      <tableStyleElement type="wholeTable" dxfId="29"/>
      <tableStyleElement type="headerRow" dxfId="28"/>
    </tableStyle>
    <tableStyle name="MyStype" pivot="0" count="7" xr9:uid="{00000000-0011-0000-FFFF-FFFF02000000}">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SlicerStyleLight3 2" pivot="0" table="0" count="10" xr9:uid="{00000000-0011-0000-FFFF-FFFF03000000}">
      <tableStyleElement type="wholeTable" dxfId="20"/>
      <tableStyleElement type="headerRow" dxfId="19"/>
    </tableStyle>
  </tableStyles>
  <colors>
    <mruColors>
      <color rgb="FFF6D2D2"/>
      <color rgb="FFF3BFBF"/>
      <color rgb="FFED9B9B"/>
      <color rgb="FFFCFDD3"/>
      <color rgb="FFEAFCE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a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theme" Target="theme/theme1.xml"/><Relationship Id="rId19" Type="http://schemas.openxmlformats.org/officeDocument/2006/relationships/customXml" Target="../customXml/item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0</xdr:col>
      <xdr:colOff>1962150</xdr:colOff>
      <xdr:row>10</xdr:row>
      <xdr:rowOff>161925</xdr:rowOff>
    </xdr:to>
    <mc:AlternateContent xmlns:mc="http://schemas.openxmlformats.org/markup-compatibility/2006" xmlns:a14="http://schemas.microsoft.com/office/drawing/2010/main">
      <mc:Choice Requires="a14">
        <xdr:graphicFrame macro="">
          <xdr:nvGraphicFramePr>
            <xdr:cNvPr id="1025" name="Competency Groups">
              <a:extLst>
                <a:ext uri="{FF2B5EF4-FFF2-40B4-BE49-F238E27FC236}">
                  <a16:creationId xmlns:a16="http://schemas.microsoft.com/office/drawing/2014/main" id="{D93A5942-BC12-6E70-C52D-F82776C9A72A}"/>
                </a:ext>
              </a:extLst>
            </xdr:cNvPr>
            <xdr:cNvGraphicFramePr/>
          </xdr:nvGraphicFramePr>
          <xdr:xfrm>
            <a:off x="0" y="0"/>
            <a:ext cx="0" cy="0"/>
          </xdr:xfrm>
          <a:graphic>
            <a:graphicData uri="http://schemas.microsoft.com/office/drawing/2010/slicer">
              <sle:slicer xmlns:sle="http://schemas.microsoft.com/office/drawing/2010/slicer" name="Competency Groups"/>
            </a:graphicData>
          </a:graphic>
        </xdr:graphicFrame>
      </mc:Choice>
      <mc:Fallback xmlns="">
        <xdr:sp>
          <xdr:nvSpPr>
            <xdr:cNvPr id="1025" name="Competency Groups">
              <a:extLst>
                <a:ext xmlns:a="http://schemas.openxmlformats.org/drawingml/2006/main" uri="{FF2B5EF4-FFF2-40B4-BE49-F238E27FC236}">
                  <a16:creationId xmlns:a16="http://schemas.microsoft.com/office/drawing/2014/main" id="{D93A5942-BC12-6E70-C52D-F82776C9A72A}"/>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0</xdr:col>
      <xdr:colOff>95250</xdr:colOff>
      <xdr:row>11</xdr:row>
      <xdr:rowOff>57150</xdr:rowOff>
    </xdr:from>
    <xdr:to>
      <xdr:col>0</xdr:col>
      <xdr:colOff>1962150</xdr:colOff>
      <xdr:row>25</xdr:row>
      <xdr:rowOff>104775</xdr:rowOff>
    </xdr:to>
    <mc:AlternateContent xmlns:mc="http://schemas.openxmlformats.org/markup-compatibility/2006" xmlns:a14="http://schemas.microsoft.com/office/drawing/2010/main">
      <mc:Choice Requires="a14">
        <xdr:graphicFrame macro="">
          <xdr:nvGraphicFramePr>
            <xdr:cNvPr id="1026" name="Employer">
              <a:extLst>
                <a:ext uri="{FF2B5EF4-FFF2-40B4-BE49-F238E27FC236}">
                  <a16:creationId xmlns:a16="http://schemas.microsoft.com/office/drawing/2014/main" id="{308CFFC2-CF61-CE40-2714-9F61890448CC}"/>
                </a:ext>
              </a:extLst>
            </xdr:cNvPr>
            <xdr:cNvGraphicFramePr/>
          </xdr:nvGraphicFramePr>
          <xdr:xfrm>
            <a:off x="0" y="0"/>
            <a:ext cx="0" cy="0"/>
          </xdr:xfrm>
          <a:graphic>
            <a:graphicData uri="http://schemas.microsoft.com/office/drawing/2010/slicer">
              <sle:slicer xmlns:sle="http://schemas.microsoft.com/office/drawing/2010/slicer" name="Employer"/>
            </a:graphicData>
          </a:graphic>
        </xdr:graphicFrame>
      </mc:Choice>
      <mc:Fallback xmlns="">
        <xdr:sp>
          <xdr:nvSpPr>
            <xdr:cNvPr id="1026" name="Employer">
              <a:extLst>
                <a:ext xmlns:a="http://schemas.openxmlformats.org/drawingml/2006/main" uri="{FF2B5EF4-FFF2-40B4-BE49-F238E27FC236}">
                  <a16:creationId xmlns:a16="http://schemas.microsoft.com/office/drawing/2014/main" id="{308CFFC2-CF61-CE40-2714-9F61890448CC}"/>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7</xdr:col>
      <xdr:colOff>771525</xdr:colOff>
      <xdr:row>0</xdr:row>
      <xdr:rowOff>76200</xdr:rowOff>
    </xdr:from>
    <xdr:to>
      <xdr:col>11</xdr:col>
      <xdr:colOff>342900</xdr:colOff>
      <xdr:row>1</xdr:row>
      <xdr:rowOff>590550</xdr:rowOff>
    </xdr:to>
    <mc:AlternateContent xmlns:mc="http://schemas.openxmlformats.org/markup-compatibility/2006" xmlns:a14="http://schemas.microsoft.com/office/drawing/2010/main">
      <mc:Choice Requires="a14">
        <xdr:graphicFrame macro="">
          <xdr:nvGraphicFramePr>
            <xdr:cNvPr id="1027" name="Requirement Level">
              <a:extLst>
                <a:ext uri="{FF2B5EF4-FFF2-40B4-BE49-F238E27FC236}">
                  <a16:creationId xmlns:a16="http://schemas.microsoft.com/office/drawing/2014/main" id="{1CC45D0B-19A7-4952-A11B-1A963B18A281}"/>
                </a:ext>
              </a:extLst>
            </xdr:cNvPr>
            <xdr:cNvGraphicFramePr/>
          </xdr:nvGraphicFramePr>
          <xdr:xfrm>
            <a:off x="0" y="0"/>
            <a:ext cx="0" cy="0"/>
          </xdr:xfrm>
          <a:graphic>
            <a:graphicData uri="http://schemas.microsoft.com/office/drawing/2010/slicer">
              <sle:slicer xmlns:sle="http://schemas.microsoft.com/office/drawing/2010/slicer" name="Requirement Level"/>
            </a:graphicData>
          </a:graphic>
        </xdr:graphicFrame>
      </mc:Choice>
      <mc:Fallback xmlns="">
        <xdr:sp>
          <xdr:nvSpPr>
            <xdr:cNvPr id="1027" name="Requirement Level">
              <a:extLst>
                <a:ext xmlns:a="http://schemas.openxmlformats.org/drawingml/2006/main" uri="{FF2B5EF4-FFF2-40B4-BE49-F238E27FC236}">
                  <a16:creationId xmlns:a16="http://schemas.microsoft.com/office/drawing/2014/main" id="{1CC45D0B-19A7-4952-A11B-1A963B18A281}"/>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4</xdr:col>
      <xdr:colOff>276225</xdr:colOff>
      <xdr:row>0</xdr:row>
      <xdr:rowOff>85725</xdr:rowOff>
    </xdr:from>
    <xdr:to>
      <xdr:col>7</xdr:col>
      <xdr:colOff>723900</xdr:colOff>
      <xdr:row>1</xdr:row>
      <xdr:rowOff>590550</xdr:rowOff>
    </xdr:to>
    <mc:AlternateContent xmlns:mc="http://schemas.openxmlformats.org/markup-compatibility/2006" xmlns:a14="http://schemas.microsoft.com/office/drawing/2010/main">
      <mc:Choice Requires="a14">
        <xdr:graphicFrame macro="">
          <xdr:nvGraphicFramePr>
            <xdr:cNvPr id="1028" name="Status">
              <a:extLst>
                <a:ext uri="{FF2B5EF4-FFF2-40B4-BE49-F238E27FC236}">
                  <a16:creationId xmlns:a16="http://schemas.microsoft.com/office/drawing/2014/main" id="{AE3C08E6-5FDC-9B69-D39A-D55025D5F17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xdr:nvSpPr>
            <xdr:cNvPr id="1028" name="Status">
              <a:extLst>
                <a:ext xmlns:a="http://schemas.openxmlformats.org/drawingml/2006/main" uri="{FF2B5EF4-FFF2-40B4-BE49-F238E27FC236}">
                  <a16:creationId xmlns:a16="http://schemas.microsoft.com/office/drawing/2014/main" id="{AE3C08E6-5FDC-9B69-D39A-D55025D5F17D}"/>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14</xdr:col>
      <xdr:colOff>238125</xdr:colOff>
      <xdr:row>1</xdr:row>
      <xdr:rowOff>57150</xdr:rowOff>
    </xdr:from>
    <xdr:to>
      <xdr:col>19</xdr:col>
      <xdr:colOff>161925</xdr:colOff>
      <xdr:row>8</xdr:row>
      <xdr:rowOff>114300</xdr:rowOff>
    </xdr:to>
    <xdr:sp macro="" textlink="">
      <xdr:nvSpPr>
        <xdr:cNvPr id="1029" name="TextBox 5">
          <a:extLst>
            <a:ext uri="{FF2B5EF4-FFF2-40B4-BE49-F238E27FC236}">
              <a16:creationId xmlns:a16="http://schemas.microsoft.com/office/drawing/2014/main" id="{760A4579-6D09-7007-A5F8-F9600ED028A5}"/>
            </a:ext>
          </a:extLst>
        </xdr:cNvPr>
        <xdr:cNvSpPr/>
      </xdr:nvSpPr>
      <xdr:spPr>
        <a:xfrm>
          <a:off x="0" y="0"/>
          <a:ext cx="0" cy="0"/>
        </a:xfrm>
        <a:prstGeom prst="rect">
          <a:avLst/>
        </a:prstGeom>
        <a:solidFill>
          <a:schemeClr val="lt1"/>
        </a:solidFill>
        <a:ln w="9525" cmpd="sng">
          <a:solidFill>
            <a:schemeClr val="lt1">
              <a:shade val="50000"/>
            </a:schemeClr>
          </a:solidFill>
        </a:ln>
      </xdr:spPr>
      <xdr:style>
        <a:lnRef idx="1">
          <a:scrgbClr r="0" g="0" b="0"/>
        </a:lnRef>
        <a:fillRef idx="1">
          <a:scrgbClr r="0" g="0" b="0"/>
        </a:fillRef>
        <a:effectRef idx="0">
          <a:scrgbClr r="0" g="0" b="0"/>
        </a:effectRef>
        <a:fontRef idx="minor">
          <a:schemeClr val="dk1"/>
        </a:fontRef>
      </xdr:style>
      <xdr:txBody>
        <a:bodyPr vertOverflow="clip" horzOverflow="clip" wrap="square" rtlCol="0" anchor="t"/>
        <a:lstStyle/>
        <a:p>
          <a:r>
            <a:rPr lang="et-EE" sz="1100" b="1" i="1" kern="1200"/>
            <a:t>IMPORTANT: If data is not populated</a:t>
          </a:r>
          <a:r>
            <a:rPr lang="et-EE" sz="1100" b="1" i="1" kern="1200" baseline="0"/>
            <a:t>,</a:t>
          </a:r>
          <a:br>
            <a:rPr lang="et-EE" sz="1100" b="1" i="1" kern="1200" baseline="0"/>
          </a:br>
          <a:r>
            <a:rPr lang="et-EE" sz="1100" b="1" i="1" kern="1200" baseline="0"/>
            <a:t>"</a:t>
          </a:r>
          <a:r>
            <a:rPr lang="et-EE" sz="1100" b="1" i="1" u="sng" kern="1200" baseline="0"/>
            <a:t>Data-&gt;Refresh All" is required</a:t>
          </a:r>
          <a:endParaRPr lang="et-EE" sz="1100" b="1" i="1" u="sng" kern="1200"/>
        </a:p>
        <a:p>
          <a:endParaRPr lang="et-EE" sz="1100" i="1" kern="1200"/>
        </a:p>
        <a:p>
          <a:r>
            <a:rPr lang="et-EE" sz="1100" i="1" kern="1200"/>
            <a:t>*CB</a:t>
          </a:r>
          <a:r>
            <a:rPr lang="et-EE" sz="1100" i="1" kern="1200" baseline="0"/>
            <a:t> = if expired or outstanding competency has course booking </a:t>
          </a:r>
        </a:p>
        <a:p>
          <a:r>
            <a:rPr lang="et-EE" sz="1100" i="1" kern="1200" baseline="0"/>
            <a:t>*Expiry = if has previous Expiry record in OPMS, expiry date will be displayed here</a:t>
          </a:r>
          <a:endParaRPr lang="en-US" sz="1100" i="1" kern="1200" baseline="0"/>
        </a:p>
        <a:p>
          <a:r>
            <a:rPr lang="en-US" sz="1100" i="1" kern="1200" baseline="0"/>
            <a:t>*Attachemt - if "Yes, there is a scanned doc attached</a:t>
          </a:r>
          <a:r>
            <a:rPr lang="et-EE" sz="1100" i="1" kern="1200" baseline="0"/>
            <a:t>. </a:t>
          </a:r>
          <a:endParaRPr lang="en-US" sz="1100" i="1"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adri Haan" refreshedDate="46251.533540046294" backgroundQuery="1" missingItemsLimit="0" createdVersion="8" refreshedVersion="8" minRefreshableVersion="3" recordCount="1193" xr:uid="{0C6B0A7B-54F9-48AB-84EC-0EC17D1DA237}">
  <cacheSource type="external" connectionId="2"/>
  <cacheFields count="18">
    <cacheField name="OPMS ID" numFmtId="0">
      <sharedItems containsSemiMixedTypes="0" containsString="0" containsNumber="1" containsInteger="1" minValue="114" maxValue="322"/>
    </cacheField>
    <cacheField name="FullName" numFmtId="0">
      <sharedItems count="43">
        <s v="Evan Farmer"/>
        <s v="Matthew Jones"/>
        <s v="Rohin Jitender"/>
        <s v="Ryan Stewart"/>
        <s v="Jack Cook"/>
        <s v="Zachary Rubock"/>
        <s v="Andriy Ozhoga"/>
        <s v="David Butler"/>
        <s v="Finn Keeley"/>
        <s v="Jamie Miller"/>
        <s v="Kyle Asange"/>
        <s v="Eric Baterna"/>
        <s v="Dylan Evans"/>
        <s v="Bradd Hearfield"/>
        <s v="Luke Macknamara"/>
        <s v="Mark Jay Tadiaman"/>
        <s v="Tamas Orosz"/>
        <s v="Brenton Evans"/>
        <s v="Arthur Tymofeyev"/>
        <s v="Ruwan Witharana"/>
        <s v="Michael Rogers"/>
        <s v="John Bautista"/>
        <s v="Matthew Kingdon"/>
        <s v="Anand Patwardhan"/>
        <s v="Savio Athihe"/>
        <s v="Leon Clemones"/>
        <s v="Anton Pejic"/>
        <s v="Andrew Wright"/>
        <s v="Michael Douglas"/>
        <s v="Matthew Dwyer"/>
        <s v="Jake English"/>
        <s v="Zane English"/>
        <s v="Marlou Mata"/>
        <s v="Kachin Sittiyos"/>
        <s v="Preetham Kumar"/>
        <s v="Ranaweera Yasas Kaluarachchi"/>
        <s v="Matthew Rose"/>
        <s v="Christopher Ayers"/>
        <s v="Cornelius Keogh"/>
        <s v="Justin Macdonald"/>
        <s v="Travis Michalzik"/>
        <s v="Karthik Murugesan"/>
        <s v="United Aa Travel Requests"/>
      </sharedItems>
    </cacheField>
    <cacheField name="Email" numFmtId="0">
      <sharedItems count="43">
        <s v="efarmer@live.com.au"/>
        <s v="jonesmatthew2021@gmail.com"/>
        <s v="rohinjitender@gmail.com"/>
        <s v="ryno.stewart@hotmail.com"/>
        <s v="jack.cook@live.com"/>
        <s v="zachary.rubock@outlook.com"/>
        <s v="andreyozhoga@gmail.com"/>
        <s v="butlerdr@utas.edu.au"/>
        <s v="finnkeeleyyacht@outlook.com"/>
        <s v="jamie.dante.miller@gmail.com"/>
        <s v="kyle.asange@outlook.com"/>
        <s v="e5_henn@yahoo.com"/>
        <s v="dpemarine1@gmail.com"/>
        <s v="hearfieldbradd@gmail.com"/>
        <s v="Lukemacknamara1993@gmail.com"/>
        <s v="ttadiaman@gmail.com"/>
        <s v="tomikasilver@gmail.com"/>
        <s v="brentonwevans@gmail.com"/>
        <s v="a.tymofeyev@gmail.com"/>
        <s v="ruwanw@rocketmail.com"/>
        <s v="mickcrogers@gmail.com"/>
        <s v="johnleo_rbautista@yahoo.com"/>
        <s v="kingdon.ent@yahoo.com"/>
        <s v="anand.patwardhan@mrl.com.au"/>
        <s v="sanisavio@gmail.com"/>
        <s v="leonclemones@mac.com"/>
        <s v="pejicant@gmail.com"/>
        <s v="djandyfine@gmail.com"/>
        <s v="M.i.d2010@hotmail.com"/>
        <s v="mattdwyer135@gmail.com"/>
        <s v="jake-english@outlook.com"/>
        <s v="zane1247@hotmail.com"/>
        <s v="marlou_princesscruise@yahoo.com"/>
        <s v="K_CHIN_CHIN@HOTMAIL.COM"/>
        <s v="preethamk79@gmail.com"/>
        <s v="chaminda.kaluarachchi@gmail.com"/>
        <s v="matt.rose71@gmail.com"/>
        <s v="chris.j.ayers87@gmail.com"/>
        <s v="con.keogh02@gmail.com"/>
        <s v="jmac2804@gmail.com"/>
        <s v="travismichalzik@gmail.com"/>
        <s v="karthikapple91@gmail.com"/>
        <s v=""/>
      </sharedItems>
    </cacheField>
    <cacheField name="MobilePhone" numFmtId="0">
      <sharedItems count="43">
        <s v="+61415804246"/>
        <s v="+61407103112"/>
        <s v="+61493436296"/>
        <s v="+61429991739"/>
        <s v="+61427523821"/>
        <s v="+61408629289"/>
        <s v="+61435850430"/>
        <s v="+61404530020"/>
        <s v="+61434100192"/>
        <s v="+61413020329"/>
        <s v="+61488977810"/>
        <s v="+61406921883"/>
        <s v="+61439900123"/>
        <s v="+61405246623"/>
        <s v="+61497077569"/>
        <s v="+61474543911"/>
        <s v="+61474131884"/>
        <s v="+61407019064"/>
        <s v="+61467930313"/>
        <s v="+61466059226"/>
        <s v="+61447123920"/>
        <s v="+61431055499"/>
        <s v="+61477730436"/>
        <s v="+61477870866"/>
        <s v="+61477794890"/>
        <s v="+61484905964"/>
        <s v="+61429857042"/>
        <s v="+61451001045"/>
        <s v="+61400019669"/>
        <s v="+61416864088"/>
        <s v="+61408764024"/>
        <s v="+61448485797"/>
        <s v="+61415200139"/>
        <s v="+61488464075"/>
        <s v="+61422426229"/>
        <s v="+61455174270"/>
        <s v="+61416018453"/>
        <s v="+61408036814"/>
        <s v="+61417191455"/>
        <s v="+61476693153"/>
        <s v="+61461297690"/>
        <s v="+61422788871"/>
        <s v=""/>
      </sharedItems>
    </cacheField>
    <cacheField name="Required Competency" numFmtId="0">
      <sharedItems count="52">
        <s v="QL-01 AMSA Master II/2 (Unlimited)"/>
        <s v="QL-13 AMSA ECDIS Endorsement (STCW Reg II/1 &amp; II/2)"/>
        <s v="QL-14 AMSA GMDSS/ General Radio Operator IV/2"/>
        <s v="QL-16 Carry out Fast Rescue Craft Operations (MARF034)"/>
        <s v="QL-17 AMSA Certificate of Medical Fitness"/>
        <s v="QL-18 Provide First Aid - HLTAID011"/>
        <s v="QL-19 Adv Resuscitation and Oxygen Therapy - HLTIAD015"/>
        <s v="VS-01 Maritime Security Identification Card (MSIC)"/>
        <s v="VS-02 ECDIS Specific FURUNO"/>
        <s v="VS-04 Helm CONNECT - Crew Basic + Jobs"/>
        <s v="VS-05 MRN - Connecting Tug to Barge Articouple Sys"/>
        <s v="PS-01 MRN - Marine Fauna Observer"/>
        <s v="PS-02 MinRes - Mooring Operations Awareness-Onslow"/>
        <s v="MS-01 Seaways Phase 1: ASD/ATB Theory (Online)"/>
        <s v="MS-02 Seaways Phase 2: (TugSim) ASD Tug Handling"/>
        <s v="MS-03 Seaways Phase 3:(TugSim) Articulated Tug &amp; Barge (ATB) Manoeuvring &amp; PEC"/>
        <s v="MS-04 Phase 4a - On-Water Training &amp; Practical Assessment ASD"/>
        <s v="MS-05 Phase 4b - On-Water Training &amp; Practical Assessment ATB"/>
        <s v="MS-06 Phase 5 - On-Water Passing in the LNG Swing Basin"/>
        <s v="MS-07 Pilotage Exemption - Ashburton, Coolibah"/>
        <s v="CS-01 MRN - EMS Tech Mat Handling - Single Point Loading"/>
        <s v="CS-02 MRN - EMS Tech Mat Handling - Self-Unloading"/>
        <s v="CS-03 Cargo System Operator - Practical (MRM-ATB-OCS-ASS-0001)"/>
        <s v="PT-01 MinRes - Lock Holder, Isolation and Tagging"/>
        <s v="PT-02 Enter and Work in Confined Spaces - RIIWHS202E"/>
        <s v="PT-03 Work Safely at Heights (WSAH)"/>
        <s v="VI-01 Onboard induction-Coolibah"/>
        <s v="VI-02 MRN - Tug and Barge Induction Completion Certificate"/>
        <s v="PI-01 MinRes - Code of Conduct &amp; Business Integrity"/>
        <s v="PI-03 MinRes - Hazard Report Card,Take Time and JHA"/>
        <s v="PI-04 MinRes - Manual Handling"/>
        <s v="PI-05 MinRes - Operational Health and Safety Induction"/>
        <s v="PI-06 MinRes - Safe and Respectful Behaviours"/>
        <s v="PI-07 MinRes - Welcome to MinRes"/>
        <s v="PI-08 MinRes - Cybersecurity Awareness Training"/>
        <s v="PI-09 MinRes - Critical Risk Management (CRM) Awareness"/>
        <s v="PI-10 MinRes - Airborne Contaminant Awareness"/>
        <s v="QL-02 AMSA Chief Mate II/2 Unlimited"/>
        <s v="HR-02 WorkSafe - CV - Licence to Operate a Vehicle Loading Crane"/>
        <s v="QL-03 AMSA Master &lt;100m (Near Coastal)"/>
        <s v="QL-12 AMSA Cert of Safety Training VI/1"/>
        <s v="QL-15 Long Range Operator Certificate of Proficiency (LROCP)"/>
        <s v="CS-04 Cargo System Operator - Trainer (MRM-ATB-OCS-ASS-0002)"/>
        <s v="QL-04 AMSA Master &lt;45m (Near Coastal)"/>
        <s v="QL-05 AMSA Engineer Class 1 III/2 (Motor)"/>
        <s v="QL-06 Engineer Class 2, Second Engineer, Chief Engineer &lt;3000 kW (Motor)"/>
        <s v="QL-07 AMSA Engineer Class 3 (Near Coastal)"/>
        <s v="HR-01 Worksafe - Dogging - DG"/>
        <s v="MRL - GPH Accepted CoC (QL-08,09,10)"/>
        <s v="QL-20 SITXFSA005 – Use hygienic practices for food safety"/>
        <s v="QL-11 AMSA Prof in Marine Cook"/>
        <s v="Travel Request"/>
      </sharedItems>
    </cacheField>
    <cacheField name="Requirement Level" numFmtId="0">
      <sharedItems count="2">
        <s v="Mandatory"/>
        <s v="Ratio"/>
      </sharedItems>
    </cacheField>
    <cacheField name="Status" numFmtId="0">
      <sharedItems count="4">
        <s v="In Date"/>
        <s v="About To Expire"/>
        <s v="Outstanding"/>
        <s v="Expired"/>
      </sharedItems>
    </cacheField>
    <cacheField name="Position" numFmtId="0">
      <sharedItems count="10">
        <s v="Master"/>
        <s v="Chief Mate Unlimited"/>
        <s v="Chief Mate (2)"/>
        <s v="2nd Mate"/>
        <s v="Chief Eng"/>
        <s v="1st Eng"/>
        <s v="Assistant Engineer"/>
        <s v="GPH"/>
        <s v="Marine Cook"/>
        <s v="Travel Information"/>
      </sharedItems>
    </cacheField>
    <cacheField name="Employer" numFmtId="0">
      <sharedItems count="2">
        <s v="UNITED"/>
        <s v="NORSE"/>
      </sharedItems>
    </cacheField>
    <cacheField name="Competency Groups" numFmtId="0">
      <sharedItems count="10">
        <s v="1. Qualification"/>
        <s v="2. Vessel Specific"/>
        <s v="3. Project Specific"/>
        <s v="4. Master Specific"/>
        <s v="5. Cargo System"/>
        <s v="7. Permit to Work"/>
        <s v="8. Vessel Induction"/>
        <s v="9. Project Induction"/>
        <s v="6. High Risk Work Licence (HRWL)"/>
        <s v="0 Travel"/>
      </sharedItems>
    </cacheField>
    <cacheField name="Expiry" numFmtId="0">
      <sharedItems count="403">
        <s v="18/04/2028"/>
        <s v="31/12/2026"/>
        <s v="21/01/2031"/>
        <s v="8/12/2029"/>
        <s v="14/02/2027"/>
        <s v=""/>
        <s v="13/10/2026"/>
        <s v="13/11/2026"/>
        <s v="10/10/2026"/>
        <s v="15/07/2027"/>
        <s v="29/12/2026"/>
        <s v="30/06/2029"/>
        <s v="31/12/2029"/>
        <s v="Perpetual"/>
        <s v="23/12/2027"/>
        <s v="18/01/2028"/>
        <s v="21/12/2027"/>
        <s v="14/01/2028"/>
        <s v="7/12/2027"/>
        <s v="8/12/2027"/>
        <s v="19/09/2026"/>
        <s v="28/08/2027"/>
        <s v="27/08/2027"/>
        <s v="7/10/2028"/>
        <s v="8/03/2027"/>
        <s v="31/08/2027"/>
        <s v="1/07/2029"/>
        <s v="29/06/2027"/>
        <s v="19/07/2029"/>
        <s v="30/04/2028"/>
        <s v="17/01/2028"/>
        <s v="3/09/2026"/>
        <s v="11/05/2029"/>
        <s v="27/01/2029"/>
        <s v="18/05/2027"/>
        <s v="9/04/2028"/>
        <s v="11/05/2027"/>
        <s v="26/07/2028"/>
        <s v="26/01/2028"/>
        <s v="22/12/2027"/>
        <s v="29/01/2031"/>
        <s v="17/10/2029"/>
        <s v="11/03/2028"/>
        <s v="3/05/2027"/>
        <s v="6/05/2027"/>
        <s v="31/12/2028"/>
        <s v="25/10/2027"/>
        <s v="8/05/2029"/>
        <s v="16/04/2027"/>
        <s v="8/05/2027"/>
        <s v="27/07/2029"/>
        <s v="31/03/2028"/>
        <s v="6/12/2027"/>
        <s v="12/10/2030"/>
        <s v="8/08/2031"/>
        <s v="29/04/2031"/>
        <s v="19/10/2030"/>
        <s v="8/08/2026"/>
        <s v="20/02/2027"/>
        <s v="26/02/2027"/>
        <s v="19/02/2027"/>
        <s v="30/11/2028"/>
        <s v="28/01/2028"/>
        <s v="30/11/2027"/>
        <s v="17/10/2027"/>
        <s v="10/05/2029"/>
        <s v="7/03/2027"/>
        <s v="12/03/2028"/>
        <s v="10/05/2027"/>
        <s v="26/07/2029"/>
        <s v="14/03/2028"/>
        <s v="9/12/2027"/>
        <s v="18/10/2027"/>
        <s v="13/07/2031"/>
        <s v="4/02/2031"/>
        <s v="28/10/2028"/>
        <s v="5/01/2028"/>
        <s v="19/07/2028"/>
        <s v="30/06/2028"/>
        <s v="19/12/2027"/>
        <s v="1/12/2027"/>
        <s v="9/05/2029"/>
        <s v="23/02/2028"/>
        <s v="9/05/2027"/>
        <s v="16/07/2029"/>
        <s v="2/12/2027"/>
        <s v="15/05/2027"/>
        <s v="1/04/2029"/>
        <s v="20/09/2027"/>
        <s v="28/05/2027"/>
        <s v="24/04/2027"/>
        <s v="31/10/2027"/>
        <s v="12/12/2027"/>
        <s v="20/10/2027"/>
        <s v="19/02/2028"/>
        <s v="6/05/2029"/>
        <s v="15/07/2029"/>
        <s v="21/06/2027"/>
        <s v="25/10/2028"/>
        <s v="28/07/2027"/>
        <s v="15/02/2027"/>
        <s v="31/03/2027"/>
        <s v="25/02/2029"/>
        <s v="11/03/2027"/>
        <s v="18/07/2029"/>
        <s v="16/01/2028"/>
        <s v="30/09/2027"/>
        <s v="21/02/2027"/>
        <s v="5/12/2027"/>
        <s v="7/04/2030"/>
        <s v="5/11/2027"/>
        <s v="4/11/2027"/>
        <s v="1/03/2028"/>
        <s v="5/04/2028"/>
        <s v="7/04/2027"/>
        <s v="13/08/2029"/>
        <s v="10/11/2027"/>
        <s v="10/12/2027"/>
        <s v="31/10/2029"/>
        <s v="5/09/2027"/>
        <s v="17/09/2029"/>
        <s v="27/08/2029"/>
        <s v="16/04/2028"/>
        <s v="25/08/2029"/>
        <s v="25/08/2027"/>
        <s v="15/12/2028"/>
        <s v="23/11/2026"/>
        <s v="24/08/2027"/>
        <s v="20/02/2029"/>
        <s v="2/02/2027"/>
        <s v="30/04/2030"/>
        <s v="30/05/2029"/>
        <s v="12/05/2029"/>
        <s v="12/04/2028"/>
        <s v="10/05/2030"/>
        <s v="12/05/2027"/>
        <s v="1/08/2029"/>
        <s v="19/01/2028"/>
        <s v="1/02/2028"/>
        <s v="3/12/2028"/>
        <s v="30/06/2030"/>
        <s v="22/06/2029"/>
        <s v="25/06/2028"/>
        <s v="5/05/2029"/>
        <s v="31/05/2030"/>
        <s v="28/08/2030"/>
        <s v="4/05/2029"/>
        <s v="8/04/2028"/>
        <s v="30/01/2028"/>
        <s v="4/05/2027"/>
        <s v="23/07/2029"/>
        <s v="14/12/2030"/>
        <s v="14/10/2030"/>
        <s v="11/04/2028"/>
        <s v="31/01/2028"/>
        <s v="11/09/2027"/>
        <s v="23/04/2030"/>
        <s v="11/04/2030"/>
        <s v="25/03/2028"/>
        <s v="6/04/2027"/>
        <s v="10/04/2030"/>
        <s v="10/04/2028"/>
        <s v="2/08/2029"/>
        <s v="1/01/2028"/>
        <s v="31/10/2030"/>
        <s v="3/09/2030"/>
        <s v="16/03/2028"/>
        <s v="30/04/2029"/>
        <s v="30/04/2027"/>
        <s v="31/01/2030"/>
        <s v="6/09/2027"/>
        <s v="25/03/2029"/>
        <s v="22/03/2027"/>
        <s v="7/05/2027"/>
        <s v="16/07/2028"/>
        <s v="25/06/2027"/>
        <s v="2/11/2027"/>
        <s v="5/03/2029"/>
        <s v="18/03/2028"/>
        <s v="18/02/2026"/>
        <s v="14/03/2027"/>
        <s v="17/07/2028"/>
        <s v="30/01/2027"/>
        <s v="31/01/2031"/>
        <s v="14/04/2029"/>
        <s v="14/03/2029"/>
        <s v="10/03/2028"/>
        <s v="6/05/2031"/>
        <s v="28/04/2028"/>
        <s v="13/03/2027"/>
        <s v="20/07/2029"/>
        <s v="21/12/2030"/>
        <s v="7/05/2029"/>
        <s v="9/03/2028"/>
        <s v="8/04/2027"/>
        <s v="31/03/2030"/>
        <s v="8/09/2027"/>
        <s v="5/03/2031"/>
        <s v="9/03/2027"/>
        <s v="27/01/2028"/>
        <s v="15/11/2030"/>
        <s v="14/11/2027"/>
        <s v="14/11/2028"/>
        <s v="29/07/2029"/>
        <s v="15/11/2027"/>
        <s v="26/05/2031"/>
        <s v="7/10/2029"/>
        <s v="18/06/2029"/>
        <s v="2/02/2028"/>
        <s v="28/02/2028"/>
        <s v="28/02/2027"/>
        <s v="6/01/2028"/>
        <s v="10/04/2027"/>
        <s v="6/10/2027"/>
        <s v="14/09/2027"/>
        <s v="7/02/2030"/>
        <s v="17/04/2028"/>
        <s v="18/03/2027"/>
        <s v="3/01/2028"/>
        <s v="6/02/2028"/>
        <s v="14/07/2029"/>
        <s v="23/11/2027"/>
        <s v="5/01/2027"/>
        <s v="26/09/2027"/>
        <s v="21/07/2026"/>
        <s v="9/09/2026"/>
        <s v="18/07/2027"/>
        <s v="14/06/2027"/>
        <s v="28/02/2030"/>
        <s v="22/11/2027"/>
        <s v="30/07/2028"/>
        <s v="24/11/2027"/>
        <s v="16/10/2027"/>
        <s v="1/04/2027"/>
        <s v="4/01/2028"/>
        <s v="20/01/2028"/>
        <s v="31/10/2026"/>
        <s v="8/03/2029"/>
        <s v="13/10/2027"/>
        <s v="16/01/2027"/>
        <s v="12/02/2027"/>
        <s v="12/01/2028"/>
        <s v="19/09/2027"/>
        <s v="17/09/2027"/>
        <s v="13/04/2029"/>
        <s v="15/04/2027"/>
        <s v="11/08/2029"/>
        <s v="28/09/2030"/>
        <s v="28/04/2031"/>
        <s v="15/08/2029"/>
        <s v="27/04/2031"/>
        <s v="23/01/2027"/>
        <s v="15/01/2027"/>
        <s v="31/07/2029"/>
        <s v="16/04/2029"/>
        <s v="29/03/2027"/>
        <s v="21/01/2028"/>
        <s v="29/11/2027"/>
        <s v="27/06/2029"/>
        <s v="19/03/2027"/>
        <s v="7/01/2028"/>
        <s v="25/11/2027"/>
        <s v="22/09/2027"/>
        <s v="21/09/2027"/>
        <s v="5/01/2030"/>
        <s v="28/03/2027"/>
        <s v="10/08/2029"/>
        <s v="9/12/2028"/>
        <s v="8/08/2028"/>
        <s v="14/08/2029"/>
        <s v="13/04/2028"/>
        <s v="20/08/2028"/>
        <s v="5/10/2027"/>
        <s v="1/12/2029"/>
        <s v="26/11/2027"/>
        <s v="13/09/2027"/>
        <s v="21/07/2028"/>
        <s v="25/03/2027"/>
        <s v="28/09/2027"/>
        <s v="9/04/2027"/>
        <s v="1/08/2030"/>
        <s v="17/12/2030"/>
        <s v="3/05/2028"/>
        <s v="15/07/2028"/>
        <s v="31/01/2027"/>
        <s v="28/11/2027"/>
        <s v="18/04/2031"/>
        <s v="12/01/2030"/>
        <s v="29/07/2028"/>
        <s v="10/08/2027"/>
        <s v="10/09/2027"/>
        <s v="7/03/2028"/>
        <s v="16/06/2029"/>
        <s v="12/03/2027"/>
        <s v="15/06/2029"/>
        <s v="16/06/2027"/>
        <s v="27/11/2027"/>
        <s v="18/09/2030"/>
        <s v="2/10/2027"/>
        <s v="29/02/2028"/>
        <s v="9/02/2028"/>
        <s v="3/10/2029"/>
        <s v="2/12/2029"/>
        <s v="4/02/2028"/>
        <s v="4/02/2029"/>
        <s v="13/07/2029"/>
        <s v="18/06/2031"/>
        <s v="25/07/2028"/>
        <s v="19/03/2029"/>
        <s v="4/10/2027"/>
        <s v="19/05/2027"/>
        <s v="7/09/2027"/>
        <s v="2/04/2028"/>
        <s v="10/01/2028"/>
        <s v="15/09/2027"/>
        <s v="4/11/2026"/>
        <s v="20/05/2029"/>
        <s v="26/02/2030"/>
        <s v="18/08/2029"/>
        <s v="5/02/2028"/>
        <s v="27/07/2027"/>
        <s v="24/09/2027"/>
        <s v="21/01/2030"/>
        <s v="9/07/2030"/>
        <s v="3/08/2028"/>
        <s v="30/09/2029"/>
        <s v="16/09/2027"/>
        <s v="25/11/2030"/>
        <s v="18/01/2029"/>
        <s v="12/08/2029"/>
        <s v="23/07/2027"/>
        <s v="16/06/2030"/>
        <s v="7/08/2027"/>
        <s v="28/08/2028"/>
        <s v="23/04/2029"/>
        <s v="10/02/2028"/>
        <s v="22/04/2029"/>
        <s v="23/04/2027"/>
        <s v="17/02/2031"/>
        <s v="19/11/2026"/>
        <s v="30/03/2027"/>
        <s v="20/08/2027"/>
        <s v="26/06/2028"/>
        <s v="13/05/2029"/>
        <s v="6/10/2028"/>
        <s v="13/05/2027"/>
        <s v="26/08/2026"/>
        <s v="16/05/2029"/>
        <s v="24/05/2026"/>
        <s v="5/07/2026"/>
        <s v="31/03/2029"/>
        <s v="8/02/2028"/>
        <s v="8/02/2031"/>
        <s v="7/02/2029"/>
        <s v="11/09/2030"/>
        <s v="19/12/2026"/>
        <s v="23/01/2028"/>
        <s v="1/08/2027"/>
        <s v="7/01/2030"/>
        <s v="3/12/2027"/>
        <s v="25/07/2029"/>
        <s v="21/04/2028"/>
        <s v="4/12/2027"/>
        <s v="22/07/2029"/>
        <s v="18/12/2027"/>
        <s v="22/09/2029"/>
        <s v="24/12/2027"/>
        <s v="3/09/2027"/>
        <s v="11/11/2029"/>
        <s v="11/11/2027"/>
        <s v="3/02/2028"/>
        <s v="15/04/2028"/>
        <s v="23/04/2028"/>
        <s v="17/11/2027"/>
        <s v="23/11/2030"/>
        <s v="10/05/2028"/>
        <s v="22/11/2028"/>
        <s v="24/08/2030"/>
        <s v="1/04/2031"/>
        <s v="9/04/2031"/>
        <s v="25/02/2028"/>
        <s v="13/02/2028"/>
        <s v="11/02/2028"/>
        <s v="12/01/2031"/>
        <s v="10/02/2031"/>
        <s v="9/02/2029"/>
        <s v="12/02/2028"/>
        <s v="13/05/2031"/>
        <s v="22/07/2027"/>
        <s v="31/05/2028"/>
        <s v="11/12/2027"/>
        <s v="27/06/2030"/>
        <s v="26/06/2027"/>
        <s v="29/06/2030"/>
        <s v="28/06/2028"/>
        <s v="22/01/2028"/>
        <s v="6/08/2030"/>
        <s v="30/01/2030"/>
        <s v="18/11/2026"/>
        <s v="19/11/2027"/>
        <s v="30/11/2026"/>
        <s v="2/06/2031"/>
        <s v="10/12/2029"/>
      </sharedItems>
    </cacheField>
    <cacheField name="Issued" numFmtId="0">
      <sharedItems count="437">
        <s v="19/04/2023"/>
        <s v="14/10/2021"/>
        <s v="22/01/2026"/>
        <s v="9/12/2024"/>
        <s v="9/09/2021"/>
        <s v=""/>
        <s v="13/11/2024"/>
        <s v="10/10/2024"/>
        <s v="15/07/2024"/>
        <s v="24/05/2023"/>
        <s v="30/06/2025"/>
        <s v="31/12/2025"/>
        <s v="13/06/2024"/>
        <s v="5/04/2024"/>
        <s v="21/05/2025"/>
        <s v="2/05/2025"/>
        <s v="23/12/2025"/>
        <s v="18/01/2026"/>
        <s v="21/12/2025"/>
        <s v="14/01/2026"/>
        <s v="7/12/2025"/>
        <s v="8/12/2025"/>
        <s v="21/07/2025"/>
        <s v="15/04/2024"/>
        <s v="28/06/2024"/>
        <s v="9/02/2024"/>
        <s v="5/07/2024"/>
        <s v="16/02/2024"/>
        <s v="21/07/2026"/>
        <s v="16/09/2024"/>
        <s v="22/10/2025"/>
        <s v="19/09/2024"/>
        <s v="28/08/2025"/>
        <s v="27/08/2025"/>
        <s v="1/01/2026"/>
        <s v="30/06/2024"/>
        <s v="8/10/2025"/>
        <s v="22/07/2024"/>
        <s v="8/03/2025"/>
        <s v="31/08/2025"/>
        <s v="1/07/2024"/>
        <s v="29/06/2024"/>
        <s v="19/07/2026"/>
        <s v="30/04/2026"/>
        <s v="17/01/2026"/>
        <s v="1/09/2024"/>
        <s v="31/08/2024"/>
        <s v="20/10/2025"/>
        <s v="3/09/2024"/>
        <s v="11/05/2024"/>
        <s v="28/01/2026"/>
        <s v="19/04/2024"/>
        <s v="18/05/2025"/>
        <s v="9/04/2026"/>
        <s v="26/07/2026"/>
        <s v="26/01/2026"/>
        <s v="8/05/2024"/>
        <s v="23/12/2022"/>
        <s v="15/04/2026"/>
        <s v="17/10/2024"/>
        <s v="12/03/2026"/>
        <s v="3/05/2024"/>
        <s v="6/05/2026"/>
        <s v="31/12/2024"/>
        <s v="23/07/2017"/>
        <s v="14/04/2024"/>
        <s v="22/12/2025"/>
        <s v="25/10/2025"/>
        <s v="1/06/2024"/>
        <s v="19/05/2024"/>
        <s v="16/04/2025"/>
        <s v="27/07/2026"/>
        <s v="31/03/2026"/>
        <s v="9/05/2024"/>
        <s v="6/12/2025"/>
        <s v="13/10/2025"/>
        <s v="9/09/2025"/>
        <s v="8/08/2021"/>
        <s v="20/02/2025"/>
        <s v="26/02/2024"/>
        <s v="19/02/2026"/>
        <s v="30/11/2024"/>
        <s v="7/04/2024"/>
        <s v="30/11/2025"/>
        <s v="17/10/2025"/>
        <s v="30/12/1899"/>
        <s v="10/05/2024"/>
        <s v="7/03/2025"/>
        <s v="14/03/2026"/>
        <s v="9/12/2025"/>
        <s v="18/10/2025"/>
        <s v="14/07/2026"/>
        <s v="5/02/2026"/>
        <s v="5/07/2023"/>
        <s v="5/01/2026"/>
        <s v="19/07/2025"/>
        <s v="4/03/2025"/>
        <s v="21/06/2026"/>
        <s v="24/03/2024"/>
        <s v="10/04/2024"/>
        <s v="19/12/2025"/>
        <s v="1/12/2025"/>
        <s v="23/02/2026"/>
        <s v="16/07/2026"/>
        <s v="2/12/2025"/>
        <s v="5/06/2023"/>
        <s v="18/12/2021"/>
        <s v="2/04/2024"/>
        <s v="21/09/2022"/>
        <s v="28/05/2025"/>
        <s v="24/04/2024"/>
        <s v="31/10/2023"/>
        <s v="27/03/2024"/>
        <s v="21/04/2024"/>
        <s v="12/12/2025"/>
        <s v="20/05/2024"/>
        <s v="6/05/2024"/>
        <s v="15/07/2026"/>
        <s v="21/06/2025"/>
        <s v="6/12/2023"/>
        <s v="28/07/2025"/>
        <s v="15/02/2024"/>
        <s v="31/03/2023"/>
        <s v="26/02/2026"/>
        <s v="11/03/2025"/>
        <s v="18/07/2026"/>
        <s v="16/01/2026"/>
        <s v="25/03/2024"/>
        <s v="30/09/2025"/>
        <s v="22/02/2024"/>
        <s v="30/11/2023"/>
        <s v="21/04/2025"/>
        <s v="5/12/2025"/>
        <s v="7/04/2025"/>
        <s v="5/11/2024"/>
        <s v="4/11/2024"/>
        <s v="26/04/2025"/>
        <s v="1/03/2026"/>
        <s v="6/04/2025"/>
        <s v="14/08/2024"/>
        <s v="10/11/2025"/>
        <s v="10/12/2024"/>
        <s v="31/10/2025"/>
        <s v="9/05/2025"/>
        <s v="5/09/2025"/>
        <s v="17/09/2024"/>
        <s v="27/08/2024"/>
        <s v="16/04/2026"/>
        <s v="10/12/2025"/>
        <s v="25/08/2024"/>
        <s v="25/10/2024"/>
        <s v="16/12/2023"/>
        <s v="24/11/2021"/>
        <s v="24/08/2025"/>
        <s v="20/02/2026"/>
        <s v="2/02/2026"/>
        <s v="30/05/2024"/>
        <s v="12/05/2024"/>
        <s v="12/04/2026"/>
        <s v="10/05/2025"/>
        <s v="1/08/2026"/>
        <s v="19/01/2026"/>
        <s v="1/02/2026"/>
        <s v="4/12/2023"/>
        <s v="23/05/2024"/>
        <s v="25/06/2026"/>
        <s v="5/05/2026"/>
        <s v="13/02/2025"/>
        <s v="1/05/2026"/>
        <s v="4/05/2024"/>
        <s v="8/04/2026"/>
        <s v="30/01/2026"/>
        <s v="23/07/2026"/>
        <s v="5/05/2024"/>
        <s v="15/12/2025"/>
        <s v="15/10/2025"/>
        <s v="11/04/2025"/>
        <s v="31/01/2024"/>
        <s v="22/04/2025"/>
        <s v="11/09/2025"/>
        <s v="23/04/2025"/>
        <s v="25/03/2026"/>
        <s v="27/04/2025"/>
        <s v="10/04/2025"/>
        <s v="2/08/2026"/>
        <s v="31/01/2026"/>
        <s v="1/11/2025"/>
        <s v="4/09/2025"/>
        <s v="17/03/2026"/>
        <s v="19/02/2024"/>
        <s v="9/04/2024"/>
        <s v="6/09/2025"/>
        <s v="22/03/2025"/>
        <s v="7/05/2025"/>
        <s v="25/06/2025"/>
        <s v="3/11/2022"/>
        <s v="6/03/2024"/>
        <s v="19/03/2026"/>
        <s v="10/04/2026"/>
        <s v="14/03/2025"/>
        <s v="17/07/2026"/>
        <s v="15/04/2025"/>
        <s v="15/03/2024"/>
        <s v="11/03/2026"/>
        <s v="11/11/2023"/>
        <s v="28/04/2026"/>
        <s v="13/03/2025"/>
        <s v="20/07/2026"/>
        <s v="10/03/2026"/>
        <s v="8/04/2024"/>
        <s v="13/04/2024"/>
        <s v="8/09/2025"/>
        <s v="6/03/2026"/>
        <s v="9/03/2025"/>
        <s v="26/03/2024"/>
        <s v="27/01/2026"/>
        <s v="1/06/2023"/>
        <s v="31/12/2022"/>
        <s v="15/11/2025"/>
        <s v="14/11/2025"/>
        <s v="29/07/2026"/>
        <s v="16/11/2025"/>
        <s v="27/05/2026"/>
        <s v="6/08/2024"/>
        <s v="18/06/2024"/>
        <s v="28/02/2025"/>
        <s v="28/02/2023"/>
        <s v="6/11/2022"/>
        <s v="6/01/2026"/>
        <s v="5/03/2025"/>
        <s v="10/03/2025"/>
        <s v="16/03/2025"/>
        <s v="19/11/2025"/>
        <s v="6/10/2025"/>
        <s v="14/09/2025"/>
        <s v="7/02/2025"/>
        <s v="17/04/2026"/>
        <s v="28/03/2025"/>
        <s v="18/03/2025"/>
        <s v="3/01/2026"/>
        <s v="6/02/2025"/>
        <s v="23/11/2025"/>
        <s v="27/09/2022"/>
        <s v="25/02/2026"/>
        <s v="18/07/2025"/>
        <s v="14/06/2024"/>
        <s v="22/11/2025"/>
        <s v="16/12/2024"/>
        <s v="30/08/2024"/>
        <s v="21/09/2025"/>
        <s v="30/07/2026"/>
        <s v="24/11/2025"/>
        <s v="24/04/2025"/>
        <s v="16/10/2025"/>
        <s v="1/04/2025"/>
        <s v="28/02/2026"/>
        <s v="4/07/2026"/>
        <s v="4/01/2026"/>
        <s v="20/01/2026"/>
        <s v="24/10/2023"/>
        <s v="10/10/2023"/>
        <s v="8/03/2024"/>
        <s v="16/01/2024"/>
        <s v="12/02/2026"/>
        <s v="17/03/2024"/>
        <s v="12/01/2026"/>
        <s v="19/09/2025"/>
        <s v="17/09/2025"/>
        <s v="1/01/2024"/>
        <s v="11/08/2026"/>
        <s v="29/09/2025"/>
        <s v="6/06/2024"/>
        <s v="23/01/2025"/>
        <s v="15/01/2024"/>
        <s v="31/07/2025"/>
        <s v="4/02/2024"/>
        <s v="8/04/2025"/>
        <s v="1/11/2024"/>
        <s v="16/04/2024"/>
        <s v="29/03/2025"/>
        <s v="21/01/2026"/>
        <s v="29/11/2025"/>
        <s v="26/11/2024"/>
        <s v="19/03/2025"/>
        <s v="7/01/2025"/>
        <s v="3/01/2025"/>
        <s v="19/04/2025"/>
        <s v="25/11/2025"/>
        <s v="22/09/2025"/>
        <s v="5/01/2025"/>
        <s v="1/03/2025"/>
        <s v="10/08/2026"/>
        <s v="10/12/2023"/>
        <s v="9/08/2023"/>
        <s v="15/08/2024"/>
        <s v="14/04/2026"/>
        <s v="20/08/2025"/>
        <s v="30/09/2023"/>
        <s v="3/04/2024"/>
        <s v="5/10/2025"/>
        <s v="23/04/2024"/>
        <s v="12/09/2024"/>
        <s v="17/01/2025"/>
        <s v="26/11/2025"/>
        <s v="13/09/2025"/>
        <s v="4/07/2023"/>
        <s v="1/04/2026"/>
        <s v="17/04/2024"/>
        <s v="28/09/2025"/>
        <s v="5/12/2024"/>
        <s v="9/04/2025"/>
        <s v="1/09/2025"/>
        <s v="12/02/2025"/>
        <s v="4/05/2026"/>
        <s v="15/07/2025"/>
        <s v="31/01/2023"/>
        <s v="17/04/2025"/>
        <s v="28/11/2025"/>
        <s v="18/04/2026"/>
        <s v="12/01/2025"/>
        <s v="2/06/2025"/>
        <s v="11/08/2022"/>
        <s v="31/05/2024"/>
        <s v="10/09/2025"/>
        <s v="18/01/2025"/>
        <s v="10/02/2026"/>
        <s v="16/06/2024"/>
        <s v="7/07/2024"/>
        <s v="12/03/2025"/>
        <s v="15/06/2024"/>
        <s v="13/07/2026"/>
        <s v="27/11/2025"/>
        <s v="31/10/2024"/>
        <s v="2/10/2024"/>
        <s v="29/02/2024"/>
        <s v="6/02/2026"/>
        <s v="9/02/2026"/>
        <s v="3/10/2024"/>
        <s v="2/12/2024"/>
        <s v="4/02/2026"/>
        <s v="19/06/2026"/>
        <s v="26/07/2023"/>
        <s v="20/03/2024"/>
        <s v="18/03/2024"/>
        <s v="11/04/2024"/>
        <s v="4/10/2025"/>
        <s v="19/05/2022"/>
        <s v="7/05/2024"/>
        <s v="18/10/2022"/>
        <s v="8/09/2022"/>
        <s v="2/04/2026"/>
        <s v="10/01/2025"/>
        <s v="22/03/2024"/>
        <s v="30/06/2026"/>
        <s v="15/09/2025"/>
        <s v="5/11/2021"/>
        <s v="21/05/2024"/>
        <s v="29/01/2025"/>
        <s v="19/08/2024"/>
        <s v="24/09/2025"/>
        <s v="21/01/2025"/>
        <s v="11/01/2023"/>
        <s v="12/05/2025"/>
        <s v="3/08/2026"/>
        <s v="16/09/2025"/>
        <s v="12/08/2026"/>
        <s v="23/07/2025"/>
        <s v="17/06/2025"/>
        <s v="8/08/2022"/>
        <s v="1/11/2023"/>
        <s v="27/06/2024"/>
        <s v="12/04/2024"/>
        <s v="22/04/2024"/>
        <s v="19/11/2024"/>
        <s v="30/03/2025"/>
        <s v="13/08/2026"/>
        <s v="5/08/2023"/>
        <s v="11/12/2025"/>
        <s v="13/05/2024"/>
        <s v="23/02/2024"/>
        <s v="1/03/2024"/>
        <s v="20/07/2024"/>
        <s v="18/05/2026"/>
        <s v="26/06/2026"/>
        <s v="7/10/2025"/>
        <s v="26/08/2024"/>
        <s v="4/04/2025"/>
        <s v="16/06/2021"/>
        <s v="31/03/2025"/>
        <s v="27/02/2026"/>
        <s v="8/02/2026"/>
        <s v="22/02/2025"/>
        <s v="12/09/2025"/>
        <s v="19/12/2021"/>
        <s v="30/01/2025"/>
        <s v="2/02/2025"/>
        <s v="23/01/2026"/>
        <s v="7/07/2026"/>
        <s v="1/08/2025"/>
        <s v="3/03/2026"/>
        <s v="8/03/2026"/>
        <s v="3/12/2025"/>
        <s v="25/07/2026"/>
        <s v="21/04/2026"/>
        <s v="4/12/2025"/>
        <s v="23/07/2024"/>
        <s v="19/12/2022"/>
        <s v="23/09/2024"/>
        <s v="18/11/2023"/>
        <s v="14/06/2025"/>
        <s v="24/12/2025"/>
        <s v="3/09/2025"/>
        <s v="11/11/2024"/>
        <s v="12/07/2024"/>
        <s v="25/11/2024"/>
        <s v="10/11/2024"/>
        <s v="3/02/2026"/>
        <s v="19/07/2024"/>
        <s v="31/08/2023"/>
        <s v="17/11/2025"/>
        <s v="11/05/2026"/>
        <s v="8/08/2025"/>
        <s v="25/02/2025"/>
        <s v="11/02/2026"/>
        <s v="13/02/2026"/>
        <s v="13/05/2026"/>
        <s v="20/03/2023"/>
        <s v="1/07/2026"/>
        <s v="27/06/2025"/>
        <s v="26/06/2025"/>
        <s v="29/06/2025"/>
        <s v="10/07/2025"/>
        <s v="7/08/2025"/>
        <s v="31/01/2025"/>
        <s v="18/11/2024"/>
        <s v="30/11/2022"/>
        <s v="2/06/2026"/>
      </sharedItems>
    </cacheField>
    <cacheField name="StatusKey" numFmtId="0">
      <sharedItems containsSemiMixedTypes="0" containsString="0" containsNumber="1" containsInteger="1" minValue="1" maxValue="4" count="4">
        <n v="4"/>
        <n v="3"/>
        <n v="2"/>
        <n v="1"/>
      </sharedItems>
    </cacheField>
    <cacheField name="Has Course booking" numFmtId="0">
      <sharedItems count="1">
        <s v=""/>
      </sharedItems>
    </cacheField>
    <cacheField name="StatusNameKey" numFmtId="0">
      <sharedItems count="4">
        <s v="In Date"/>
        <s v="About to expire"/>
        <s v="Outstanding"/>
        <s v="Expired"/>
      </sharedItems>
    </cacheField>
    <cacheField name="ScannedDoc" numFmtId="0">
      <sharedItems containsSemiMixedTypes="0" containsString="0" containsNumber="1" containsInteger="1" minValue="0" maxValue="1" count="2">
        <n v="1"/>
        <n v="0"/>
      </sharedItems>
    </cacheField>
    <cacheField name="Course_index" numFmtId="0">
      <sharedItems containsSemiMixedTypes="0" containsString="0" containsNumber="1" containsInteger="1" minValue="1" maxValue="52" count="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cacheField>
    <cacheField name="Attachement" numFmtId="0">
      <sharedItems count="2">
        <s v="Yes"/>
        <s v=""/>
      </sharedItems>
    </cacheField>
  </cacheFields>
  <extLst>
    <ext xmlns:x14="http://schemas.microsoft.com/office/spreadsheetml/2009/9/main" uri="{725AE2AE-9491-48be-B2B4-4EB974FC3084}">
      <x14:pivotCacheDefinition pivotCacheId="1100793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3">
  <r>
    <n v="147"/>
    <x v="0"/>
    <x v="0"/>
    <x v="0"/>
    <x v="0"/>
    <x v="0"/>
    <x v="0"/>
    <x v="0"/>
    <x v="0"/>
    <x v="0"/>
    <x v="0"/>
    <x v="0"/>
    <x v="0"/>
    <x v="0"/>
    <x v="0"/>
    <x v="0"/>
    <x v="0"/>
    <x v="0"/>
  </r>
  <r>
    <n v="148"/>
    <x v="1"/>
    <x v="1"/>
    <x v="1"/>
    <x v="0"/>
    <x v="0"/>
    <x v="1"/>
    <x v="0"/>
    <x v="0"/>
    <x v="0"/>
    <x v="1"/>
    <x v="1"/>
    <x v="1"/>
    <x v="0"/>
    <x v="1"/>
    <x v="0"/>
    <x v="0"/>
    <x v="0"/>
  </r>
  <r>
    <n v="147"/>
    <x v="0"/>
    <x v="0"/>
    <x v="0"/>
    <x v="1"/>
    <x v="0"/>
    <x v="0"/>
    <x v="0"/>
    <x v="0"/>
    <x v="0"/>
    <x v="0"/>
    <x v="0"/>
    <x v="0"/>
    <x v="0"/>
    <x v="0"/>
    <x v="1"/>
    <x v="1"/>
    <x v="1"/>
  </r>
  <r>
    <n v="148"/>
    <x v="1"/>
    <x v="1"/>
    <x v="1"/>
    <x v="1"/>
    <x v="0"/>
    <x v="0"/>
    <x v="0"/>
    <x v="0"/>
    <x v="0"/>
    <x v="2"/>
    <x v="2"/>
    <x v="0"/>
    <x v="0"/>
    <x v="0"/>
    <x v="0"/>
    <x v="1"/>
    <x v="0"/>
  </r>
  <r>
    <n v="147"/>
    <x v="0"/>
    <x v="0"/>
    <x v="0"/>
    <x v="2"/>
    <x v="0"/>
    <x v="0"/>
    <x v="0"/>
    <x v="0"/>
    <x v="0"/>
    <x v="3"/>
    <x v="3"/>
    <x v="0"/>
    <x v="0"/>
    <x v="0"/>
    <x v="0"/>
    <x v="2"/>
    <x v="0"/>
  </r>
  <r>
    <n v="148"/>
    <x v="1"/>
    <x v="1"/>
    <x v="1"/>
    <x v="2"/>
    <x v="0"/>
    <x v="0"/>
    <x v="0"/>
    <x v="0"/>
    <x v="0"/>
    <x v="4"/>
    <x v="4"/>
    <x v="0"/>
    <x v="0"/>
    <x v="0"/>
    <x v="0"/>
    <x v="2"/>
    <x v="0"/>
  </r>
  <r>
    <n v="147"/>
    <x v="0"/>
    <x v="0"/>
    <x v="0"/>
    <x v="3"/>
    <x v="1"/>
    <x v="2"/>
    <x v="0"/>
    <x v="0"/>
    <x v="0"/>
    <x v="5"/>
    <x v="5"/>
    <x v="2"/>
    <x v="0"/>
    <x v="2"/>
    <x v="1"/>
    <x v="3"/>
    <x v="1"/>
  </r>
  <r>
    <n v="148"/>
    <x v="1"/>
    <x v="1"/>
    <x v="1"/>
    <x v="3"/>
    <x v="1"/>
    <x v="1"/>
    <x v="0"/>
    <x v="0"/>
    <x v="0"/>
    <x v="6"/>
    <x v="1"/>
    <x v="1"/>
    <x v="0"/>
    <x v="1"/>
    <x v="1"/>
    <x v="3"/>
    <x v="1"/>
  </r>
  <r>
    <n v="147"/>
    <x v="0"/>
    <x v="0"/>
    <x v="0"/>
    <x v="4"/>
    <x v="0"/>
    <x v="0"/>
    <x v="0"/>
    <x v="0"/>
    <x v="0"/>
    <x v="7"/>
    <x v="6"/>
    <x v="0"/>
    <x v="0"/>
    <x v="0"/>
    <x v="0"/>
    <x v="4"/>
    <x v="0"/>
  </r>
  <r>
    <n v="148"/>
    <x v="1"/>
    <x v="1"/>
    <x v="1"/>
    <x v="4"/>
    <x v="0"/>
    <x v="1"/>
    <x v="0"/>
    <x v="0"/>
    <x v="0"/>
    <x v="8"/>
    <x v="7"/>
    <x v="1"/>
    <x v="0"/>
    <x v="1"/>
    <x v="0"/>
    <x v="4"/>
    <x v="0"/>
  </r>
  <r>
    <n v="147"/>
    <x v="0"/>
    <x v="0"/>
    <x v="0"/>
    <x v="5"/>
    <x v="0"/>
    <x v="0"/>
    <x v="0"/>
    <x v="0"/>
    <x v="0"/>
    <x v="9"/>
    <x v="8"/>
    <x v="0"/>
    <x v="0"/>
    <x v="0"/>
    <x v="0"/>
    <x v="5"/>
    <x v="0"/>
  </r>
  <r>
    <n v="148"/>
    <x v="1"/>
    <x v="1"/>
    <x v="1"/>
    <x v="5"/>
    <x v="0"/>
    <x v="0"/>
    <x v="0"/>
    <x v="0"/>
    <x v="0"/>
    <x v="10"/>
    <x v="9"/>
    <x v="0"/>
    <x v="0"/>
    <x v="0"/>
    <x v="0"/>
    <x v="5"/>
    <x v="0"/>
  </r>
  <r>
    <n v="147"/>
    <x v="0"/>
    <x v="0"/>
    <x v="0"/>
    <x v="6"/>
    <x v="1"/>
    <x v="2"/>
    <x v="0"/>
    <x v="0"/>
    <x v="0"/>
    <x v="5"/>
    <x v="5"/>
    <x v="2"/>
    <x v="0"/>
    <x v="2"/>
    <x v="1"/>
    <x v="6"/>
    <x v="1"/>
  </r>
  <r>
    <n v="148"/>
    <x v="1"/>
    <x v="1"/>
    <x v="1"/>
    <x v="6"/>
    <x v="1"/>
    <x v="2"/>
    <x v="0"/>
    <x v="0"/>
    <x v="0"/>
    <x v="5"/>
    <x v="5"/>
    <x v="2"/>
    <x v="0"/>
    <x v="2"/>
    <x v="1"/>
    <x v="6"/>
    <x v="1"/>
  </r>
  <r>
    <n v="147"/>
    <x v="0"/>
    <x v="0"/>
    <x v="0"/>
    <x v="7"/>
    <x v="0"/>
    <x v="0"/>
    <x v="0"/>
    <x v="0"/>
    <x v="1"/>
    <x v="11"/>
    <x v="10"/>
    <x v="0"/>
    <x v="0"/>
    <x v="0"/>
    <x v="0"/>
    <x v="7"/>
    <x v="0"/>
  </r>
  <r>
    <n v="148"/>
    <x v="1"/>
    <x v="1"/>
    <x v="1"/>
    <x v="7"/>
    <x v="0"/>
    <x v="0"/>
    <x v="0"/>
    <x v="0"/>
    <x v="1"/>
    <x v="12"/>
    <x v="11"/>
    <x v="0"/>
    <x v="0"/>
    <x v="0"/>
    <x v="0"/>
    <x v="7"/>
    <x v="0"/>
  </r>
  <r>
    <n v="147"/>
    <x v="0"/>
    <x v="0"/>
    <x v="0"/>
    <x v="8"/>
    <x v="0"/>
    <x v="0"/>
    <x v="0"/>
    <x v="0"/>
    <x v="1"/>
    <x v="13"/>
    <x v="12"/>
    <x v="0"/>
    <x v="0"/>
    <x v="0"/>
    <x v="0"/>
    <x v="8"/>
    <x v="0"/>
  </r>
  <r>
    <n v="148"/>
    <x v="1"/>
    <x v="1"/>
    <x v="1"/>
    <x v="8"/>
    <x v="0"/>
    <x v="0"/>
    <x v="0"/>
    <x v="0"/>
    <x v="1"/>
    <x v="13"/>
    <x v="13"/>
    <x v="0"/>
    <x v="0"/>
    <x v="0"/>
    <x v="0"/>
    <x v="8"/>
    <x v="0"/>
  </r>
  <r>
    <n v="147"/>
    <x v="0"/>
    <x v="0"/>
    <x v="0"/>
    <x v="9"/>
    <x v="0"/>
    <x v="0"/>
    <x v="0"/>
    <x v="0"/>
    <x v="1"/>
    <x v="13"/>
    <x v="14"/>
    <x v="0"/>
    <x v="0"/>
    <x v="0"/>
    <x v="0"/>
    <x v="9"/>
    <x v="0"/>
  </r>
  <r>
    <n v="148"/>
    <x v="1"/>
    <x v="1"/>
    <x v="1"/>
    <x v="9"/>
    <x v="0"/>
    <x v="0"/>
    <x v="0"/>
    <x v="0"/>
    <x v="1"/>
    <x v="13"/>
    <x v="15"/>
    <x v="0"/>
    <x v="0"/>
    <x v="0"/>
    <x v="0"/>
    <x v="9"/>
    <x v="0"/>
  </r>
  <r>
    <n v="147"/>
    <x v="0"/>
    <x v="0"/>
    <x v="0"/>
    <x v="10"/>
    <x v="0"/>
    <x v="0"/>
    <x v="0"/>
    <x v="0"/>
    <x v="1"/>
    <x v="14"/>
    <x v="16"/>
    <x v="0"/>
    <x v="0"/>
    <x v="0"/>
    <x v="0"/>
    <x v="10"/>
    <x v="0"/>
  </r>
  <r>
    <n v="148"/>
    <x v="1"/>
    <x v="1"/>
    <x v="1"/>
    <x v="10"/>
    <x v="0"/>
    <x v="0"/>
    <x v="0"/>
    <x v="0"/>
    <x v="1"/>
    <x v="15"/>
    <x v="17"/>
    <x v="0"/>
    <x v="0"/>
    <x v="0"/>
    <x v="0"/>
    <x v="10"/>
    <x v="0"/>
  </r>
  <r>
    <n v="147"/>
    <x v="0"/>
    <x v="0"/>
    <x v="0"/>
    <x v="11"/>
    <x v="0"/>
    <x v="0"/>
    <x v="0"/>
    <x v="0"/>
    <x v="2"/>
    <x v="16"/>
    <x v="18"/>
    <x v="0"/>
    <x v="0"/>
    <x v="0"/>
    <x v="0"/>
    <x v="11"/>
    <x v="0"/>
  </r>
  <r>
    <n v="148"/>
    <x v="1"/>
    <x v="1"/>
    <x v="1"/>
    <x v="11"/>
    <x v="0"/>
    <x v="0"/>
    <x v="0"/>
    <x v="0"/>
    <x v="2"/>
    <x v="17"/>
    <x v="19"/>
    <x v="0"/>
    <x v="0"/>
    <x v="0"/>
    <x v="0"/>
    <x v="11"/>
    <x v="0"/>
  </r>
  <r>
    <n v="147"/>
    <x v="0"/>
    <x v="0"/>
    <x v="0"/>
    <x v="12"/>
    <x v="0"/>
    <x v="0"/>
    <x v="0"/>
    <x v="0"/>
    <x v="2"/>
    <x v="18"/>
    <x v="20"/>
    <x v="0"/>
    <x v="0"/>
    <x v="0"/>
    <x v="0"/>
    <x v="12"/>
    <x v="0"/>
  </r>
  <r>
    <n v="148"/>
    <x v="1"/>
    <x v="1"/>
    <x v="1"/>
    <x v="12"/>
    <x v="0"/>
    <x v="0"/>
    <x v="0"/>
    <x v="0"/>
    <x v="2"/>
    <x v="19"/>
    <x v="21"/>
    <x v="0"/>
    <x v="0"/>
    <x v="0"/>
    <x v="0"/>
    <x v="12"/>
    <x v="0"/>
  </r>
  <r>
    <n v="147"/>
    <x v="0"/>
    <x v="0"/>
    <x v="0"/>
    <x v="13"/>
    <x v="0"/>
    <x v="0"/>
    <x v="0"/>
    <x v="0"/>
    <x v="3"/>
    <x v="13"/>
    <x v="22"/>
    <x v="0"/>
    <x v="0"/>
    <x v="0"/>
    <x v="0"/>
    <x v="13"/>
    <x v="0"/>
  </r>
  <r>
    <n v="148"/>
    <x v="1"/>
    <x v="1"/>
    <x v="1"/>
    <x v="13"/>
    <x v="0"/>
    <x v="0"/>
    <x v="0"/>
    <x v="0"/>
    <x v="3"/>
    <x v="13"/>
    <x v="23"/>
    <x v="0"/>
    <x v="0"/>
    <x v="0"/>
    <x v="0"/>
    <x v="13"/>
    <x v="0"/>
  </r>
  <r>
    <n v="147"/>
    <x v="0"/>
    <x v="0"/>
    <x v="0"/>
    <x v="14"/>
    <x v="0"/>
    <x v="0"/>
    <x v="0"/>
    <x v="0"/>
    <x v="3"/>
    <x v="13"/>
    <x v="24"/>
    <x v="0"/>
    <x v="0"/>
    <x v="0"/>
    <x v="0"/>
    <x v="14"/>
    <x v="0"/>
  </r>
  <r>
    <n v="148"/>
    <x v="1"/>
    <x v="1"/>
    <x v="1"/>
    <x v="14"/>
    <x v="0"/>
    <x v="0"/>
    <x v="0"/>
    <x v="0"/>
    <x v="3"/>
    <x v="13"/>
    <x v="25"/>
    <x v="0"/>
    <x v="0"/>
    <x v="0"/>
    <x v="0"/>
    <x v="14"/>
    <x v="0"/>
  </r>
  <r>
    <n v="147"/>
    <x v="0"/>
    <x v="0"/>
    <x v="0"/>
    <x v="15"/>
    <x v="0"/>
    <x v="0"/>
    <x v="0"/>
    <x v="0"/>
    <x v="3"/>
    <x v="13"/>
    <x v="26"/>
    <x v="0"/>
    <x v="0"/>
    <x v="0"/>
    <x v="0"/>
    <x v="15"/>
    <x v="0"/>
  </r>
  <r>
    <n v="148"/>
    <x v="1"/>
    <x v="1"/>
    <x v="1"/>
    <x v="15"/>
    <x v="0"/>
    <x v="0"/>
    <x v="0"/>
    <x v="0"/>
    <x v="3"/>
    <x v="13"/>
    <x v="27"/>
    <x v="0"/>
    <x v="0"/>
    <x v="0"/>
    <x v="0"/>
    <x v="15"/>
    <x v="0"/>
  </r>
  <r>
    <n v="147"/>
    <x v="0"/>
    <x v="0"/>
    <x v="0"/>
    <x v="16"/>
    <x v="0"/>
    <x v="0"/>
    <x v="0"/>
    <x v="0"/>
    <x v="3"/>
    <x v="13"/>
    <x v="28"/>
    <x v="0"/>
    <x v="0"/>
    <x v="0"/>
    <x v="0"/>
    <x v="16"/>
    <x v="0"/>
  </r>
  <r>
    <n v="147"/>
    <x v="0"/>
    <x v="0"/>
    <x v="0"/>
    <x v="17"/>
    <x v="0"/>
    <x v="0"/>
    <x v="0"/>
    <x v="0"/>
    <x v="3"/>
    <x v="13"/>
    <x v="29"/>
    <x v="0"/>
    <x v="0"/>
    <x v="0"/>
    <x v="0"/>
    <x v="17"/>
    <x v="0"/>
  </r>
  <r>
    <n v="147"/>
    <x v="0"/>
    <x v="0"/>
    <x v="0"/>
    <x v="18"/>
    <x v="0"/>
    <x v="0"/>
    <x v="0"/>
    <x v="0"/>
    <x v="3"/>
    <x v="13"/>
    <x v="30"/>
    <x v="0"/>
    <x v="0"/>
    <x v="0"/>
    <x v="0"/>
    <x v="18"/>
    <x v="0"/>
  </r>
  <r>
    <n v="147"/>
    <x v="0"/>
    <x v="0"/>
    <x v="0"/>
    <x v="19"/>
    <x v="0"/>
    <x v="0"/>
    <x v="0"/>
    <x v="0"/>
    <x v="3"/>
    <x v="20"/>
    <x v="31"/>
    <x v="0"/>
    <x v="0"/>
    <x v="0"/>
    <x v="0"/>
    <x v="19"/>
    <x v="0"/>
  </r>
  <r>
    <n v="147"/>
    <x v="0"/>
    <x v="0"/>
    <x v="0"/>
    <x v="20"/>
    <x v="0"/>
    <x v="0"/>
    <x v="0"/>
    <x v="0"/>
    <x v="4"/>
    <x v="21"/>
    <x v="32"/>
    <x v="0"/>
    <x v="0"/>
    <x v="0"/>
    <x v="0"/>
    <x v="20"/>
    <x v="0"/>
  </r>
  <r>
    <n v="147"/>
    <x v="0"/>
    <x v="0"/>
    <x v="0"/>
    <x v="21"/>
    <x v="0"/>
    <x v="0"/>
    <x v="0"/>
    <x v="0"/>
    <x v="4"/>
    <x v="22"/>
    <x v="33"/>
    <x v="0"/>
    <x v="0"/>
    <x v="0"/>
    <x v="0"/>
    <x v="21"/>
    <x v="0"/>
  </r>
  <r>
    <n v="147"/>
    <x v="0"/>
    <x v="0"/>
    <x v="0"/>
    <x v="22"/>
    <x v="0"/>
    <x v="0"/>
    <x v="0"/>
    <x v="0"/>
    <x v="4"/>
    <x v="13"/>
    <x v="34"/>
    <x v="0"/>
    <x v="0"/>
    <x v="0"/>
    <x v="0"/>
    <x v="22"/>
    <x v="0"/>
  </r>
  <r>
    <n v="147"/>
    <x v="0"/>
    <x v="0"/>
    <x v="0"/>
    <x v="23"/>
    <x v="0"/>
    <x v="0"/>
    <x v="0"/>
    <x v="0"/>
    <x v="5"/>
    <x v="11"/>
    <x v="35"/>
    <x v="0"/>
    <x v="0"/>
    <x v="0"/>
    <x v="0"/>
    <x v="23"/>
    <x v="0"/>
  </r>
  <r>
    <n v="147"/>
    <x v="0"/>
    <x v="0"/>
    <x v="0"/>
    <x v="24"/>
    <x v="0"/>
    <x v="0"/>
    <x v="0"/>
    <x v="0"/>
    <x v="5"/>
    <x v="23"/>
    <x v="36"/>
    <x v="0"/>
    <x v="0"/>
    <x v="0"/>
    <x v="0"/>
    <x v="24"/>
    <x v="0"/>
  </r>
  <r>
    <n v="147"/>
    <x v="0"/>
    <x v="0"/>
    <x v="0"/>
    <x v="25"/>
    <x v="0"/>
    <x v="0"/>
    <x v="0"/>
    <x v="0"/>
    <x v="5"/>
    <x v="23"/>
    <x v="36"/>
    <x v="0"/>
    <x v="0"/>
    <x v="0"/>
    <x v="0"/>
    <x v="25"/>
    <x v="0"/>
  </r>
  <r>
    <n v="147"/>
    <x v="0"/>
    <x v="0"/>
    <x v="0"/>
    <x v="26"/>
    <x v="0"/>
    <x v="0"/>
    <x v="0"/>
    <x v="0"/>
    <x v="6"/>
    <x v="13"/>
    <x v="37"/>
    <x v="0"/>
    <x v="0"/>
    <x v="0"/>
    <x v="0"/>
    <x v="26"/>
    <x v="0"/>
  </r>
  <r>
    <n v="147"/>
    <x v="0"/>
    <x v="0"/>
    <x v="0"/>
    <x v="27"/>
    <x v="0"/>
    <x v="0"/>
    <x v="0"/>
    <x v="0"/>
    <x v="6"/>
    <x v="24"/>
    <x v="38"/>
    <x v="0"/>
    <x v="0"/>
    <x v="0"/>
    <x v="0"/>
    <x v="27"/>
    <x v="0"/>
  </r>
  <r>
    <n v="147"/>
    <x v="0"/>
    <x v="0"/>
    <x v="0"/>
    <x v="28"/>
    <x v="0"/>
    <x v="0"/>
    <x v="0"/>
    <x v="0"/>
    <x v="7"/>
    <x v="25"/>
    <x v="39"/>
    <x v="0"/>
    <x v="0"/>
    <x v="0"/>
    <x v="0"/>
    <x v="28"/>
    <x v="0"/>
  </r>
  <r>
    <n v="147"/>
    <x v="0"/>
    <x v="0"/>
    <x v="0"/>
    <x v="29"/>
    <x v="0"/>
    <x v="0"/>
    <x v="0"/>
    <x v="0"/>
    <x v="7"/>
    <x v="26"/>
    <x v="40"/>
    <x v="0"/>
    <x v="0"/>
    <x v="0"/>
    <x v="0"/>
    <x v="29"/>
    <x v="0"/>
  </r>
  <r>
    <n v="147"/>
    <x v="0"/>
    <x v="0"/>
    <x v="0"/>
    <x v="30"/>
    <x v="0"/>
    <x v="0"/>
    <x v="0"/>
    <x v="0"/>
    <x v="7"/>
    <x v="27"/>
    <x v="41"/>
    <x v="0"/>
    <x v="0"/>
    <x v="0"/>
    <x v="0"/>
    <x v="30"/>
    <x v="0"/>
  </r>
  <r>
    <n v="147"/>
    <x v="0"/>
    <x v="0"/>
    <x v="0"/>
    <x v="31"/>
    <x v="0"/>
    <x v="0"/>
    <x v="0"/>
    <x v="0"/>
    <x v="7"/>
    <x v="28"/>
    <x v="42"/>
    <x v="0"/>
    <x v="0"/>
    <x v="0"/>
    <x v="0"/>
    <x v="31"/>
    <x v="0"/>
  </r>
  <r>
    <n v="147"/>
    <x v="0"/>
    <x v="0"/>
    <x v="0"/>
    <x v="32"/>
    <x v="0"/>
    <x v="0"/>
    <x v="0"/>
    <x v="0"/>
    <x v="7"/>
    <x v="29"/>
    <x v="43"/>
    <x v="0"/>
    <x v="0"/>
    <x v="0"/>
    <x v="0"/>
    <x v="32"/>
    <x v="0"/>
  </r>
  <r>
    <n v="147"/>
    <x v="0"/>
    <x v="0"/>
    <x v="0"/>
    <x v="33"/>
    <x v="0"/>
    <x v="0"/>
    <x v="0"/>
    <x v="0"/>
    <x v="7"/>
    <x v="13"/>
    <x v="41"/>
    <x v="0"/>
    <x v="0"/>
    <x v="0"/>
    <x v="0"/>
    <x v="33"/>
    <x v="0"/>
  </r>
  <r>
    <n v="147"/>
    <x v="0"/>
    <x v="0"/>
    <x v="0"/>
    <x v="34"/>
    <x v="0"/>
    <x v="0"/>
    <x v="0"/>
    <x v="0"/>
    <x v="7"/>
    <x v="30"/>
    <x v="44"/>
    <x v="0"/>
    <x v="0"/>
    <x v="0"/>
    <x v="0"/>
    <x v="34"/>
    <x v="0"/>
  </r>
  <r>
    <n v="147"/>
    <x v="0"/>
    <x v="0"/>
    <x v="0"/>
    <x v="35"/>
    <x v="0"/>
    <x v="0"/>
    <x v="0"/>
    <x v="0"/>
    <x v="7"/>
    <x v="29"/>
    <x v="43"/>
    <x v="0"/>
    <x v="0"/>
    <x v="0"/>
    <x v="0"/>
    <x v="35"/>
    <x v="0"/>
  </r>
  <r>
    <n v="147"/>
    <x v="0"/>
    <x v="0"/>
    <x v="0"/>
    <x v="36"/>
    <x v="0"/>
    <x v="0"/>
    <x v="0"/>
    <x v="0"/>
    <x v="7"/>
    <x v="16"/>
    <x v="18"/>
    <x v="0"/>
    <x v="0"/>
    <x v="0"/>
    <x v="0"/>
    <x v="36"/>
    <x v="0"/>
  </r>
  <r>
    <n v="148"/>
    <x v="1"/>
    <x v="1"/>
    <x v="1"/>
    <x v="16"/>
    <x v="0"/>
    <x v="0"/>
    <x v="0"/>
    <x v="0"/>
    <x v="3"/>
    <x v="13"/>
    <x v="45"/>
    <x v="0"/>
    <x v="0"/>
    <x v="0"/>
    <x v="0"/>
    <x v="16"/>
    <x v="0"/>
  </r>
  <r>
    <n v="148"/>
    <x v="1"/>
    <x v="1"/>
    <x v="1"/>
    <x v="17"/>
    <x v="0"/>
    <x v="0"/>
    <x v="0"/>
    <x v="0"/>
    <x v="3"/>
    <x v="13"/>
    <x v="46"/>
    <x v="0"/>
    <x v="0"/>
    <x v="0"/>
    <x v="0"/>
    <x v="17"/>
    <x v="0"/>
  </r>
  <r>
    <n v="148"/>
    <x v="1"/>
    <x v="1"/>
    <x v="1"/>
    <x v="18"/>
    <x v="0"/>
    <x v="0"/>
    <x v="0"/>
    <x v="0"/>
    <x v="3"/>
    <x v="13"/>
    <x v="47"/>
    <x v="0"/>
    <x v="0"/>
    <x v="0"/>
    <x v="0"/>
    <x v="18"/>
    <x v="0"/>
  </r>
  <r>
    <n v="148"/>
    <x v="1"/>
    <x v="1"/>
    <x v="1"/>
    <x v="19"/>
    <x v="0"/>
    <x v="0"/>
    <x v="0"/>
    <x v="0"/>
    <x v="3"/>
    <x v="31"/>
    <x v="48"/>
    <x v="0"/>
    <x v="0"/>
    <x v="0"/>
    <x v="0"/>
    <x v="19"/>
    <x v="0"/>
  </r>
  <r>
    <n v="148"/>
    <x v="1"/>
    <x v="1"/>
    <x v="1"/>
    <x v="20"/>
    <x v="0"/>
    <x v="0"/>
    <x v="0"/>
    <x v="0"/>
    <x v="4"/>
    <x v="19"/>
    <x v="21"/>
    <x v="0"/>
    <x v="0"/>
    <x v="0"/>
    <x v="0"/>
    <x v="20"/>
    <x v="0"/>
  </r>
  <r>
    <n v="148"/>
    <x v="1"/>
    <x v="1"/>
    <x v="1"/>
    <x v="21"/>
    <x v="0"/>
    <x v="0"/>
    <x v="0"/>
    <x v="0"/>
    <x v="4"/>
    <x v="19"/>
    <x v="21"/>
    <x v="0"/>
    <x v="0"/>
    <x v="0"/>
    <x v="0"/>
    <x v="21"/>
    <x v="0"/>
  </r>
  <r>
    <n v="148"/>
    <x v="1"/>
    <x v="1"/>
    <x v="1"/>
    <x v="22"/>
    <x v="0"/>
    <x v="0"/>
    <x v="0"/>
    <x v="0"/>
    <x v="4"/>
    <x v="13"/>
    <x v="34"/>
    <x v="0"/>
    <x v="0"/>
    <x v="0"/>
    <x v="0"/>
    <x v="22"/>
    <x v="0"/>
  </r>
  <r>
    <n v="148"/>
    <x v="1"/>
    <x v="1"/>
    <x v="1"/>
    <x v="23"/>
    <x v="0"/>
    <x v="0"/>
    <x v="0"/>
    <x v="0"/>
    <x v="5"/>
    <x v="32"/>
    <x v="49"/>
    <x v="0"/>
    <x v="0"/>
    <x v="0"/>
    <x v="0"/>
    <x v="23"/>
    <x v="0"/>
  </r>
  <r>
    <n v="148"/>
    <x v="1"/>
    <x v="1"/>
    <x v="1"/>
    <x v="24"/>
    <x v="0"/>
    <x v="0"/>
    <x v="0"/>
    <x v="0"/>
    <x v="5"/>
    <x v="33"/>
    <x v="50"/>
    <x v="0"/>
    <x v="0"/>
    <x v="0"/>
    <x v="0"/>
    <x v="24"/>
    <x v="0"/>
  </r>
  <r>
    <n v="148"/>
    <x v="1"/>
    <x v="1"/>
    <x v="1"/>
    <x v="25"/>
    <x v="0"/>
    <x v="0"/>
    <x v="0"/>
    <x v="0"/>
    <x v="5"/>
    <x v="33"/>
    <x v="50"/>
    <x v="0"/>
    <x v="0"/>
    <x v="0"/>
    <x v="0"/>
    <x v="25"/>
    <x v="0"/>
  </r>
  <r>
    <n v="148"/>
    <x v="1"/>
    <x v="1"/>
    <x v="1"/>
    <x v="26"/>
    <x v="0"/>
    <x v="0"/>
    <x v="0"/>
    <x v="0"/>
    <x v="6"/>
    <x v="13"/>
    <x v="51"/>
    <x v="0"/>
    <x v="0"/>
    <x v="0"/>
    <x v="0"/>
    <x v="26"/>
    <x v="0"/>
  </r>
  <r>
    <n v="148"/>
    <x v="1"/>
    <x v="1"/>
    <x v="1"/>
    <x v="27"/>
    <x v="0"/>
    <x v="0"/>
    <x v="0"/>
    <x v="0"/>
    <x v="6"/>
    <x v="34"/>
    <x v="52"/>
    <x v="0"/>
    <x v="0"/>
    <x v="0"/>
    <x v="0"/>
    <x v="27"/>
    <x v="0"/>
  </r>
  <r>
    <n v="148"/>
    <x v="1"/>
    <x v="1"/>
    <x v="1"/>
    <x v="28"/>
    <x v="0"/>
    <x v="0"/>
    <x v="0"/>
    <x v="0"/>
    <x v="7"/>
    <x v="35"/>
    <x v="53"/>
    <x v="0"/>
    <x v="0"/>
    <x v="0"/>
    <x v="0"/>
    <x v="28"/>
    <x v="0"/>
  </r>
  <r>
    <n v="148"/>
    <x v="1"/>
    <x v="1"/>
    <x v="1"/>
    <x v="29"/>
    <x v="0"/>
    <x v="0"/>
    <x v="0"/>
    <x v="0"/>
    <x v="7"/>
    <x v="32"/>
    <x v="49"/>
    <x v="0"/>
    <x v="0"/>
    <x v="0"/>
    <x v="0"/>
    <x v="29"/>
    <x v="0"/>
  </r>
  <r>
    <n v="148"/>
    <x v="1"/>
    <x v="1"/>
    <x v="1"/>
    <x v="30"/>
    <x v="0"/>
    <x v="0"/>
    <x v="0"/>
    <x v="0"/>
    <x v="7"/>
    <x v="36"/>
    <x v="49"/>
    <x v="0"/>
    <x v="0"/>
    <x v="0"/>
    <x v="0"/>
    <x v="30"/>
    <x v="0"/>
  </r>
  <r>
    <n v="148"/>
    <x v="1"/>
    <x v="1"/>
    <x v="1"/>
    <x v="31"/>
    <x v="0"/>
    <x v="0"/>
    <x v="0"/>
    <x v="0"/>
    <x v="7"/>
    <x v="37"/>
    <x v="54"/>
    <x v="0"/>
    <x v="0"/>
    <x v="0"/>
    <x v="0"/>
    <x v="31"/>
    <x v="0"/>
  </r>
  <r>
    <n v="148"/>
    <x v="1"/>
    <x v="1"/>
    <x v="1"/>
    <x v="32"/>
    <x v="0"/>
    <x v="0"/>
    <x v="0"/>
    <x v="0"/>
    <x v="7"/>
    <x v="38"/>
    <x v="55"/>
    <x v="0"/>
    <x v="0"/>
    <x v="0"/>
    <x v="0"/>
    <x v="32"/>
    <x v="0"/>
  </r>
  <r>
    <n v="148"/>
    <x v="1"/>
    <x v="1"/>
    <x v="1"/>
    <x v="33"/>
    <x v="0"/>
    <x v="0"/>
    <x v="0"/>
    <x v="0"/>
    <x v="7"/>
    <x v="13"/>
    <x v="56"/>
    <x v="0"/>
    <x v="0"/>
    <x v="0"/>
    <x v="0"/>
    <x v="33"/>
    <x v="0"/>
  </r>
  <r>
    <n v="148"/>
    <x v="1"/>
    <x v="1"/>
    <x v="1"/>
    <x v="34"/>
    <x v="0"/>
    <x v="0"/>
    <x v="0"/>
    <x v="0"/>
    <x v="7"/>
    <x v="19"/>
    <x v="21"/>
    <x v="0"/>
    <x v="0"/>
    <x v="0"/>
    <x v="0"/>
    <x v="34"/>
    <x v="0"/>
  </r>
  <r>
    <n v="148"/>
    <x v="1"/>
    <x v="1"/>
    <x v="1"/>
    <x v="35"/>
    <x v="0"/>
    <x v="0"/>
    <x v="0"/>
    <x v="0"/>
    <x v="7"/>
    <x v="30"/>
    <x v="44"/>
    <x v="0"/>
    <x v="0"/>
    <x v="0"/>
    <x v="0"/>
    <x v="35"/>
    <x v="0"/>
  </r>
  <r>
    <n v="148"/>
    <x v="1"/>
    <x v="1"/>
    <x v="1"/>
    <x v="36"/>
    <x v="0"/>
    <x v="0"/>
    <x v="0"/>
    <x v="0"/>
    <x v="7"/>
    <x v="30"/>
    <x v="44"/>
    <x v="0"/>
    <x v="0"/>
    <x v="0"/>
    <x v="0"/>
    <x v="36"/>
    <x v="0"/>
  </r>
  <r>
    <n v="152"/>
    <x v="2"/>
    <x v="2"/>
    <x v="2"/>
    <x v="37"/>
    <x v="0"/>
    <x v="0"/>
    <x v="1"/>
    <x v="0"/>
    <x v="0"/>
    <x v="2"/>
    <x v="2"/>
    <x v="0"/>
    <x v="0"/>
    <x v="0"/>
    <x v="0"/>
    <x v="37"/>
    <x v="0"/>
  </r>
  <r>
    <n v="152"/>
    <x v="2"/>
    <x v="2"/>
    <x v="2"/>
    <x v="1"/>
    <x v="0"/>
    <x v="0"/>
    <x v="1"/>
    <x v="0"/>
    <x v="0"/>
    <x v="39"/>
    <x v="57"/>
    <x v="0"/>
    <x v="0"/>
    <x v="0"/>
    <x v="1"/>
    <x v="1"/>
    <x v="1"/>
  </r>
  <r>
    <n v="152"/>
    <x v="2"/>
    <x v="2"/>
    <x v="2"/>
    <x v="2"/>
    <x v="0"/>
    <x v="0"/>
    <x v="1"/>
    <x v="0"/>
    <x v="0"/>
    <x v="40"/>
    <x v="58"/>
    <x v="0"/>
    <x v="0"/>
    <x v="0"/>
    <x v="0"/>
    <x v="2"/>
    <x v="0"/>
  </r>
  <r>
    <n v="152"/>
    <x v="2"/>
    <x v="2"/>
    <x v="2"/>
    <x v="3"/>
    <x v="1"/>
    <x v="0"/>
    <x v="1"/>
    <x v="0"/>
    <x v="0"/>
    <x v="41"/>
    <x v="59"/>
    <x v="0"/>
    <x v="0"/>
    <x v="0"/>
    <x v="1"/>
    <x v="3"/>
    <x v="1"/>
  </r>
  <r>
    <n v="152"/>
    <x v="2"/>
    <x v="2"/>
    <x v="2"/>
    <x v="4"/>
    <x v="0"/>
    <x v="0"/>
    <x v="1"/>
    <x v="0"/>
    <x v="0"/>
    <x v="42"/>
    <x v="60"/>
    <x v="0"/>
    <x v="0"/>
    <x v="0"/>
    <x v="0"/>
    <x v="4"/>
    <x v="0"/>
  </r>
  <r>
    <n v="152"/>
    <x v="2"/>
    <x v="2"/>
    <x v="2"/>
    <x v="5"/>
    <x v="0"/>
    <x v="0"/>
    <x v="1"/>
    <x v="0"/>
    <x v="0"/>
    <x v="43"/>
    <x v="61"/>
    <x v="0"/>
    <x v="0"/>
    <x v="0"/>
    <x v="0"/>
    <x v="5"/>
    <x v="0"/>
  </r>
  <r>
    <n v="152"/>
    <x v="2"/>
    <x v="2"/>
    <x v="2"/>
    <x v="6"/>
    <x v="1"/>
    <x v="0"/>
    <x v="1"/>
    <x v="0"/>
    <x v="0"/>
    <x v="44"/>
    <x v="62"/>
    <x v="0"/>
    <x v="0"/>
    <x v="0"/>
    <x v="0"/>
    <x v="6"/>
    <x v="0"/>
  </r>
  <r>
    <n v="152"/>
    <x v="2"/>
    <x v="2"/>
    <x v="2"/>
    <x v="7"/>
    <x v="0"/>
    <x v="0"/>
    <x v="1"/>
    <x v="0"/>
    <x v="1"/>
    <x v="45"/>
    <x v="63"/>
    <x v="0"/>
    <x v="0"/>
    <x v="0"/>
    <x v="0"/>
    <x v="7"/>
    <x v="0"/>
  </r>
  <r>
    <n v="152"/>
    <x v="2"/>
    <x v="2"/>
    <x v="2"/>
    <x v="8"/>
    <x v="0"/>
    <x v="0"/>
    <x v="1"/>
    <x v="0"/>
    <x v="1"/>
    <x v="13"/>
    <x v="64"/>
    <x v="0"/>
    <x v="0"/>
    <x v="0"/>
    <x v="0"/>
    <x v="8"/>
    <x v="0"/>
  </r>
  <r>
    <n v="152"/>
    <x v="2"/>
    <x v="2"/>
    <x v="2"/>
    <x v="9"/>
    <x v="0"/>
    <x v="0"/>
    <x v="1"/>
    <x v="0"/>
    <x v="1"/>
    <x v="13"/>
    <x v="65"/>
    <x v="0"/>
    <x v="0"/>
    <x v="0"/>
    <x v="0"/>
    <x v="9"/>
    <x v="0"/>
  </r>
  <r>
    <n v="152"/>
    <x v="2"/>
    <x v="2"/>
    <x v="2"/>
    <x v="10"/>
    <x v="0"/>
    <x v="0"/>
    <x v="1"/>
    <x v="0"/>
    <x v="1"/>
    <x v="39"/>
    <x v="66"/>
    <x v="0"/>
    <x v="0"/>
    <x v="0"/>
    <x v="0"/>
    <x v="10"/>
    <x v="0"/>
  </r>
  <r>
    <n v="152"/>
    <x v="2"/>
    <x v="2"/>
    <x v="2"/>
    <x v="11"/>
    <x v="0"/>
    <x v="0"/>
    <x v="1"/>
    <x v="0"/>
    <x v="2"/>
    <x v="39"/>
    <x v="66"/>
    <x v="0"/>
    <x v="0"/>
    <x v="0"/>
    <x v="0"/>
    <x v="11"/>
    <x v="0"/>
  </r>
  <r>
    <n v="152"/>
    <x v="2"/>
    <x v="2"/>
    <x v="2"/>
    <x v="12"/>
    <x v="0"/>
    <x v="0"/>
    <x v="1"/>
    <x v="0"/>
    <x v="2"/>
    <x v="39"/>
    <x v="66"/>
    <x v="0"/>
    <x v="0"/>
    <x v="0"/>
    <x v="0"/>
    <x v="12"/>
    <x v="0"/>
  </r>
  <r>
    <n v="152"/>
    <x v="2"/>
    <x v="2"/>
    <x v="2"/>
    <x v="18"/>
    <x v="0"/>
    <x v="0"/>
    <x v="1"/>
    <x v="0"/>
    <x v="3"/>
    <x v="13"/>
    <x v="47"/>
    <x v="0"/>
    <x v="0"/>
    <x v="0"/>
    <x v="0"/>
    <x v="18"/>
    <x v="0"/>
  </r>
  <r>
    <n v="152"/>
    <x v="2"/>
    <x v="2"/>
    <x v="2"/>
    <x v="20"/>
    <x v="0"/>
    <x v="0"/>
    <x v="1"/>
    <x v="0"/>
    <x v="4"/>
    <x v="46"/>
    <x v="67"/>
    <x v="0"/>
    <x v="0"/>
    <x v="0"/>
    <x v="0"/>
    <x v="20"/>
    <x v="0"/>
  </r>
  <r>
    <n v="152"/>
    <x v="2"/>
    <x v="2"/>
    <x v="2"/>
    <x v="21"/>
    <x v="0"/>
    <x v="0"/>
    <x v="1"/>
    <x v="0"/>
    <x v="4"/>
    <x v="46"/>
    <x v="67"/>
    <x v="0"/>
    <x v="0"/>
    <x v="0"/>
    <x v="0"/>
    <x v="21"/>
    <x v="0"/>
  </r>
  <r>
    <n v="152"/>
    <x v="2"/>
    <x v="2"/>
    <x v="2"/>
    <x v="22"/>
    <x v="0"/>
    <x v="0"/>
    <x v="1"/>
    <x v="0"/>
    <x v="4"/>
    <x v="13"/>
    <x v="68"/>
    <x v="0"/>
    <x v="0"/>
    <x v="0"/>
    <x v="0"/>
    <x v="22"/>
    <x v="0"/>
  </r>
  <r>
    <n v="152"/>
    <x v="2"/>
    <x v="2"/>
    <x v="2"/>
    <x v="38"/>
    <x v="1"/>
    <x v="2"/>
    <x v="1"/>
    <x v="0"/>
    <x v="8"/>
    <x v="5"/>
    <x v="5"/>
    <x v="2"/>
    <x v="0"/>
    <x v="2"/>
    <x v="1"/>
    <x v="38"/>
    <x v="1"/>
  </r>
  <r>
    <n v="152"/>
    <x v="2"/>
    <x v="2"/>
    <x v="2"/>
    <x v="23"/>
    <x v="0"/>
    <x v="0"/>
    <x v="1"/>
    <x v="0"/>
    <x v="5"/>
    <x v="47"/>
    <x v="56"/>
    <x v="0"/>
    <x v="0"/>
    <x v="0"/>
    <x v="0"/>
    <x v="23"/>
    <x v="0"/>
  </r>
  <r>
    <n v="152"/>
    <x v="2"/>
    <x v="2"/>
    <x v="2"/>
    <x v="26"/>
    <x v="0"/>
    <x v="0"/>
    <x v="1"/>
    <x v="0"/>
    <x v="6"/>
    <x v="13"/>
    <x v="69"/>
    <x v="0"/>
    <x v="0"/>
    <x v="0"/>
    <x v="0"/>
    <x v="26"/>
    <x v="0"/>
  </r>
  <r>
    <n v="152"/>
    <x v="2"/>
    <x v="2"/>
    <x v="2"/>
    <x v="27"/>
    <x v="0"/>
    <x v="0"/>
    <x v="1"/>
    <x v="0"/>
    <x v="6"/>
    <x v="48"/>
    <x v="70"/>
    <x v="0"/>
    <x v="0"/>
    <x v="0"/>
    <x v="0"/>
    <x v="27"/>
    <x v="0"/>
  </r>
  <r>
    <n v="152"/>
    <x v="2"/>
    <x v="2"/>
    <x v="2"/>
    <x v="28"/>
    <x v="0"/>
    <x v="0"/>
    <x v="1"/>
    <x v="0"/>
    <x v="7"/>
    <x v="29"/>
    <x v="43"/>
    <x v="0"/>
    <x v="0"/>
    <x v="0"/>
    <x v="0"/>
    <x v="28"/>
    <x v="0"/>
  </r>
  <r>
    <n v="152"/>
    <x v="2"/>
    <x v="2"/>
    <x v="2"/>
    <x v="29"/>
    <x v="0"/>
    <x v="0"/>
    <x v="1"/>
    <x v="0"/>
    <x v="7"/>
    <x v="47"/>
    <x v="56"/>
    <x v="0"/>
    <x v="0"/>
    <x v="0"/>
    <x v="0"/>
    <x v="29"/>
    <x v="0"/>
  </r>
  <r>
    <n v="152"/>
    <x v="2"/>
    <x v="2"/>
    <x v="2"/>
    <x v="30"/>
    <x v="0"/>
    <x v="0"/>
    <x v="1"/>
    <x v="0"/>
    <x v="7"/>
    <x v="49"/>
    <x v="56"/>
    <x v="0"/>
    <x v="0"/>
    <x v="0"/>
    <x v="0"/>
    <x v="30"/>
    <x v="0"/>
  </r>
  <r>
    <n v="152"/>
    <x v="2"/>
    <x v="2"/>
    <x v="2"/>
    <x v="31"/>
    <x v="0"/>
    <x v="0"/>
    <x v="1"/>
    <x v="0"/>
    <x v="7"/>
    <x v="50"/>
    <x v="71"/>
    <x v="0"/>
    <x v="0"/>
    <x v="0"/>
    <x v="0"/>
    <x v="31"/>
    <x v="0"/>
  </r>
  <r>
    <n v="152"/>
    <x v="2"/>
    <x v="2"/>
    <x v="2"/>
    <x v="32"/>
    <x v="0"/>
    <x v="0"/>
    <x v="1"/>
    <x v="0"/>
    <x v="7"/>
    <x v="51"/>
    <x v="72"/>
    <x v="0"/>
    <x v="0"/>
    <x v="0"/>
    <x v="0"/>
    <x v="32"/>
    <x v="0"/>
  </r>
  <r>
    <n v="152"/>
    <x v="2"/>
    <x v="2"/>
    <x v="2"/>
    <x v="33"/>
    <x v="0"/>
    <x v="0"/>
    <x v="1"/>
    <x v="0"/>
    <x v="7"/>
    <x v="13"/>
    <x v="73"/>
    <x v="0"/>
    <x v="0"/>
    <x v="0"/>
    <x v="0"/>
    <x v="33"/>
    <x v="0"/>
  </r>
  <r>
    <n v="152"/>
    <x v="2"/>
    <x v="2"/>
    <x v="2"/>
    <x v="34"/>
    <x v="0"/>
    <x v="0"/>
    <x v="1"/>
    <x v="0"/>
    <x v="7"/>
    <x v="52"/>
    <x v="74"/>
    <x v="0"/>
    <x v="0"/>
    <x v="0"/>
    <x v="0"/>
    <x v="34"/>
    <x v="0"/>
  </r>
  <r>
    <n v="152"/>
    <x v="2"/>
    <x v="2"/>
    <x v="2"/>
    <x v="35"/>
    <x v="0"/>
    <x v="0"/>
    <x v="1"/>
    <x v="0"/>
    <x v="7"/>
    <x v="30"/>
    <x v="44"/>
    <x v="0"/>
    <x v="0"/>
    <x v="0"/>
    <x v="0"/>
    <x v="35"/>
    <x v="0"/>
  </r>
  <r>
    <n v="152"/>
    <x v="2"/>
    <x v="2"/>
    <x v="2"/>
    <x v="36"/>
    <x v="0"/>
    <x v="0"/>
    <x v="1"/>
    <x v="0"/>
    <x v="7"/>
    <x v="15"/>
    <x v="17"/>
    <x v="0"/>
    <x v="0"/>
    <x v="0"/>
    <x v="0"/>
    <x v="36"/>
    <x v="0"/>
  </r>
  <r>
    <n v="153"/>
    <x v="3"/>
    <x v="3"/>
    <x v="3"/>
    <x v="39"/>
    <x v="0"/>
    <x v="0"/>
    <x v="2"/>
    <x v="0"/>
    <x v="0"/>
    <x v="53"/>
    <x v="75"/>
    <x v="0"/>
    <x v="0"/>
    <x v="0"/>
    <x v="0"/>
    <x v="39"/>
    <x v="0"/>
  </r>
  <r>
    <n v="153"/>
    <x v="3"/>
    <x v="3"/>
    <x v="3"/>
    <x v="40"/>
    <x v="0"/>
    <x v="0"/>
    <x v="2"/>
    <x v="0"/>
    <x v="0"/>
    <x v="54"/>
    <x v="43"/>
    <x v="0"/>
    <x v="0"/>
    <x v="0"/>
    <x v="0"/>
    <x v="40"/>
    <x v="0"/>
  </r>
  <r>
    <n v="153"/>
    <x v="3"/>
    <x v="3"/>
    <x v="3"/>
    <x v="1"/>
    <x v="0"/>
    <x v="0"/>
    <x v="2"/>
    <x v="0"/>
    <x v="0"/>
    <x v="55"/>
    <x v="43"/>
    <x v="0"/>
    <x v="0"/>
    <x v="0"/>
    <x v="0"/>
    <x v="1"/>
    <x v="0"/>
  </r>
  <r>
    <n v="153"/>
    <x v="3"/>
    <x v="3"/>
    <x v="3"/>
    <x v="2"/>
    <x v="0"/>
    <x v="0"/>
    <x v="2"/>
    <x v="0"/>
    <x v="0"/>
    <x v="56"/>
    <x v="76"/>
    <x v="0"/>
    <x v="0"/>
    <x v="0"/>
    <x v="0"/>
    <x v="2"/>
    <x v="0"/>
  </r>
  <r>
    <n v="153"/>
    <x v="3"/>
    <x v="3"/>
    <x v="3"/>
    <x v="41"/>
    <x v="0"/>
    <x v="0"/>
    <x v="2"/>
    <x v="0"/>
    <x v="0"/>
    <x v="56"/>
    <x v="76"/>
    <x v="0"/>
    <x v="0"/>
    <x v="0"/>
    <x v="1"/>
    <x v="41"/>
    <x v="1"/>
  </r>
  <r>
    <n v="153"/>
    <x v="3"/>
    <x v="3"/>
    <x v="3"/>
    <x v="3"/>
    <x v="1"/>
    <x v="3"/>
    <x v="2"/>
    <x v="0"/>
    <x v="0"/>
    <x v="57"/>
    <x v="77"/>
    <x v="3"/>
    <x v="0"/>
    <x v="3"/>
    <x v="1"/>
    <x v="3"/>
    <x v="1"/>
  </r>
  <r>
    <n v="153"/>
    <x v="3"/>
    <x v="3"/>
    <x v="3"/>
    <x v="4"/>
    <x v="0"/>
    <x v="0"/>
    <x v="2"/>
    <x v="0"/>
    <x v="0"/>
    <x v="58"/>
    <x v="78"/>
    <x v="0"/>
    <x v="0"/>
    <x v="0"/>
    <x v="0"/>
    <x v="4"/>
    <x v="0"/>
  </r>
  <r>
    <n v="153"/>
    <x v="3"/>
    <x v="3"/>
    <x v="3"/>
    <x v="5"/>
    <x v="0"/>
    <x v="0"/>
    <x v="2"/>
    <x v="0"/>
    <x v="0"/>
    <x v="59"/>
    <x v="79"/>
    <x v="0"/>
    <x v="0"/>
    <x v="0"/>
    <x v="0"/>
    <x v="5"/>
    <x v="0"/>
  </r>
  <r>
    <n v="153"/>
    <x v="3"/>
    <x v="3"/>
    <x v="3"/>
    <x v="6"/>
    <x v="1"/>
    <x v="1"/>
    <x v="2"/>
    <x v="0"/>
    <x v="0"/>
    <x v="60"/>
    <x v="80"/>
    <x v="1"/>
    <x v="0"/>
    <x v="1"/>
    <x v="0"/>
    <x v="6"/>
    <x v="0"/>
  </r>
  <r>
    <n v="153"/>
    <x v="3"/>
    <x v="3"/>
    <x v="3"/>
    <x v="7"/>
    <x v="0"/>
    <x v="0"/>
    <x v="2"/>
    <x v="0"/>
    <x v="1"/>
    <x v="61"/>
    <x v="81"/>
    <x v="0"/>
    <x v="0"/>
    <x v="0"/>
    <x v="0"/>
    <x v="7"/>
    <x v="0"/>
  </r>
  <r>
    <n v="153"/>
    <x v="3"/>
    <x v="3"/>
    <x v="3"/>
    <x v="8"/>
    <x v="0"/>
    <x v="0"/>
    <x v="2"/>
    <x v="0"/>
    <x v="1"/>
    <x v="13"/>
    <x v="82"/>
    <x v="0"/>
    <x v="0"/>
    <x v="0"/>
    <x v="0"/>
    <x v="8"/>
    <x v="0"/>
  </r>
  <r>
    <n v="153"/>
    <x v="3"/>
    <x v="3"/>
    <x v="3"/>
    <x v="9"/>
    <x v="0"/>
    <x v="0"/>
    <x v="2"/>
    <x v="0"/>
    <x v="1"/>
    <x v="13"/>
    <x v="15"/>
    <x v="0"/>
    <x v="0"/>
    <x v="0"/>
    <x v="0"/>
    <x v="9"/>
    <x v="0"/>
  </r>
  <r>
    <n v="153"/>
    <x v="3"/>
    <x v="3"/>
    <x v="3"/>
    <x v="10"/>
    <x v="0"/>
    <x v="0"/>
    <x v="2"/>
    <x v="0"/>
    <x v="1"/>
    <x v="62"/>
    <x v="50"/>
    <x v="0"/>
    <x v="0"/>
    <x v="0"/>
    <x v="0"/>
    <x v="10"/>
    <x v="0"/>
  </r>
  <r>
    <n v="153"/>
    <x v="3"/>
    <x v="3"/>
    <x v="3"/>
    <x v="11"/>
    <x v="0"/>
    <x v="0"/>
    <x v="2"/>
    <x v="0"/>
    <x v="2"/>
    <x v="39"/>
    <x v="66"/>
    <x v="0"/>
    <x v="0"/>
    <x v="0"/>
    <x v="0"/>
    <x v="11"/>
    <x v="0"/>
  </r>
  <r>
    <n v="153"/>
    <x v="3"/>
    <x v="3"/>
    <x v="3"/>
    <x v="12"/>
    <x v="0"/>
    <x v="0"/>
    <x v="2"/>
    <x v="0"/>
    <x v="2"/>
    <x v="63"/>
    <x v="83"/>
    <x v="0"/>
    <x v="0"/>
    <x v="0"/>
    <x v="0"/>
    <x v="12"/>
    <x v="0"/>
  </r>
  <r>
    <n v="153"/>
    <x v="3"/>
    <x v="3"/>
    <x v="3"/>
    <x v="18"/>
    <x v="0"/>
    <x v="0"/>
    <x v="2"/>
    <x v="0"/>
    <x v="3"/>
    <x v="13"/>
    <x v="30"/>
    <x v="0"/>
    <x v="0"/>
    <x v="0"/>
    <x v="0"/>
    <x v="18"/>
    <x v="0"/>
  </r>
  <r>
    <n v="153"/>
    <x v="3"/>
    <x v="3"/>
    <x v="3"/>
    <x v="20"/>
    <x v="0"/>
    <x v="0"/>
    <x v="2"/>
    <x v="0"/>
    <x v="4"/>
    <x v="64"/>
    <x v="84"/>
    <x v="0"/>
    <x v="0"/>
    <x v="0"/>
    <x v="0"/>
    <x v="20"/>
    <x v="0"/>
  </r>
  <r>
    <n v="153"/>
    <x v="3"/>
    <x v="3"/>
    <x v="3"/>
    <x v="21"/>
    <x v="0"/>
    <x v="0"/>
    <x v="2"/>
    <x v="0"/>
    <x v="4"/>
    <x v="64"/>
    <x v="84"/>
    <x v="0"/>
    <x v="0"/>
    <x v="0"/>
    <x v="0"/>
    <x v="21"/>
    <x v="0"/>
  </r>
  <r>
    <n v="153"/>
    <x v="3"/>
    <x v="3"/>
    <x v="3"/>
    <x v="22"/>
    <x v="0"/>
    <x v="0"/>
    <x v="2"/>
    <x v="0"/>
    <x v="4"/>
    <x v="13"/>
    <x v="34"/>
    <x v="0"/>
    <x v="0"/>
    <x v="0"/>
    <x v="0"/>
    <x v="22"/>
    <x v="0"/>
  </r>
  <r>
    <n v="153"/>
    <x v="3"/>
    <x v="3"/>
    <x v="3"/>
    <x v="42"/>
    <x v="0"/>
    <x v="0"/>
    <x v="2"/>
    <x v="0"/>
    <x v="4"/>
    <x v="13"/>
    <x v="85"/>
    <x v="0"/>
    <x v="0"/>
    <x v="0"/>
    <x v="0"/>
    <x v="42"/>
    <x v="0"/>
  </r>
  <r>
    <n v="153"/>
    <x v="3"/>
    <x v="3"/>
    <x v="3"/>
    <x v="38"/>
    <x v="1"/>
    <x v="2"/>
    <x v="2"/>
    <x v="0"/>
    <x v="8"/>
    <x v="5"/>
    <x v="5"/>
    <x v="2"/>
    <x v="0"/>
    <x v="2"/>
    <x v="1"/>
    <x v="38"/>
    <x v="1"/>
  </r>
  <r>
    <n v="153"/>
    <x v="3"/>
    <x v="3"/>
    <x v="3"/>
    <x v="23"/>
    <x v="0"/>
    <x v="0"/>
    <x v="2"/>
    <x v="0"/>
    <x v="5"/>
    <x v="65"/>
    <x v="86"/>
    <x v="0"/>
    <x v="0"/>
    <x v="0"/>
    <x v="0"/>
    <x v="23"/>
    <x v="0"/>
  </r>
  <r>
    <n v="153"/>
    <x v="3"/>
    <x v="3"/>
    <x v="3"/>
    <x v="26"/>
    <x v="0"/>
    <x v="0"/>
    <x v="2"/>
    <x v="0"/>
    <x v="6"/>
    <x v="13"/>
    <x v="69"/>
    <x v="0"/>
    <x v="0"/>
    <x v="0"/>
    <x v="0"/>
    <x v="26"/>
    <x v="0"/>
  </r>
  <r>
    <n v="153"/>
    <x v="3"/>
    <x v="3"/>
    <x v="3"/>
    <x v="27"/>
    <x v="0"/>
    <x v="0"/>
    <x v="2"/>
    <x v="0"/>
    <x v="6"/>
    <x v="66"/>
    <x v="87"/>
    <x v="0"/>
    <x v="0"/>
    <x v="0"/>
    <x v="0"/>
    <x v="27"/>
    <x v="0"/>
  </r>
  <r>
    <n v="153"/>
    <x v="3"/>
    <x v="3"/>
    <x v="3"/>
    <x v="28"/>
    <x v="0"/>
    <x v="0"/>
    <x v="2"/>
    <x v="0"/>
    <x v="7"/>
    <x v="67"/>
    <x v="60"/>
    <x v="0"/>
    <x v="0"/>
    <x v="0"/>
    <x v="0"/>
    <x v="28"/>
    <x v="0"/>
  </r>
  <r>
    <n v="153"/>
    <x v="3"/>
    <x v="3"/>
    <x v="3"/>
    <x v="29"/>
    <x v="0"/>
    <x v="0"/>
    <x v="2"/>
    <x v="0"/>
    <x v="7"/>
    <x v="65"/>
    <x v="86"/>
    <x v="0"/>
    <x v="0"/>
    <x v="0"/>
    <x v="0"/>
    <x v="29"/>
    <x v="0"/>
  </r>
  <r>
    <n v="153"/>
    <x v="3"/>
    <x v="3"/>
    <x v="3"/>
    <x v="30"/>
    <x v="0"/>
    <x v="0"/>
    <x v="2"/>
    <x v="0"/>
    <x v="7"/>
    <x v="68"/>
    <x v="86"/>
    <x v="0"/>
    <x v="0"/>
    <x v="0"/>
    <x v="0"/>
    <x v="30"/>
    <x v="0"/>
  </r>
  <r>
    <n v="153"/>
    <x v="3"/>
    <x v="3"/>
    <x v="3"/>
    <x v="31"/>
    <x v="0"/>
    <x v="0"/>
    <x v="2"/>
    <x v="0"/>
    <x v="7"/>
    <x v="69"/>
    <x v="54"/>
    <x v="0"/>
    <x v="0"/>
    <x v="0"/>
    <x v="0"/>
    <x v="31"/>
    <x v="0"/>
  </r>
  <r>
    <n v="153"/>
    <x v="3"/>
    <x v="3"/>
    <x v="3"/>
    <x v="32"/>
    <x v="0"/>
    <x v="0"/>
    <x v="2"/>
    <x v="0"/>
    <x v="7"/>
    <x v="70"/>
    <x v="88"/>
    <x v="0"/>
    <x v="0"/>
    <x v="0"/>
    <x v="0"/>
    <x v="32"/>
    <x v="0"/>
  </r>
  <r>
    <n v="153"/>
    <x v="3"/>
    <x v="3"/>
    <x v="3"/>
    <x v="33"/>
    <x v="0"/>
    <x v="0"/>
    <x v="2"/>
    <x v="0"/>
    <x v="7"/>
    <x v="13"/>
    <x v="86"/>
    <x v="0"/>
    <x v="0"/>
    <x v="0"/>
    <x v="0"/>
    <x v="33"/>
    <x v="0"/>
  </r>
  <r>
    <n v="153"/>
    <x v="3"/>
    <x v="3"/>
    <x v="3"/>
    <x v="34"/>
    <x v="0"/>
    <x v="0"/>
    <x v="2"/>
    <x v="0"/>
    <x v="7"/>
    <x v="71"/>
    <x v="89"/>
    <x v="0"/>
    <x v="0"/>
    <x v="0"/>
    <x v="0"/>
    <x v="34"/>
    <x v="0"/>
  </r>
  <r>
    <n v="153"/>
    <x v="3"/>
    <x v="3"/>
    <x v="3"/>
    <x v="35"/>
    <x v="0"/>
    <x v="0"/>
    <x v="2"/>
    <x v="0"/>
    <x v="7"/>
    <x v="72"/>
    <x v="90"/>
    <x v="0"/>
    <x v="0"/>
    <x v="0"/>
    <x v="0"/>
    <x v="35"/>
    <x v="0"/>
  </r>
  <r>
    <n v="153"/>
    <x v="3"/>
    <x v="3"/>
    <x v="3"/>
    <x v="36"/>
    <x v="0"/>
    <x v="0"/>
    <x v="2"/>
    <x v="0"/>
    <x v="7"/>
    <x v="71"/>
    <x v="89"/>
    <x v="0"/>
    <x v="0"/>
    <x v="0"/>
    <x v="0"/>
    <x v="36"/>
    <x v="0"/>
  </r>
  <r>
    <n v="157"/>
    <x v="4"/>
    <x v="4"/>
    <x v="4"/>
    <x v="43"/>
    <x v="0"/>
    <x v="0"/>
    <x v="3"/>
    <x v="0"/>
    <x v="0"/>
    <x v="73"/>
    <x v="91"/>
    <x v="0"/>
    <x v="0"/>
    <x v="0"/>
    <x v="0"/>
    <x v="43"/>
    <x v="0"/>
  </r>
  <r>
    <n v="157"/>
    <x v="4"/>
    <x v="4"/>
    <x v="4"/>
    <x v="40"/>
    <x v="0"/>
    <x v="0"/>
    <x v="3"/>
    <x v="0"/>
    <x v="0"/>
    <x v="73"/>
    <x v="91"/>
    <x v="0"/>
    <x v="0"/>
    <x v="0"/>
    <x v="1"/>
    <x v="40"/>
    <x v="1"/>
  </r>
  <r>
    <n v="157"/>
    <x v="4"/>
    <x v="4"/>
    <x v="4"/>
    <x v="1"/>
    <x v="0"/>
    <x v="0"/>
    <x v="3"/>
    <x v="0"/>
    <x v="0"/>
    <x v="74"/>
    <x v="92"/>
    <x v="0"/>
    <x v="0"/>
    <x v="0"/>
    <x v="0"/>
    <x v="1"/>
    <x v="0"/>
  </r>
  <r>
    <n v="157"/>
    <x v="4"/>
    <x v="4"/>
    <x v="4"/>
    <x v="41"/>
    <x v="0"/>
    <x v="0"/>
    <x v="3"/>
    <x v="0"/>
    <x v="0"/>
    <x v="75"/>
    <x v="93"/>
    <x v="0"/>
    <x v="0"/>
    <x v="0"/>
    <x v="1"/>
    <x v="41"/>
    <x v="1"/>
  </r>
  <r>
    <n v="157"/>
    <x v="4"/>
    <x v="4"/>
    <x v="4"/>
    <x v="3"/>
    <x v="1"/>
    <x v="2"/>
    <x v="3"/>
    <x v="0"/>
    <x v="0"/>
    <x v="5"/>
    <x v="5"/>
    <x v="2"/>
    <x v="0"/>
    <x v="2"/>
    <x v="1"/>
    <x v="3"/>
    <x v="1"/>
  </r>
  <r>
    <n v="157"/>
    <x v="4"/>
    <x v="4"/>
    <x v="4"/>
    <x v="4"/>
    <x v="0"/>
    <x v="0"/>
    <x v="3"/>
    <x v="0"/>
    <x v="0"/>
    <x v="76"/>
    <x v="94"/>
    <x v="0"/>
    <x v="0"/>
    <x v="0"/>
    <x v="0"/>
    <x v="4"/>
    <x v="0"/>
  </r>
  <r>
    <n v="157"/>
    <x v="4"/>
    <x v="4"/>
    <x v="4"/>
    <x v="5"/>
    <x v="0"/>
    <x v="0"/>
    <x v="3"/>
    <x v="0"/>
    <x v="0"/>
    <x v="77"/>
    <x v="95"/>
    <x v="0"/>
    <x v="0"/>
    <x v="0"/>
    <x v="0"/>
    <x v="5"/>
    <x v="0"/>
  </r>
  <r>
    <n v="157"/>
    <x v="4"/>
    <x v="4"/>
    <x v="4"/>
    <x v="6"/>
    <x v="1"/>
    <x v="1"/>
    <x v="3"/>
    <x v="0"/>
    <x v="0"/>
    <x v="10"/>
    <x v="96"/>
    <x v="1"/>
    <x v="0"/>
    <x v="1"/>
    <x v="0"/>
    <x v="6"/>
    <x v="0"/>
  </r>
  <r>
    <n v="157"/>
    <x v="4"/>
    <x v="4"/>
    <x v="4"/>
    <x v="7"/>
    <x v="0"/>
    <x v="0"/>
    <x v="3"/>
    <x v="0"/>
    <x v="1"/>
    <x v="78"/>
    <x v="97"/>
    <x v="0"/>
    <x v="0"/>
    <x v="0"/>
    <x v="0"/>
    <x v="7"/>
    <x v="0"/>
  </r>
  <r>
    <n v="157"/>
    <x v="4"/>
    <x v="4"/>
    <x v="4"/>
    <x v="8"/>
    <x v="0"/>
    <x v="0"/>
    <x v="3"/>
    <x v="0"/>
    <x v="1"/>
    <x v="13"/>
    <x v="98"/>
    <x v="0"/>
    <x v="0"/>
    <x v="0"/>
    <x v="0"/>
    <x v="8"/>
    <x v="0"/>
  </r>
  <r>
    <n v="157"/>
    <x v="4"/>
    <x v="4"/>
    <x v="4"/>
    <x v="9"/>
    <x v="0"/>
    <x v="0"/>
    <x v="3"/>
    <x v="0"/>
    <x v="1"/>
    <x v="13"/>
    <x v="99"/>
    <x v="0"/>
    <x v="0"/>
    <x v="0"/>
    <x v="0"/>
    <x v="9"/>
    <x v="0"/>
  </r>
  <r>
    <n v="157"/>
    <x v="4"/>
    <x v="4"/>
    <x v="4"/>
    <x v="10"/>
    <x v="0"/>
    <x v="0"/>
    <x v="3"/>
    <x v="0"/>
    <x v="1"/>
    <x v="79"/>
    <x v="100"/>
    <x v="0"/>
    <x v="0"/>
    <x v="0"/>
    <x v="0"/>
    <x v="10"/>
    <x v="0"/>
  </r>
  <r>
    <n v="157"/>
    <x v="4"/>
    <x v="4"/>
    <x v="4"/>
    <x v="11"/>
    <x v="0"/>
    <x v="0"/>
    <x v="3"/>
    <x v="0"/>
    <x v="2"/>
    <x v="16"/>
    <x v="18"/>
    <x v="0"/>
    <x v="0"/>
    <x v="0"/>
    <x v="0"/>
    <x v="11"/>
    <x v="0"/>
  </r>
  <r>
    <n v="157"/>
    <x v="4"/>
    <x v="4"/>
    <x v="4"/>
    <x v="12"/>
    <x v="0"/>
    <x v="0"/>
    <x v="3"/>
    <x v="0"/>
    <x v="2"/>
    <x v="63"/>
    <x v="83"/>
    <x v="0"/>
    <x v="0"/>
    <x v="0"/>
    <x v="0"/>
    <x v="12"/>
    <x v="0"/>
  </r>
  <r>
    <n v="157"/>
    <x v="4"/>
    <x v="4"/>
    <x v="4"/>
    <x v="20"/>
    <x v="0"/>
    <x v="0"/>
    <x v="3"/>
    <x v="0"/>
    <x v="4"/>
    <x v="80"/>
    <x v="101"/>
    <x v="0"/>
    <x v="0"/>
    <x v="0"/>
    <x v="0"/>
    <x v="20"/>
    <x v="0"/>
  </r>
  <r>
    <n v="157"/>
    <x v="4"/>
    <x v="4"/>
    <x v="4"/>
    <x v="21"/>
    <x v="0"/>
    <x v="0"/>
    <x v="3"/>
    <x v="0"/>
    <x v="4"/>
    <x v="63"/>
    <x v="83"/>
    <x v="0"/>
    <x v="0"/>
    <x v="0"/>
    <x v="0"/>
    <x v="21"/>
    <x v="0"/>
  </r>
  <r>
    <n v="157"/>
    <x v="4"/>
    <x v="4"/>
    <x v="4"/>
    <x v="22"/>
    <x v="0"/>
    <x v="0"/>
    <x v="3"/>
    <x v="0"/>
    <x v="4"/>
    <x v="13"/>
    <x v="34"/>
    <x v="0"/>
    <x v="0"/>
    <x v="0"/>
    <x v="0"/>
    <x v="22"/>
    <x v="0"/>
  </r>
  <r>
    <n v="157"/>
    <x v="4"/>
    <x v="4"/>
    <x v="4"/>
    <x v="38"/>
    <x v="1"/>
    <x v="2"/>
    <x v="3"/>
    <x v="0"/>
    <x v="8"/>
    <x v="5"/>
    <x v="5"/>
    <x v="2"/>
    <x v="0"/>
    <x v="2"/>
    <x v="1"/>
    <x v="38"/>
    <x v="1"/>
  </r>
  <r>
    <n v="157"/>
    <x v="4"/>
    <x v="4"/>
    <x v="4"/>
    <x v="23"/>
    <x v="0"/>
    <x v="0"/>
    <x v="3"/>
    <x v="0"/>
    <x v="5"/>
    <x v="81"/>
    <x v="73"/>
    <x v="0"/>
    <x v="0"/>
    <x v="0"/>
    <x v="0"/>
    <x v="23"/>
    <x v="0"/>
  </r>
  <r>
    <n v="157"/>
    <x v="4"/>
    <x v="4"/>
    <x v="4"/>
    <x v="26"/>
    <x v="0"/>
    <x v="0"/>
    <x v="3"/>
    <x v="0"/>
    <x v="6"/>
    <x v="13"/>
    <x v="69"/>
    <x v="0"/>
    <x v="0"/>
    <x v="0"/>
    <x v="0"/>
    <x v="26"/>
    <x v="0"/>
  </r>
  <r>
    <n v="157"/>
    <x v="4"/>
    <x v="4"/>
    <x v="4"/>
    <x v="27"/>
    <x v="0"/>
    <x v="0"/>
    <x v="3"/>
    <x v="0"/>
    <x v="6"/>
    <x v="24"/>
    <x v="38"/>
    <x v="0"/>
    <x v="0"/>
    <x v="0"/>
    <x v="0"/>
    <x v="27"/>
    <x v="0"/>
  </r>
  <r>
    <n v="157"/>
    <x v="4"/>
    <x v="4"/>
    <x v="4"/>
    <x v="28"/>
    <x v="0"/>
    <x v="0"/>
    <x v="3"/>
    <x v="0"/>
    <x v="7"/>
    <x v="82"/>
    <x v="102"/>
    <x v="0"/>
    <x v="0"/>
    <x v="0"/>
    <x v="0"/>
    <x v="28"/>
    <x v="0"/>
  </r>
  <r>
    <n v="157"/>
    <x v="4"/>
    <x v="4"/>
    <x v="4"/>
    <x v="29"/>
    <x v="0"/>
    <x v="0"/>
    <x v="3"/>
    <x v="0"/>
    <x v="7"/>
    <x v="47"/>
    <x v="56"/>
    <x v="0"/>
    <x v="0"/>
    <x v="0"/>
    <x v="0"/>
    <x v="29"/>
    <x v="0"/>
  </r>
  <r>
    <n v="157"/>
    <x v="4"/>
    <x v="4"/>
    <x v="4"/>
    <x v="30"/>
    <x v="0"/>
    <x v="0"/>
    <x v="3"/>
    <x v="0"/>
    <x v="7"/>
    <x v="83"/>
    <x v="73"/>
    <x v="0"/>
    <x v="0"/>
    <x v="0"/>
    <x v="0"/>
    <x v="30"/>
    <x v="0"/>
  </r>
  <r>
    <n v="157"/>
    <x v="4"/>
    <x v="4"/>
    <x v="4"/>
    <x v="31"/>
    <x v="0"/>
    <x v="0"/>
    <x v="3"/>
    <x v="0"/>
    <x v="7"/>
    <x v="84"/>
    <x v="103"/>
    <x v="0"/>
    <x v="0"/>
    <x v="0"/>
    <x v="0"/>
    <x v="31"/>
    <x v="0"/>
  </r>
  <r>
    <n v="157"/>
    <x v="4"/>
    <x v="4"/>
    <x v="4"/>
    <x v="32"/>
    <x v="0"/>
    <x v="0"/>
    <x v="3"/>
    <x v="0"/>
    <x v="7"/>
    <x v="82"/>
    <x v="102"/>
    <x v="0"/>
    <x v="0"/>
    <x v="0"/>
    <x v="0"/>
    <x v="32"/>
    <x v="0"/>
  </r>
  <r>
    <n v="157"/>
    <x v="4"/>
    <x v="4"/>
    <x v="4"/>
    <x v="33"/>
    <x v="0"/>
    <x v="0"/>
    <x v="3"/>
    <x v="0"/>
    <x v="7"/>
    <x v="13"/>
    <x v="73"/>
    <x v="0"/>
    <x v="0"/>
    <x v="0"/>
    <x v="0"/>
    <x v="33"/>
    <x v="0"/>
  </r>
  <r>
    <n v="157"/>
    <x v="4"/>
    <x v="4"/>
    <x v="4"/>
    <x v="34"/>
    <x v="0"/>
    <x v="0"/>
    <x v="3"/>
    <x v="0"/>
    <x v="7"/>
    <x v="85"/>
    <x v="104"/>
    <x v="0"/>
    <x v="0"/>
    <x v="0"/>
    <x v="0"/>
    <x v="34"/>
    <x v="0"/>
  </r>
  <r>
    <n v="157"/>
    <x v="4"/>
    <x v="4"/>
    <x v="4"/>
    <x v="35"/>
    <x v="0"/>
    <x v="0"/>
    <x v="3"/>
    <x v="0"/>
    <x v="7"/>
    <x v="82"/>
    <x v="102"/>
    <x v="0"/>
    <x v="0"/>
    <x v="0"/>
    <x v="0"/>
    <x v="35"/>
    <x v="0"/>
  </r>
  <r>
    <n v="157"/>
    <x v="4"/>
    <x v="4"/>
    <x v="4"/>
    <x v="36"/>
    <x v="0"/>
    <x v="0"/>
    <x v="3"/>
    <x v="0"/>
    <x v="7"/>
    <x v="39"/>
    <x v="66"/>
    <x v="0"/>
    <x v="0"/>
    <x v="0"/>
    <x v="0"/>
    <x v="36"/>
    <x v="0"/>
  </r>
  <r>
    <n v="156"/>
    <x v="5"/>
    <x v="5"/>
    <x v="5"/>
    <x v="43"/>
    <x v="0"/>
    <x v="0"/>
    <x v="3"/>
    <x v="0"/>
    <x v="0"/>
    <x v="86"/>
    <x v="105"/>
    <x v="0"/>
    <x v="0"/>
    <x v="0"/>
    <x v="0"/>
    <x v="43"/>
    <x v="0"/>
  </r>
  <r>
    <n v="156"/>
    <x v="5"/>
    <x v="5"/>
    <x v="5"/>
    <x v="40"/>
    <x v="0"/>
    <x v="1"/>
    <x v="3"/>
    <x v="0"/>
    <x v="0"/>
    <x v="1"/>
    <x v="106"/>
    <x v="1"/>
    <x v="0"/>
    <x v="1"/>
    <x v="0"/>
    <x v="40"/>
    <x v="0"/>
  </r>
  <r>
    <n v="156"/>
    <x v="5"/>
    <x v="5"/>
    <x v="5"/>
    <x v="1"/>
    <x v="0"/>
    <x v="0"/>
    <x v="3"/>
    <x v="0"/>
    <x v="0"/>
    <x v="87"/>
    <x v="107"/>
    <x v="0"/>
    <x v="0"/>
    <x v="0"/>
    <x v="0"/>
    <x v="1"/>
    <x v="0"/>
  </r>
  <r>
    <n v="156"/>
    <x v="5"/>
    <x v="5"/>
    <x v="5"/>
    <x v="41"/>
    <x v="0"/>
    <x v="0"/>
    <x v="3"/>
    <x v="0"/>
    <x v="0"/>
    <x v="88"/>
    <x v="108"/>
    <x v="0"/>
    <x v="0"/>
    <x v="0"/>
    <x v="1"/>
    <x v="41"/>
    <x v="1"/>
  </r>
  <r>
    <n v="156"/>
    <x v="5"/>
    <x v="5"/>
    <x v="5"/>
    <x v="3"/>
    <x v="1"/>
    <x v="2"/>
    <x v="3"/>
    <x v="0"/>
    <x v="0"/>
    <x v="5"/>
    <x v="5"/>
    <x v="2"/>
    <x v="0"/>
    <x v="2"/>
    <x v="1"/>
    <x v="3"/>
    <x v="1"/>
  </r>
  <r>
    <n v="156"/>
    <x v="5"/>
    <x v="5"/>
    <x v="5"/>
    <x v="4"/>
    <x v="0"/>
    <x v="0"/>
    <x v="3"/>
    <x v="0"/>
    <x v="0"/>
    <x v="89"/>
    <x v="109"/>
    <x v="0"/>
    <x v="0"/>
    <x v="0"/>
    <x v="0"/>
    <x v="4"/>
    <x v="0"/>
  </r>
  <r>
    <n v="156"/>
    <x v="5"/>
    <x v="5"/>
    <x v="5"/>
    <x v="5"/>
    <x v="0"/>
    <x v="0"/>
    <x v="3"/>
    <x v="0"/>
    <x v="0"/>
    <x v="90"/>
    <x v="110"/>
    <x v="0"/>
    <x v="0"/>
    <x v="0"/>
    <x v="0"/>
    <x v="5"/>
    <x v="0"/>
  </r>
  <r>
    <n v="156"/>
    <x v="5"/>
    <x v="5"/>
    <x v="5"/>
    <x v="6"/>
    <x v="1"/>
    <x v="2"/>
    <x v="3"/>
    <x v="0"/>
    <x v="0"/>
    <x v="5"/>
    <x v="5"/>
    <x v="2"/>
    <x v="0"/>
    <x v="2"/>
    <x v="1"/>
    <x v="6"/>
    <x v="1"/>
  </r>
  <r>
    <n v="156"/>
    <x v="5"/>
    <x v="5"/>
    <x v="5"/>
    <x v="7"/>
    <x v="0"/>
    <x v="0"/>
    <x v="3"/>
    <x v="0"/>
    <x v="1"/>
    <x v="91"/>
    <x v="111"/>
    <x v="0"/>
    <x v="0"/>
    <x v="0"/>
    <x v="0"/>
    <x v="7"/>
    <x v="0"/>
  </r>
  <r>
    <n v="156"/>
    <x v="5"/>
    <x v="5"/>
    <x v="5"/>
    <x v="8"/>
    <x v="0"/>
    <x v="0"/>
    <x v="3"/>
    <x v="0"/>
    <x v="1"/>
    <x v="13"/>
    <x v="112"/>
    <x v="0"/>
    <x v="0"/>
    <x v="0"/>
    <x v="0"/>
    <x v="8"/>
    <x v="0"/>
  </r>
  <r>
    <n v="156"/>
    <x v="5"/>
    <x v="5"/>
    <x v="5"/>
    <x v="9"/>
    <x v="0"/>
    <x v="0"/>
    <x v="3"/>
    <x v="0"/>
    <x v="1"/>
    <x v="13"/>
    <x v="113"/>
    <x v="0"/>
    <x v="0"/>
    <x v="0"/>
    <x v="0"/>
    <x v="9"/>
    <x v="0"/>
  </r>
  <r>
    <n v="156"/>
    <x v="5"/>
    <x v="5"/>
    <x v="5"/>
    <x v="10"/>
    <x v="0"/>
    <x v="0"/>
    <x v="3"/>
    <x v="0"/>
    <x v="1"/>
    <x v="92"/>
    <x v="114"/>
    <x v="0"/>
    <x v="0"/>
    <x v="0"/>
    <x v="0"/>
    <x v="10"/>
    <x v="0"/>
  </r>
  <r>
    <n v="156"/>
    <x v="5"/>
    <x v="5"/>
    <x v="5"/>
    <x v="11"/>
    <x v="0"/>
    <x v="0"/>
    <x v="3"/>
    <x v="0"/>
    <x v="2"/>
    <x v="79"/>
    <x v="100"/>
    <x v="0"/>
    <x v="0"/>
    <x v="0"/>
    <x v="0"/>
    <x v="11"/>
    <x v="0"/>
  </r>
  <r>
    <n v="156"/>
    <x v="5"/>
    <x v="5"/>
    <x v="5"/>
    <x v="12"/>
    <x v="0"/>
    <x v="0"/>
    <x v="3"/>
    <x v="0"/>
    <x v="2"/>
    <x v="63"/>
    <x v="83"/>
    <x v="0"/>
    <x v="0"/>
    <x v="0"/>
    <x v="0"/>
    <x v="12"/>
    <x v="0"/>
  </r>
  <r>
    <n v="156"/>
    <x v="5"/>
    <x v="5"/>
    <x v="5"/>
    <x v="20"/>
    <x v="0"/>
    <x v="0"/>
    <x v="3"/>
    <x v="0"/>
    <x v="4"/>
    <x v="63"/>
    <x v="83"/>
    <x v="0"/>
    <x v="0"/>
    <x v="0"/>
    <x v="0"/>
    <x v="20"/>
    <x v="0"/>
  </r>
  <r>
    <n v="156"/>
    <x v="5"/>
    <x v="5"/>
    <x v="5"/>
    <x v="21"/>
    <x v="0"/>
    <x v="0"/>
    <x v="3"/>
    <x v="0"/>
    <x v="4"/>
    <x v="93"/>
    <x v="47"/>
    <x v="0"/>
    <x v="0"/>
    <x v="0"/>
    <x v="0"/>
    <x v="21"/>
    <x v="0"/>
  </r>
  <r>
    <n v="156"/>
    <x v="5"/>
    <x v="5"/>
    <x v="5"/>
    <x v="22"/>
    <x v="0"/>
    <x v="0"/>
    <x v="3"/>
    <x v="0"/>
    <x v="4"/>
    <x v="13"/>
    <x v="34"/>
    <x v="0"/>
    <x v="0"/>
    <x v="0"/>
    <x v="0"/>
    <x v="22"/>
    <x v="0"/>
  </r>
  <r>
    <n v="156"/>
    <x v="5"/>
    <x v="5"/>
    <x v="5"/>
    <x v="38"/>
    <x v="1"/>
    <x v="2"/>
    <x v="3"/>
    <x v="0"/>
    <x v="8"/>
    <x v="5"/>
    <x v="5"/>
    <x v="2"/>
    <x v="0"/>
    <x v="2"/>
    <x v="1"/>
    <x v="38"/>
    <x v="1"/>
  </r>
  <r>
    <n v="156"/>
    <x v="5"/>
    <x v="5"/>
    <x v="5"/>
    <x v="23"/>
    <x v="0"/>
    <x v="0"/>
    <x v="3"/>
    <x v="0"/>
    <x v="5"/>
    <x v="81"/>
    <x v="73"/>
    <x v="0"/>
    <x v="0"/>
    <x v="0"/>
    <x v="0"/>
    <x v="23"/>
    <x v="0"/>
  </r>
  <r>
    <n v="156"/>
    <x v="5"/>
    <x v="5"/>
    <x v="5"/>
    <x v="26"/>
    <x v="0"/>
    <x v="0"/>
    <x v="3"/>
    <x v="0"/>
    <x v="6"/>
    <x v="13"/>
    <x v="115"/>
    <x v="0"/>
    <x v="0"/>
    <x v="0"/>
    <x v="0"/>
    <x v="26"/>
    <x v="0"/>
  </r>
  <r>
    <n v="156"/>
    <x v="5"/>
    <x v="5"/>
    <x v="5"/>
    <x v="27"/>
    <x v="0"/>
    <x v="0"/>
    <x v="3"/>
    <x v="0"/>
    <x v="6"/>
    <x v="66"/>
    <x v="87"/>
    <x v="0"/>
    <x v="0"/>
    <x v="0"/>
    <x v="0"/>
    <x v="27"/>
    <x v="0"/>
  </r>
  <r>
    <n v="156"/>
    <x v="5"/>
    <x v="5"/>
    <x v="5"/>
    <x v="28"/>
    <x v="0"/>
    <x v="0"/>
    <x v="3"/>
    <x v="0"/>
    <x v="7"/>
    <x v="94"/>
    <x v="80"/>
    <x v="0"/>
    <x v="0"/>
    <x v="0"/>
    <x v="0"/>
    <x v="28"/>
    <x v="0"/>
  </r>
  <r>
    <n v="156"/>
    <x v="5"/>
    <x v="5"/>
    <x v="5"/>
    <x v="29"/>
    <x v="0"/>
    <x v="0"/>
    <x v="3"/>
    <x v="0"/>
    <x v="7"/>
    <x v="95"/>
    <x v="116"/>
    <x v="0"/>
    <x v="0"/>
    <x v="0"/>
    <x v="0"/>
    <x v="29"/>
    <x v="0"/>
  </r>
  <r>
    <n v="156"/>
    <x v="5"/>
    <x v="5"/>
    <x v="5"/>
    <x v="30"/>
    <x v="0"/>
    <x v="0"/>
    <x v="3"/>
    <x v="0"/>
    <x v="7"/>
    <x v="44"/>
    <x v="116"/>
    <x v="0"/>
    <x v="0"/>
    <x v="0"/>
    <x v="0"/>
    <x v="30"/>
    <x v="0"/>
  </r>
  <r>
    <n v="156"/>
    <x v="5"/>
    <x v="5"/>
    <x v="5"/>
    <x v="31"/>
    <x v="0"/>
    <x v="0"/>
    <x v="3"/>
    <x v="0"/>
    <x v="7"/>
    <x v="96"/>
    <x v="117"/>
    <x v="0"/>
    <x v="0"/>
    <x v="0"/>
    <x v="0"/>
    <x v="31"/>
    <x v="0"/>
  </r>
  <r>
    <n v="156"/>
    <x v="5"/>
    <x v="5"/>
    <x v="5"/>
    <x v="32"/>
    <x v="0"/>
    <x v="0"/>
    <x v="3"/>
    <x v="0"/>
    <x v="7"/>
    <x v="94"/>
    <x v="80"/>
    <x v="0"/>
    <x v="0"/>
    <x v="0"/>
    <x v="0"/>
    <x v="32"/>
    <x v="0"/>
  </r>
  <r>
    <n v="156"/>
    <x v="5"/>
    <x v="5"/>
    <x v="5"/>
    <x v="33"/>
    <x v="0"/>
    <x v="0"/>
    <x v="3"/>
    <x v="0"/>
    <x v="7"/>
    <x v="13"/>
    <x v="116"/>
    <x v="0"/>
    <x v="0"/>
    <x v="0"/>
    <x v="0"/>
    <x v="33"/>
    <x v="0"/>
  </r>
  <r>
    <n v="156"/>
    <x v="5"/>
    <x v="5"/>
    <x v="5"/>
    <x v="34"/>
    <x v="0"/>
    <x v="0"/>
    <x v="3"/>
    <x v="0"/>
    <x v="7"/>
    <x v="63"/>
    <x v="83"/>
    <x v="0"/>
    <x v="0"/>
    <x v="0"/>
    <x v="0"/>
    <x v="34"/>
    <x v="0"/>
  </r>
  <r>
    <n v="156"/>
    <x v="5"/>
    <x v="5"/>
    <x v="5"/>
    <x v="35"/>
    <x v="0"/>
    <x v="0"/>
    <x v="3"/>
    <x v="0"/>
    <x v="7"/>
    <x v="97"/>
    <x v="118"/>
    <x v="0"/>
    <x v="0"/>
    <x v="0"/>
    <x v="0"/>
    <x v="35"/>
    <x v="0"/>
  </r>
  <r>
    <n v="156"/>
    <x v="5"/>
    <x v="5"/>
    <x v="5"/>
    <x v="36"/>
    <x v="0"/>
    <x v="0"/>
    <x v="3"/>
    <x v="0"/>
    <x v="7"/>
    <x v="16"/>
    <x v="18"/>
    <x v="0"/>
    <x v="0"/>
    <x v="0"/>
    <x v="0"/>
    <x v="36"/>
    <x v="0"/>
  </r>
  <r>
    <n v="160"/>
    <x v="6"/>
    <x v="6"/>
    <x v="6"/>
    <x v="44"/>
    <x v="0"/>
    <x v="0"/>
    <x v="4"/>
    <x v="0"/>
    <x v="0"/>
    <x v="98"/>
    <x v="119"/>
    <x v="0"/>
    <x v="0"/>
    <x v="0"/>
    <x v="0"/>
    <x v="44"/>
    <x v="0"/>
  </r>
  <r>
    <n v="160"/>
    <x v="6"/>
    <x v="6"/>
    <x v="6"/>
    <x v="3"/>
    <x v="1"/>
    <x v="2"/>
    <x v="4"/>
    <x v="0"/>
    <x v="0"/>
    <x v="5"/>
    <x v="5"/>
    <x v="2"/>
    <x v="0"/>
    <x v="2"/>
    <x v="1"/>
    <x v="3"/>
    <x v="1"/>
  </r>
  <r>
    <n v="160"/>
    <x v="6"/>
    <x v="6"/>
    <x v="6"/>
    <x v="4"/>
    <x v="0"/>
    <x v="0"/>
    <x v="4"/>
    <x v="0"/>
    <x v="0"/>
    <x v="99"/>
    <x v="120"/>
    <x v="0"/>
    <x v="0"/>
    <x v="0"/>
    <x v="0"/>
    <x v="4"/>
    <x v="0"/>
  </r>
  <r>
    <n v="160"/>
    <x v="6"/>
    <x v="6"/>
    <x v="6"/>
    <x v="5"/>
    <x v="0"/>
    <x v="0"/>
    <x v="4"/>
    <x v="0"/>
    <x v="0"/>
    <x v="100"/>
    <x v="121"/>
    <x v="0"/>
    <x v="0"/>
    <x v="0"/>
    <x v="0"/>
    <x v="5"/>
    <x v="0"/>
  </r>
  <r>
    <n v="160"/>
    <x v="6"/>
    <x v="6"/>
    <x v="6"/>
    <x v="6"/>
    <x v="1"/>
    <x v="2"/>
    <x v="4"/>
    <x v="0"/>
    <x v="0"/>
    <x v="5"/>
    <x v="5"/>
    <x v="2"/>
    <x v="0"/>
    <x v="2"/>
    <x v="1"/>
    <x v="6"/>
    <x v="1"/>
  </r>
  <r>
    <n v="160"/>
    <x v="6"/>
    <x v="6"/>
    <x v="6"/>
    <x v="7"/>
    <x v="0"/>
    <x v="0"/>
    <x v="4"/>
    <x v="0"/>
    <x v="1"/>
    <x v="101"/>
    <x v="122"/>
    <x v="0"/>
    <x v="0"/>
    <x v="0"/>
    <x v="0"/>
    <x v="7"/>
    <x v="0"/>
  </r>
  <r>
    <n v="160"/>
    <x v="6"/>
    <x v="6"/>
    <x v="6"/>
    <x v="9"/>
    <x v="0"/>
    <x v="0"/>
    <x v="4"/>
    <x v="0"/>
    <x v="1"/>
    <x v="13"/>
    <x v="15"/>
    <x v="0"/>
    <x v="0"/>
    <x v="0"/>
    <x v="0"/>
    <x v="9"/>
    <x v="0"/>
  </r>
  <r>
    <n v="160"/>
    <x v="6"/>
    <x v="6"/>
    <x v="6"/>
    <x v="12"/>
    <x v="0"/>
    <x v="0"/>
    <x v="4"/>
    <x v="0"/>
    <x v="2"/>
    <x v="18"/>
    <x v="20"/>
    <x v="0"/>
    <x v="0"/>
    <x v="0"/>
    <x v="0"/>
    <x v="12"/>
    <x v="0"/>
  </r>
  <r>
    <n v="160"/>
    <x v="6"/>
    <x v="6"/>
    <x v="6"/>
    <x v="20"/>
    <x v="0"/>
    <x v="0"/>
    <x v="4"/>
    <x v="0"/>
    <x v="4"/>
    <x v="63"/>
    <x v="83"/>
    <x v="0"/>
    <x v="0"/>
    <x v="0"/>
    <x v="0"/>
    <x v="20"/>
    <x v="0"/>
  </r>
  <r>
    <n v="160"/>
    <x v="6"/>
    <x v="6"/>
    <x v="6"/>
    <x v="21"/>
    <x v="0"/>
    <x v="0"/>
    <x v="4"/>
    <x v="0"/>
    <x v="4"/>
    <x v="22"/>
    <x v="33"/>
    <x v="0"/>
    <x v="0"/>
    <x v="0"/>
    <x v="0"/>
    <x v="21"/>
    <x v="0"/>
  </r>
  <r>
    <n v="160"/>
    <x v="6"/>
    <x v="6"/>
    <x v="6"/>
    <x v="23"/>
    <x v="0"/>
    <x v="0"/>
    <x v="4"/>
    <x v="0"/>
    <x v="5"/>
    <x v="47"/>
    <x v="56"/>
    <x v="0"/>
    <x v="0"/>
    <x v="0"/>
    <x v="0"/>
    <x v="23"/>
    <x v="0"/>
  </r>
  <r>
    <n v="160"/>
    <x v="6"/>
    <x v="6"/>
    <x v="6"/>
    <x v="24"/>
    <x v="0"/>
    <x v="0"/>
    <x v="4"/>
    <x v="0"/>
    <x v="5"/>
    <x v="102"/>
    <x v="123"/>
    <x v="0"/>
    <x v="0"/>
    <x v="0"/>
    <x v="0"/>
    <x v="24"/>
    <x v="0"/>
  </r>
  <r>
    <n v="160"/>
    <x v="6"/>
    <x v="6"/>
    <x v="6"/>
    <x v="25"/>
    <x v="0"/>
    <x v="0"/>
    <x v="4"/>
    <x v="0"/>
    <x v="5"/>
    <x v="102"/>
    <x v="123"/>
    <x v="0"/>
    <x v="0"/>
    <x v="0"/>
    <x v="0"/>
    <x v="25"/>
    <x v="0"/>
  </r>
  <r>
    <n v="160"/>
    <x v="6"/>
    <x v="6"/>
    <x v="6"/>
    <x v="26"/>
    <x v="0"/>
    <x v="0"/>
    <x v="4"/>
    <x v="0"/>
    <x v="6"/>
    <x v="13"/>
    <x v="51"/>
    <x v="0"/>
    <x v="0"/>
    <x v="0"/>
    <x v="0"/>
    <x v="26"/>
    <x v="0"/>
  </r>
  <r>
    <n v="160"/>
    <x v="6"/>
    <x v="6"/>
    <x v="6"/>
    <x v="27"/>
    <x v="0"/>
    <x v="0"/>
    <x v="4"/>
    <x v="0"/>
    <x v="6"/>
    <x v="103"/>
    <x v="124"/>
    <x v="0"/>
    <x v="0"/>
    <x v="0"/>
    <x v="0"/>
    <x v="27"/>
    <x v="0"/>
  </r>
  <r>
    <n v="160"/>
    <x v="6"/>
    <x v="6"/>
    <x v="6"/>
    <x v="28"/>
    <x v="0"/>
    <x v="0"/>
    <x v="4"/>
    <x v="0"/>
    <x v="7"/>
    <x v="18"/>
    <x v="20"/>
    <x v="0"/>
    <x v="0"/>
    <x v="0"/>
    <x v="0"/>
    <x v="28"/>
    <x v="0"/>
  </r>
  <r>
    <n v="160"/>
    <x v="6"/>
    <x v="6"/>
    <x v="6"/>
    <x v="29"/>
    <x v="0"/>
    <x v="0"/>
    <x v="4"/>
    <x v="0"/>
    <x v="7"/>
    <x v="47"/>
    <x v="56"/>
    <x v="0"/>
    <x v="0"/>
    <x v="0"/>
    <x v="0"/>
    <x v="29"/>
    <x v="0"/>
  </r>
  <r>
    <n v="160"/>
    <x v="6"/>
    <x v="6"/>
    <x v="6"/>
    <x v="30"/>
    <x v="0"/>
    <x v="0"/>
    <x v="4"/>
    <x v="0"/>
    <x v="7"/>
    <x v="83"/>
    <x v="73"/>
    <x v="0"/>
    <x v="0"/>
    <x v="0"/>
    <x v="0"/>
    <x v="30"/>
    <x v="0"/>
  </r>
  <r>
    <n v="160"/>
    <x v="6"/>
    <x v="6"/>
    <x v="6"/>
    <x v="31"/>
    <x v="0"/>
    <x v="0"/>
    <x v="4"/>
    <x v="0"/>
    <x v="7"/>
    <x v="104"/>
    <x v="125"/>
    <x v="0"/>
    <x v="0"/>
    <x v="0"/>
    <x v="0"/>
    <x v="31"/>
    <x v="0"/>
  </r>
  <r>
    <n v="160"/>
    <x v="6"/>
    <x v="6"/>
    <x v="6"/>
    <x v="32"/>
    <x v="0"/>
    <x v="0"/>
    <x v="4"/>
    <x v="0"/>
    <x v="7"/>
    <x v="18"/>
    <x v="20"/>
    <x v="0"/>
    <x v="0"/>
    <x v="0"/>
    <x v="0"/>
    <x v="32"/>
    <x v="0"/>
  </r>
  <r>
    <n v="160"/>
    <x v="6"/>
    <x v="6"/>
    <x v="6"/>
    <x v="33"/>
    <x v="0"/>
    <x v="0"/>
    <x v="4"/>
    <x v="0"/>
    <x v="7"/>
    <x v="13"/>
    <x v="73"/>
    <x v="0"/>
    <x v="0"/>
    <x v="0"/>
    <x v="0"/>
    <x v="33"/>
    <x v="0"/>
  </r>
  <r>
    <n v="160"/>
    <x v="6"/>
    <x v="6"/>
    <x v="6"/>
    <x v="34"/>
    <x v="0"/>
    <x v="0"/>
    <x v="4"/>
    <x v="0"/>
    <x v="7"/>
    <x v="18"/>
    <x v="20"/>
    <x v="0"/>
    <x v="0"/>
    <x v="0"/>
    <x v="0"/>
    <x v="34"/>
    <x v="0"/>
  </r>
  <r>
    <n v="160"/>
    <x v="6"/>
    <x v="6"/>
    <x v="6"/>
    <x v="35"/>
    <x v="0"/>
    <x v="0"/>
    <x v="4"/>
    <x v="0"/>
    <x v="7"/>
    <x v="105"/>
    <x v="126"/>
    <x v="0"/>
    <x v="0"/>
    <x v="0"/>
    <x v="0"/>
    <x v="35"/>
    <x v="0"/>
  </r>
  <r>
    <n v="160"/>
    <x v="6"/>
    <x v="6"/>
    <x v="6"/>
    <x v="36"/>
    <x v="0"/>
    <x v="0"/>
    <x v="4"/>
    <x v="0"/>
    <x v="7"/>
    <x v="14"/>
    <x v="16"/>
    <x v="0"/>
    <x v="0"/>
    <x v="0"/>
    <x v="0"/>
    <x v="36"/>
    <x v="0"/>
  </r>
  <r>
    <n v="162"/>
    <x v="7"/>
    <x v="7"/>
    <x v="7"/>
    <x v="45"/>
    <x v="0"/>
    <x v="0"/>
    <x v="5"/>
    <x v="0"/>
    <x v="0"/>
    <x v="81"/>
    <x v="127"/>
    <x v="0"/>
    <x v="0"/>
    <x v="0"/>
    <x v="0"/>
    <x v="45"/>
    <x v="0"/>
  </r>
  <r>
    <n v="162"/>
    <x v="7"/>
    <x v="7"/>
    <x v="7"/>
    <x v="3"/>
    <x v="1"/>
    <x v="2"/>
    <x v="5"/>
    <x v="0"/>
    <x v="0"/>
    <x v="5"/>
    <x v="5"/>
    <x v="2"/>
    <x v="0"/>
    <x v="2"/>
    <x v="1"/>
    <x v="3"/>
    <x v="1"/>
  </r>
  <r>
    <n v="162"/>
    <x v="7"/>
    <x v="7"/>
    <x v="7"/>
    <x v="4"/>
    <x v="0"/>
    <x v="0"/>
    <x v="5"/>
    <x v="0"/>
    <x v="0"/>
    <x v="106"/>
    <x v="128"/>
    <x v="0"/>
    <x v="0"/>
    <x v="0"/>
    <x v="0"/>
    <x v="4"/>
    <x v="0"/>
  </r>
  <r>
    <n v="162"/>
    <x v="7"/>
    <x v="7"/>
    <x v="7"/>
    <x v="5"/>
    <x v="0"/>
    <x v="0"/>
    <x v="5"/>
    <x v="0"/>
    <x v="0"/>
    <x v="107"/>
    <x v="129"/>
    <x v="0"/>
    <x v="0"/>
    <x v="0"/>
    <x v="0"/>
    <x v="5"/>
    <x v="0"/>
  </r>
  <r>
    <n v="162"/>
    <x v="7"/>
    <x v="7"/>
    <x v="7"/>
    <x v="6"/>
    <x v="1"/>
    <x v="2"/>
    <x v="5"/>
    <x v="0"/>
    <x v="0"/>
    <x v="5"/>
    <x v="5"/>
    <x v="2"/>
    <x v="0"/>
    <x v="2"/>
    <x v="1"/>
    <x v="6"/>
    <x v="1"/>
  </r>
  <r>
    <n v="162"/>
    <x v="7"/>
    <x v="7"/>
    <x v="7"/>
    <x v="7"/>
    <x v="0"/>
    <x v="0"/>
    <x v="5"/>
    <x v="0"/>
    <x v="1"/>
    <x v="63"/>
    <x v="130"/>
    <x v="0"/>
    <x v="0"/>
    <x v="0"/>
    <x v="0"/>
    <x v="7"/>
    <x v="0"/>
  </r>
  <r>
    <n v="162"/>
    <x v="7"/>
    <x v="7"/>
    <x v="7"/>
    <x v="9"/>
    <x v="0"/>
    <x v="0"/>
    <x v="5"/>
    <x v="0"/>
    <x v="1"/>
    <x v="13"/>
    <x v="131"/>
    <x v="0"/>
    <x v="0"/>
    <x v="0"/>
    <x v="0"/>
    <x v="9"/>
    <x v="0"/>
  </r>
  <r>
    <n v="162"/>
    <x v="7"/>
    <x v="7"/>
    <x v="7"/>
    <x v="12"/>
    <x v="0"/>
    <x v="0"/>
    <x v="5"/>
    <x v="0"/>
    <x v="2"/>
    <x v="108"/>
    <x v="132"/>
    <x v="0"/>
    <x v="0"/>
    <x v="0"/>
    <x v="0"/>
    <x v="12"/>
    <x v="0"/>
  </r>
  <r>
    <n v="162"/>
    <x v="7"/>
    <x v="7"/>
    <x v="7"/>
    <x v="20"/>
    <x v="0"/>
    <x v="0"/>
    <x v="5"/>
    <x v="0"/>
    <x v="4"/>
    <x v="21"/>
    <x v="32"/>
    <x v="0"/>
    <x v="0"/>
    <x v="0"/>
    <x v="0"/>
    <x v="20"/>
    <x v="0"/>
  </r>
  <r>
    <n v="162"/>
    <x v="7"/>
    <x v="7"/>
    <x v="7"/>
    <x v="21"/>
    <x v="0"/>
    <x v="0"/>
    <x v="5"/>
    <x v="0"/>
    <x v="4"/>
    <x v="21"/>
    <x v="32"/>
    <x v="0"/>
    <x v="0"/>
    <x v="0"/>
    <x v="0"/>
    <x v="21"/>
    <x v="0"/>
  </r>
  <r>
    <n v="162"/>
    <x v="7"/>
    <x v="7"/>
    <x v="7"/>
    <x v="23"/>
    <x v="0"/>
    <x v="0"/>
    <x v="5"/>
    <x v="0"/>
    <x v="5"/>
    <x v="109"/>
    <x v="133"/>
    <x v="0"/>
    <x v="0"/>
    <x v="0"/>
    <x v="0"/>
    <x v="23"/>
    <x v="0"/>
  </r>
  <r>
    <n v="162"/>
    <x v="7"/>
    <x v="7"/>
    <x v="7"/>
    <x v="24"/>
    <x v="0"/>
    <x v="0"/>
    <x v="5"/>
    <x v="0"/>
    <x v="5"/>
    <x v="110"/>
    <x v="134"/>
    <x v="0"/>
    <x v="0"/>
    <x v="0"/>
    <x v="0"/>
    <x v="24"/>
    <x v="0"/>
  </r>
  <r>
    <n v="162"/>
    <x v="7"/>
    <x v="7"/>
    <x v="7"/>
    <x v="25"/>
    <x v="0"/>
    <x v="0"/>
    <x v="5"/>
    <x v="0"/>
    <x v="5"/>
    <x v="111"/>
    <x v="135"/>
    <x v="0"/>
    <x v="0"/>
    <x v="0"/>
    <x v="0"/>
    <x v="25"/>
    <x v="0"/>
  </r>
  <r>
    <n v="162"/>
    <x v="7"/>
    <x v="7"/>
    <x v="7"/>
    <x v="26"/>
    <x v="0"/>
    <x v="0"/>
    <x v="5"/>
    <x v="0"/>
    <x v="6"/>
    <x v="13"/>
    <x v="136"/>
    <x v="0"/>
    <x v="0"/>
    <x v="0"/>
    <x v="0"/>
    <x v="26"/>
    <x v="0"/>
  </r>
  <r>
    <n v="162"/>
    <x v="7"/>
    <x v="7"/>
    <x v="7"/>
    <x v="27"/>
    <x v="0"/>
    <x v="0"/>
    <x v="5"/>
    <x v="0"/>
    <x v="6"/>
    <x v="52"/>
    <x v="74"/>
    <x v="0"/>
    <x v="0"/>
    <x v="0"/>
    <x v="0"/>
    <x v="27"/>
    <x v="0"/>
  </r>
  <r>
    <n v="162"/>
    <x v="7"/>
    <x v="7"/>
    <x v="7"/>
    <x v="28"/>
    <x v="0"/>
    <x v="0"/>
    <x v="5"/>
    <x v="0"/>
    <x v="7"/>
    <x v="112"/>
    <x v="137"/>
    <x v="0"/>
    <x v="0"/>
    <x v="0"/>
    <x v="0"/>
    <x v="28"/>
    <x v="0"/>
  </r>
  <r>
    <n v="162"/>
    <x v="7"/>
    <x v="7"/>
    <x v="7"/>
    <x v="29"/>
    <x v="0"/>
    <x v="0"/>
    <x v="5"/>
    <x v="0"/>
    <x v="7"/>
    <x v="109"/>
    <x v="133"/>
    <x v="0"/>
    <x v="0"/>
    <x v="0"/>
    <x v="0"/>
    <x v="29"/>
    <x v="0"/>
  </r>
  <r>
    <n v="162"/>
    <x v="7"/>
    <x v="7"/>
    <x v="7"/>
    <x v="30"/>
    <x v="0"/>
    <x v="0"/>
    <x v="5"/>
    <x v="0"/>
    <x v="7"/>
    <x v="113"/>
    <x v="138"/>
    <x v="0"/>
    <x v="0"/>
    <x v="0"/>
    <x v="0"/>
    <x v="30"/>
    <x v="0"/>
  </r>
  <r>
    <n v="162"/>
    <x v="7"/>
    <x v="7"/>
    <x v="7"/>
    <x v="31"/>
    <x v="0"/>
    <x v="0"/>
    <x v="5"/>
    <x v="0"/>
    <x v="7"/>
    <x v="28"/>
    <x v="42"/>
    <x v="0"/>
    <x v="0"/>
    <x v="0"/>
    <x v="0"/>
    <x v="31"/>
    <x v="0"/>
  </r>
  <r>
    <n v="162"/>
    <x v="7"/>
    <x v="7"/>
    <x v="7"/>
    <x v="32"/>
    <x v="0"/>
    <x v="0"/>
    <x v="5"/>
    <x v="0"/>
    <x v="7"/>
    <x v="51"/>
    <x v="72"/>
    <x v="0"/>
    <x v="0"/>
    <x v="0"/>
    <x v="0"/>
    <x v="32"/>
    <x v="0"/>
  </r>
  <r>
    <n v="162"/>
    <x v="7"/>
    <x v="7"/>
    <x v="7"/>
    <x v="33"/>
    <x v="0"/>
    <x v="0"/>
    <x v="5"/>
    <x v="0"/>
    <x v="7"/>
    <x v="13"/>
    <x v="138"/>
    <x v="0"/>
    <x v="0"/>
    <x v="0"/>
    <x v="0"/>
    <x v="33"/>
    <x v="0"/>
  </r>
  <r>
    <n v="162"/>
    <x v="7"/>
    <x v="7"/>
    <x v="7"/>
    <x v="34"/>
    <x v="0"/>
    <x v="0"/>
    <x v="5"/>
    <x v="0"/>
    <x v="7"/>
    <x v="108"/>
    <x v="132"/>
    <x v="0"/>
    <x v="0"/>
    <x v="0"/>
    <x v="0"/>
    <x v="34"/>
    <x v="0"/>
  </r>
  <r>
    <n v="162"/>
    <x v="7"/>
    <x v="7"/>
    <x v="7"/>
    <x v="35"/>
    <x v="0"/>
    <x v="0"/>
    <x v="5"/>
    <x v="0"/>
    <x v="7"/>
    <x v="114"/>
    <x v="133"/>
    <x v="0"/>
    <x v="0"/>
    <x v="0"/>
    <x v="0"/>
    <x v="35"/>
    <x v="0"/>
  </r>
  <r>
    <n v="162"/>
    <x v="7"/>
    <x v="7"/>
    <x v="7"/>
    <x v="36"/>
    <x v="0"/>
    <x v="0"/>
    <x v="5"/>
    <x v="0"/>
    <x v="7"/>
    <x v="14"/>
    <x v="16"/>
    <x v="0"/>
    <x v="0"/>
    <x v="0"/>
    <x v="0"/>
    <x v="36"/>
    <x v="0"/>
  </r>
  <r>
    <n v="164"/>
    <x v="8"/>
    <x v="8"/>
    <x v="8"/>
    <x v="46"/>
    <x v="0"/>
    <x v="0"/>
    <x v="6"/>
    <x v="0"/>
    <x v="0"/>
    <x v="115"/>
    <x v="139"/>
    <x v="0"/>
    <x v="0"/>
    <x v="0"/>
    <x v="1"/>
    <x v="46"/>
    <x v="1"/>
  </r>
  <r>
    <n v="164"/>
    <x v="8"/>
    <x v="8"/>
    <x v="8"/>
    <x v="40"/>
    <x v="0"/>
    <x v="0"/>
    <x v="6"/>
    <x v="0"/>
    <x v="0"/>
    <x v="115"/>
    <x v="139"/>
    <x v="0"/>
    <x v="0"/>
    <x v="0"/>
    <x v="1"/>
    <x v="40"/>
    <x v="1"/>
  </r>
  <r>
    <n v="164"/>
    <x v="8"/>
    <x v="8"/>
    <x v="8"/>
    <x v="3"/>
    <x v="1"/>
    <x v="2"/>
    <x v="6"/>
    <x v="0"/>
    <x v="0"/>
    <x v="5"/>
    <x v="5"/>
    <x v="2"/>
    <x v="0"/>
    <x v="2"/>
    <x v="1"/>
    <x v="3"/>
    <x v="1"/>
  </r>
  <r>
    <n v="164"/>
    <x v="8"/>
    <x v="8"/>
    <x v="8"/>
    <x v="4"/>
    <x v="0"/>
    <x v="0"/>
    <x v="6"/>
    <x v="0"/>
    <x v="0"/>
    <x v="116"/>
    <x v="140"/>
    <x v="0"/>
    <x v="0"/>
    <x v="0"/>
    <x v="0"/>
    <x v="4"/>
    <x v="0"/>
  </r>
  <r>
    <n v="164"/>
    <x v="8"/>
    <x v="8"/>
    <x v="8"/>
    <x v="5"/>
    <x v="0"/>
    <x v="0"/>
    <x v="6"/>
    <x v="0"/>
    <x v="0"/>
    <x v="117"/>
    <x v="141"/>
    <x v="0"/>
    <x v="0"/>
    <x v="0"/>
    <x v="0"/>
    <x v="5"/>
    <x v="0"/>
  </r>
  <r>
    <n v="164"/>
    <x v="8"/>
    <x v="8"/>
    <x v="8"/>
    <x v="6"/>
    <x v="1"/>
    <x v="2"/>
    <x v="6"/>
    <x v="0"/>
    <x v="0"/>
    <x v="5"/>
    <x v="5"/>
    <x v="2"/>
    <x v="0"/>
    <x v="2"/>
    <x v="1"/>
    <x v="6"/>
    <x v="1"/>
  </r>
  <r>
    <n v="164"/>
    <x v="8"/>
    <x v="8"/>
    <x v="8"/>
    <x v="7"/>
    <x v="0"/>
    <x v="0"/>
    <x v="6"/>
    <x v="0"/>
    <x v="1"/>
    <x v="118"/>
    <x v="142"/>
    <x v="0"/>
    <x v="0"/>
    <x v="0"/>
    <x v="0"/>
    <x v="7"/>
    <x v="0"/>
  </r>
  <r>
    <n v="164"/>
    <x v="8"/>
    <x v="8"/>
    <x v="8"/>
    <x v="9"/>
    <x v="0"/>
    <x v="0"/>
    <x v="6"/>
    <x v="0"/>
    <x v="1"/>
    <x v="13"/>
    <x v="143"/>
    <x v="0"/>
    <x v="0"/>
    <x v="0"/>
    <x v="0"/>
    <x v="9"/>
    <x v="0"/>
  </r>
  <r>
    <n v="164"/>
    <x v="8"/>
    <x v="8"/>
    <x v="8"/>
    <x v="12"/>
    <x v="0"/>
    <x v="0"/>
    <x v="6"/>
    <x v="0"/>
    <x v="2"/>
    <x v="14"/>
    <x v="16"/>
    <x v="0"/>
    <x v="0"/>
    <x v="0"/>
    <x v="0"/>
    <x v="12"/>
    <x v="0"/>
  </r>
  <r>
    <n v="164"/>
    <x v="8"/>
    <x v="8"/>
    <x v="8"/>
    <x v="20"/>
    <x v="0"/>
    <x v="0"/>
    <x v="6"/>
    <x v="0"/>
    <x v="4"/>
    <x v="119"/>
    <x v="144"/>
    <x v="0"/>
    <x v="0"/>
    <x v="0"/>
    <x v="0"/>
    <x v="20"/>
    <x v="0"/>
  </r>
  <r>
    <n v="164"/>
    <x v="8"/>
    <x v="8"/>
    <x v="8"/>
    <x v="21"/>
    <x v="0"/>
    <x v="0"/>
    <x v="6"/>
    <x v="0"/>
    <x v="4"/>
    <x v="119"/>
    <x v="144"/>
    <x v="0"/>
    <x v="0"/>
    <x v="0"/>
    <x v="0"/>
    <x v="21"/>
    <x v="0"/>
  </r>
  <r>
    <n v="164"/>
    <x v="8"/>
    <x v="8"/>
    <x v="8"/>
    <x v="47"/>
    <x v="0"/>
    <x v="0"/>
    <x v="6"/>
    <x v="0"/>
    <x v="8"/>
    <x v="120"/>
    <x v="145"/>
    <x v="0"/>
    <x v="0"/>
    <x v="0"/>
    <x v="0"/>
    <x v="47"/>
    <x v="0"/>
  </r>
  <r>
    <n v="164"/>
    <x v="8"/>
    <x v="8"/>
    <x v="8"/>
    <x v="38"/>
    <x v="1"/>
    <x v="0"/>
    <x v="6"/>
    <x v="0"/>
    <x v="8"/>
    <x v="120"/>
    <x v="145"/>
    <x v="0"/>
    <x v="0"/>
    <x v="0"/>
    <x v="1"/>
    <x v="38"/>
    <x v="1"/>
  </r>
  <r>
    <n v="164"/>
    <x v="8"/>
    <x v="8"/>
    <x v="8"/>
    <x v="23"/>
    <x v="0"/>
    <x v="0"/>
    <x v="6"/>
    <x v="0"/>
    <x v="5"/>
    <x v="121"/>
    <x v="146"/>
    <x v="0"/>
    <x v="0"/>
    <x v="0"/>
    <x v="0"/>
    <x v="23"/>
    <x v="0"/>
  </r>
  <r>
    <n v="164"/>
    <x v="8"/>
    <x v="8"/>
    <x v="8"/>
    <x v="25"/>
    <x v="0"/>
    <x v="0"/>
    <x v="6"/>
    <x v="0"/>
    <x v="5"/>
    <x v="122"/>
    <x v="147"/>
    <x v="0"/>
    <x v="0"/>
    <x v="0"/>
    <x v="0"/>
    <x v="25"/>
    <x v="0"/>
  </r>
  <r>
    <n v="164"/>
    <x v="8"/>
    <x v="8"/>
    <x v="8"/>
    <x v="26"/>
    <x v="0"/>
    <x v="0"/>
    <x v="6"/>
    <x v="0"/>
    <x v="6"/>
    <x v="13"/>
    <x v="145"/>
    <x v="0"/>
    <x v="0"/>
    <x v="0"/>
    <x v="0"/>
    <x v="26"/>
    <x v="0"/>
  </r>
  <r>
    <n v="164"/>
    <x v="8"/>
    <x v="8"/>
    <x v="8"/>
    <x v="27"/>
    <x v="0"/>
    <x v="0"/>
    <x v="6"/>
    <x v="0"/>
    <x v="6"/>
    <x v="66"/>
    <x v="87"/>
    <x v="0"/>
    <x v="0"/>
    <x v="0"/>
    <x v="0"/>
    <x v="27"/>
    <x v="0"/>
  </r>
  <r>
    <n v="164"/>
    <x v="8"/>
    <x v="8"/>
    <x v="8"/>
    <x v="28"/>
    <x v="0"/>
    <x v="0"/>
    <x v="6"/>
    <x v="0"/>
    <x v="7"/>
    <x v="117"/>
    <x v="148"/>
    <x v="0"/>
    <x v="0"/>
    <x v="0"/>
    <x v="0"/>
    <x v="28"/>
    <x v="0"/>
  </r>
  <r>
    <n v="164"/>
    <x v="8"/>
    <x v="8"/>
    <x v="8"/>
    <x v="29"/>
    <x v="0"/>
    <x v="0"/>
    <x v="6"/>
    <x v="0"/>
    <x v="7"/>
    <x v="123"/>
    <x v="149"/>
    <x v="0"/>
    <x v="0"/>
    <x v="0"/>
    <x v="0"/>
    <x v="29"/>
    <x v="0"/>
  </r>
  <r>
    <n v="164"/>
    <x v="8"/>
    <x v="8"/>
    <x v="8"/>
    <x v="30"/>
    <x v="0"/>
    <x v="0"/>
    <x v="6"/>
    <x v="0"/>
    <x v="7"/>
    <x v="124"/>
    <x v="149"/>
    <x v="0"/>
    <x v="0"/>
    <x v="0"/>
    <x v="0"/>
    <x v="30"/>
    <x v="0"/>
  </r>
  <r>
    <n v="164"/>
    <x v="8"/>
    <x v="8"/>
    <x v="8"/>
    <x v="31"/>
    <x v="0"/>
    <x v="0"/>
    <x v="6"/>
    <x v="0"/>
    <x v="7"/>
    <x v="104"/>
    <x v="125"/>
    <x v="0"/>
    <x v="0"/>
    <x v="0"/>
    <x v="0"/>
    <x v="31"/>
    <x v="0"/>
  </r>
  <r>
    <n v="164"/>
    <x v="8"/>
    <x v="8"/>
    <x v="8"/>
    <x v="32"/>
    <x v="0"/>
    <x v="0"/>
    <x v="6"/>
    <x v="0"/>
    <x v="7"/>
    <x v="117"/>
    <x v="148"/>
    <x v="0"/>
    <x v="0"/>
    <x v="0"/>
    <x v="0"/>
    <x v="32"/>
    <x v="0"/>
  </r>
  <r>
    <n v="164"/>
    <x v="8"/>
    <x v="8"/>
    <x v="8"/>
    <x v="33"/>
    <x v="0"/>
    <x v="0"/>
    <x v="6"/>
    <x v="0"/>
    <x v="7"/>
    <x v="13"/>
    <x v="150"/>
    <x v="0"/>
    <x v="0"/>
    <x v="0"/>
    <x v="0"/>
    <x v="33"/>
    <x v="0"/>
  </r>
  <r>
    <n v="164"/>
    <x v="8"/>
    <x v="8"/>
    <x v="8"/>
    <x v="34"/>
    <x v="0"/>
    <x v="0"/>
    <x v="6"/>
    <x v="0"/>
    <x v="7"/>
    <x v="117"/>
    <x v="148"/>
    <x v="0"/>
    <x v="0"/>
    <x v="0"/>
    <x v="0"/>
    <x v="34"/>
    <x v="0"/>
  </r>
  <r>
    <n v="164"/>
    <x v="8"/>
    <x v="8"/>
    <x v="8"/>
    <x v="35"/>
    <x v="0"/>
    <x v="0"/>
    <x v="6"/>
    <x v="0"/>
    <x v="7"/>
    <x v="30"/>
    <x v="44"/>
    <x v="0"/>
    <x v="0"/>
    <x v="0"/>
    <x v="0"/>
    <x v="35"/>
    <x v="0"/>
  </r>
  <r>
    <n v="164"/>
    <x v="8"/>
    <x v="8"/>
    <x v="8"/>
    <x v="36"/>
    <x v="0"/>
    <x v="0"/>
    <x v="6"/>
    <x v="0"/>
    <x v="7"/>
    <x v="14"/>
    <x v="16"/>
    <x v="0"/>
    <x v="0"/>
    <x v="0"/>
    <x v="0"/>
    <x v="36"/>
    <x v="0"/>
  </r>
  <r>
    <n v="165"/>
    <x v="9"/>
    <x v="9"/>
    <x v="9"/>
    <x v="46"/>
    <x v="0"/>
    <x v="0"/>
    <x v="6"/>
    <x v="0"/>
    <x v="0"/>
    <x v="125"/>
    <x v="151"/>
    <x v="0"/>
    <x v="0"/>
    <x v="0"/>
    <x v="0"/>
    <x v="46"/>
    <x v="0"/>
  </r>
  <r>
    <n v="165"/>
    <x v="9"/>
    <x v="9"/>
    <x v="9"/>
    <x v="40"/>
    <x v="0"/>
    <x v="1"/>
    <x v="6"/>
    <x v="0"/>
    <x v="0"/>
    <x v="126"/>
    <x v="152"/>
    <x v="1"/>
    <x v="0"/>
    <x v="1"/>
    <x v="0"/>
    <x v="40"/>
    <x v="0"/>
  </r>
  <r>
    <n v="165"/>
    <x v="9"/>
    <x v="9"/>
    <x v="9"/>
    <x v="3"/>
    <x v="1"/>
    <x v="2"/>
    <x v="6"/>
    <x v="0"/>
    <x v="0"/>
    <x v="5"/>
    <x v="5"/>
    <x v="2"/>
    <x v="0"/>
    <x v="2"/>
    <x v="1"/>
    <x v="3"/>
    <x v="1"/>
  </r>
  <r>
    <n v="165"/>
    <x v="9"/>
    <x v="9"/>
    <x v="9"/>
    <x v="4"/>
    <x v="0"/>
    <x v="0"/>
    <x v="6"/>
    <x v="0"/>
    <x v="0"/>
    <x v="127"/>
    <x v="153"/>
    <x v="0"/>
    <x v="0"/>
    <x v="0"/>
    <x v="0"/>
    <x v="4"/>
    <x v="0"/>
  </r>
  <r>
    <n v="165"/>
    <x v="9"/>
    <x v="9"/>
    <x v="9"/>
    <x v="5"/>
    <x v="0"/>
    <x v="0"/>
    <x v="6"/>
    <x v="0"/>
    <x v="0"/>
    <x v="128"/>
    <x v="154"/>
    <x v="0"/>
    <x v="0"/>
    <x v="0"/>
    <x v="0"/>
    <x v="5"/>
    <x v="0"/>
  </r>
  <r>
    <n v="165"/>
    <x v="9"/>
    <x v="9"/>
    <x v="9"/>
    <x v="6"/>
    <x v="1"/>
    <x v="1"/>
    <x v="6"/>
    <x v="0"/>
    <x v="0"/>
    <x v="129"/>
    <x v="155"/>
    <x v="1"/>
    <x v="0"/>
    <x v="1"/>
    <x v="0"/>
    <x v="6"/>
    <x v="0"/>
  </r>
  <r>
    <n v="165"/>
    <x v="9"/>
    <x v="9"/>
    <x v="9"/>
    <x v="7"/>
    <x v="0"/>
    <x v="0"/>
    <x v="6"/>
    <x v="0"/>
    <x v="1"/>
    <x v="130"/>
    <x v="43"/>
    <x v="0"/>
    <x v="0"/>
    <x v="0"/>
    <x v="0"/>
    <x v="7"/>
    <x v="0"/>
  </r>
  <r>
    <n v="165"/>
    <x v="9"/>
    <x v="9"/>
    <x v="9"/>
    <x v="9"/>
    <x v="0"/>
    <x v="0"/>
    <x v="6"/>
    <x v="0"/>
    <x v="1"/>
    <x v="13"/>
    <x v="15"/>
    <x v="0"/>
    <x v="0"/>
    <x v="0"/>
    <x v="0"/>
    <x v="9"/>
    <x v="0"/>
  </r>
  <r>
    <n v="165"/>
    <x v="9"/>
    <x v="9"/>
    <x v="9"/>
    <x v="12"/>
    <x v="0"/>
    <x v="0"/>
    <x v="6"/>
    <x v="0"/>
    <x v="2"/>
    <x v="71"/>
    <x v="89"/>
    <x v="0"/>
    <x v="0"/>
    <x v="0"/>
    <x v="0"/>
    <x v="12"/>
    <x v="0"/>
  </r>
  <r>
    <n v="165"/>
    <x v="9"/>
    <x v="9"/>
    <x v="9"/>
    <x v="20"/>
    <x v="0"/>
    <x v="0"/>
    <x v="6"/>
    <x v="0"/>
    <x v="4"/>
    <x v="117"/>
    <x v="148"/>
    <x v="0"/>
    <x v="0"/>
    <x v="0"/>
    <x v="0"/>
    <x v="20"/>
    <x v="0"/>
  </r>
  <r>
    <n v="165"/>
    <x v="9"/>
    <x v="9"/>
    <x v="9"/>
    <x v="21"/>
    <x v="0"/>
    <x v="0"/>
    <x v="6"/>
    <x v="0"/>
    <x v="4"/>
    <x v="117"/>
    <x v="148"/>
    <x v="0"/>
    <x v="0"/>
    <x v="0"/>
    <x v="0"/>
    <x v="21"/>
    <x v="0"/>
  </r>
  <r>
    <n v="165"/>
    <x v="9"/>
    <x v="9"/>
    <x v="9"/>
    <x v="47"/>
    <x v="0"/>
    <x v="0"/>
    <x v="6"/>
    <x v="0"/>
    <x v="8"/>
    <x v="131"/>
    <x v="156"/>
    <x v="0"/>
    <x v="0"/>
    <x v="0"/>
    <x v="1"/>
    <x v="47"/>
    <x v="1"/>
  </r>
  <r>
    <n v="165"/>
    <x v="9"/>
    <x v="9"/>
    <x v="9"/>
    <x v="38"/>
    <x v="1"/>
    <x v="2"/>
    <x v="6"/>
    <x v="0"/>
    <x v="8"/>
    <x v="5"/>
    <x v="5"/>
    <x v="2"/>
    <x v="0"/>
    <x v="2"/>
    <x v="1"/>
    <x v="38"/>
    <x v="1"/>
  </r>
  <r>
    <n v="165"/>
    <x v="9"/>
    <x v="9"/>
    <x v="9"/>
    <x v="23"/>
    <x v="0"/>
    <x v="0"/>
    <x v="6"/>
    <x v="0"/>
    <x v="5"/>
    <x v="132"/>
    <x v="157"/>
    <x v="0"/>
    <x v="0"/>
    <x v="0"/>
    <x v="0"/>
    <x v="23"/>
    <x v="0"/>
  </r>
  <r>
    <n v="165"/>
    <x v="9"/>
    <x v="9"/>
    <x v="9"/>
    <x v="25"/>
    <x v="0"/>
    <x v="2"/>
    <x v="6"/>
    <x v="0"/>
    <x v="5"/>
    <x v="5"/>
    <x v="5"/>
    <x v="2"/>
    <x v="0"/>
    <x v="2"/>
    <x v="1"/>
    <x v="25"/>
    <x v="1"/>
  </r>
  <r>
    <n v="165"/>
    <x v="9"/>
    <x v="9"/>
    <x v="9"/>
    <x v="26"/>
    <x v="0"/>
    <x v="0"/>
    <x v="6"/>
    <x v="0"/>
    <x v="6"/>
    <x v="13"/>
    <x v="115"/>
    <x v="0"/>
    <x v="0"/>
    <x v="0"/>
    <x v="0"/>
    <x v="26"/>
    <x v="0"/>
  </r>
  <r>
    <n v="165"/>
    <x v="9"/>
    <x v="9"/>
    <x v="9"/>
    <x v="27"/>
    <x v="0"/>
    <x v="0"/>
    <x v="6"/>
    <x v="0"/>
    <x v="6"/>
    <x v="103"/>
    <x v="124"/>
    <x v="0"/>
    <x v="0"/>
    <x v="0"/>
    <x v="0"/>
    <x v="27"/>
    <x v="0"/>
  </r>
  <r>
    <n v="165"/>
    <x v="9"/>
    <x v="9"/>
    <x v="9"/>
    <x v="28"/>
    <x v="0"/>
    <x v="0"/>
    <x v="6"/>
    <x v="0"/>
    <x v="7"/>
    <x v="133"/>
    <x v="158"/>
    <x v="0"/>
    <x v="0"/>
    <x v="0"/>
    <x v="0"/>
    <x v="28"/>
    <x v="0"/>
  </r>
  <r>
    <n v="165"/>
    <x v="9"/>
    <x v="9"/>
    <x v="9"/>
    <x v="29"/>
    <x v="0"/>
    <x v="0"/>
    <x v="6"/>
    <x v="0"/>
    <x v="7"/>
    <x v="134"/>
    <x v="159"/>
    <x v="0"/>
    <x v="0"/>
    <x v="0"/>
    <x v="0"/>
    <x v="29"/>
    <x v="0"/>
  </r>
  <r>
    <n v="165"/>
    <x v="9"/>
    <x v="9"/>
    <x v="9"/>
    <x v="30"/>
    <x v="0"/>
    <x v="0"/>
    <x v="6"/>
    <x v="0"/>
    <x v="7"/>
    <x v="135"/>
    <x v="157"/>
    <x v="0"/>
    <x v="0"/>
    <x v="0"/>
    <x v="0"/>
    <x v="30"/>
    <x v="0"/>
  </r>
  <r>
    <n v="165"/>
    <x v="9"/>
    <x v="9"/>
    <x v="9"/>
    <x v="31"/>
    <x v="0"/>
    <x v="0"/>
    <x v="6"/>
    <x v="0"/>
    <x v="7"/>
    <x v="136"/>
    <x v="160"/>
    <x v="0"/>
    <x v="0"/>
    <x v="0"/>
    <x v="0"/>
    <x v="31"/>
    <x v="0"/>
  </r>
  <r>
    <n v="165"/>
    <x v="9"/>
    <x v="9"/>
    <x v="9"/>
    <x v="32"/>
    <x v="0"/>
    <x v="0"/>
    <x v="6"/>
    <x v="0"/>
    <x v="7"/>
    <x v="133"/>
    <x v="158"/>
    <x v="0"/>
    <x v="0"/>
    <x v="0"/>
    <x v="0"/>
    <x v="32"/>
    <x v="0"/>
  </r>
  <r>
    <n v="165"/>
    <x v="9"/>
    <x v="9"/>
    <x v="9"/>
    <x v="33"/>
    <x v="0"/>
    <x v="0"/>
    <x v="6"/>
    <x v="0"/>
    <x v="7"/>
    <x v="13"/>
    <x v="157"/>
    <x v="0"/>
    <x v="0"/>
    <x v="0"/>
    <x v="0"/>
    <x v="33"/>
    <x v="0"/>
  </r>
  <r>
    <n v="165"/>
    <x v="9"/>
    <x v="9"/>
    <x v="9"/>
    <x v="34"/>
    <x v="0"/>
    <x v="0"/>
    <x v="6"/>
    <x v="0"/>
    <x v="7"/>
    <x v="137"/>
    <x v="161"/>
    <x v="0"/>
    <x v="0"/>
    <x v="0"/>
    <x v="0"/>
    <x v="34"/>
    <x v="0"/>
  </r>
  <r>
    <n v="165"/>
    <x v="9"/>
    <x v="9"/>
    <x v="9"/>
    <x v="35"/>
    <x v="0"/>
    <x v="0"/>
    <x v="6"/>
    <x v="0"/>
    <x v="7"/>
    <x v="137"/>
    <x v="161"/>
    <x v="0"/>
    <x v="0"/>
    <x v="0"/>
    <x v="0"/>
    <x v="35"/>
    <x v="0"/>
  </r>
  <r>
    <n v="165"/>
    <x v="9"/>
    <x v="9"/>
    <x v="9"/>
    <x v="36"/>
    <x v="0"/>
    <x v="0"/>
    <x v="6"/>
    <x v="0"/>
    <x v="7"/>
    <x v="138"/>
    <x v="162"/>
    <x v="0"/>
    <x v="0"/>
    <x v="0"/>
    <x v="0"/>
    <x v="36"/>
    <x v="0"/>
  </r>
  <r>
    <n v="170"/>
    <x v="10"/>
    <x v="10"/>
    <x v="10"/>
    <x v="48"/>
    <x v="0"/>
    <x v="0"/>
    <x v="7"/>
    <x v="0"/>
    <x v="0"/>
    <x v="139"/>
    <x v="163"/>
    <x v="0"/>
    <x v="0"/>
    <x v="0"/>
    <x v="1"/>
    <x v="48"/>
    <x v="1"/>
  </r>
  <r>
    <n v="170"/>
    <x v="10"/>
    <x v="10"/>
    <x v="10"/>
    <x v="40"/>
    <x v="1"/>
    <x v="0"/>
    <x v="7"/>
    <x v="0"/>
    <x v="0"/>
    <x v="140"/>
    <x v="10"/>
    <x v="0"/>
    <x v="0"/>
    <x v="0"/>
    <x v="1"/>
    <x v="40"/>
    <x v="1"/>
  </r>
  <r>
    <n v="170"/>
    <x v="10"/>
    <x v="10"/>
    <x v="10"/>
    <x v="3"/>
    <x v="1"/>
    <x v="0"/>
    <x v="7"/>
    <x v="0"/>
    <x v="0"/>
    <x v="141"/>
    <x v="164"/>
    <x v="0"/>
    <x v="0"/>
    <x v="0"/>
    <x v="0"/>
    <x v="3"/>
    <x v="0"/>
  </r>
  <r>
    <n v="170"/>
    <x v="10"/>
    <x v="10"/>
    <x v="10"/>
    <x v="4"/>
    <x v="0"/>
    <x v="0"/>
    <x v="7"/>
    <x v="0"/>
    <x v="0"/>
    <x v="142"/>
    <x v="165"/>
    <x v="0"/>
    <x v="0"/>
    <x v="0"/>
    <x v="0"/>
    <x v="4"/>
    <x v="0"/>
  </r>
  <r>
    <n v="170"/>
    <x v="10"/>
    <x v="10"/>
    <x v="10"/>
    <x v="5"/>
    <x v="0"/>
    <x v="0"/>
    <x v="7"/>
    <x v="0"/>
    <x v="0"/>
    <x v="143"/>
    <x v="166"/>
    <x v="0"/>
    <x v="0"/>
    <x v="0"/>
    <x v="0"/>
    <x v="5"/>
    <x v="0"/>
  </r>
  <r>
    <n v="170"/>
    <x v="10"/>
    <x v="10"/>
    <x v="10"/>
    <x v="6"/>
    <x v="1"/>
    <x v="1"/>
    <x v="7"/>
    <x v="0"/>
    <x v="0"/>
    <x v="10"/>
    <x v="167"/>
    <x v="1"/>
    <x v="0"/>
    <x v="1"/>
    <x v="0"/>
    <x v="6"/>
    <x v="0"/>
  </r>
  <r>
    <n v="170"/>
    <x v="10"/>
    <x v="10"/>
    <x v="10"/>
    <x v="49"/>
    <x v="1"/>
    <x v="0"/>
    <x v="7"/>
    <x v="0"/>
    <x v="0"/>
    <x v="13"/>
    <x v="79"/>
    <x v="0"/>
    <x v="0"/>
    <x v="0"/>
    <x v="0"/>
    <x v="49"/>
    <x v="0"/>
  </r>
  <r>
    <n v="170"/>
    <x v="10"/>
    <x v="10"/>
    <x v="10"/>
    <x v="7"/>
    <x v="0"/>
    <x v="0"/>
    <x v="7"/>
    <x v="0"/>
    <x v="1"/>
    <x v="144"/>
    <x v="168"/>
    <x v="0"/>
    <x v="0"/>
    <x v="0"/>
    <x v="0"/>
    <x v="7"/>
    <x v="0"/>
  </r>
  <r>
    <n v="170"/>
    <x v="10"/>
    <x v="10"/>
    <x v="10"/>
    <x v="9"/>
    <x v="0"/>
    <x v="0"/>
    <x v="7"/>
    <x v="0"/>
    <x v="1"/>
    <x v="13"/>
    <x v="99"/>
    <x v="0"/>
    <x v="0"/>
    <x v="0"/>
    <x v="0"/>
    <x v="9"/>
    <x v="0"/>
  </r>
  <r>
    <n v="170"/>
    <x v="10"/>
    <x v="10"/>
    <x v="10"/>
    <x v="12"/>
    <x v="0"/>
    <x v="0"/>
    <x v="7"/>
    <x v="0"/>
    <x v="2"/>
    <x v="108"/>
    <x v="132"/>
    <x v="0"/>
    <x v="0"/>
    <x v="0"/>
    <x v="0"/>
    <x v="12"/>
    <x v="0"/>
  </r>
  <r>
    <n v="170"/>
    <x v="10"/>
    <x v="10"/>
    <x v="10"/>
    <x v="20"/>
    <x v="0"/>
    <x v="0"/>
    <x v="7"/>
    <x v="0"/>
    <x v="4"/>
    <x v="64"/>
    <x v="84"/>
    <x v="0"/>
    <x v="0"/>
    <x v="0"/>
    <x v="0"/>
    <x v="20"/>
    <x v="0"/>
  </r>
  <r>
    <n v="170"/>
    <x v="10"/>
    <x v="10"/>
    <x v="10"/>
    <x v="21"/>
    <x v="0"/>
    <x v="0"/>
    <x v="7"/>
    <x v="0"/>
    <x v="4"/>
    <x v="64"/>
    <x v="84"/>
    <x v="0"/>
    <x v="0"/>
    <x v="0"/>
    <x v="0"/>
    <x v="21"/>
    <x v="0"/>
  </r>
  <r>
    <n v="170"/>
    <x v="10"/>
    <x v="10"/>
    <x v="10"/>
    <x v="47"/>
    <x v="0"/>
    <x v="0"/>
    <x v="7"/>
    <x v="0"/>
    <x v="8"/>
    <x v="145"/>
    <x v="32"/>
    <x v="0"/>
    <x v="0"/>
    <x v="0"/>
    <x v="1"/>
    <x v="47"/>
    <x v="1"/>
  </r>
  <r>
    <n v="170"/>
    <x v="10"/>
    <x v="10"/>
    <x v="10"/>
    <x v="38"/>
    <x v="1"/>
    <x v="0"/>
    <x v="7"/>
    <x v="0"/>
    <x v="8"/>
    <x v="145"/>
    <x v="32"/>
    <x v="0"/>
    <x v="0"/>
    <x v="0"/>
    <x v="0"/>
    <x v="38"/>
    <x v="0"/>
  </r>
  <r>
    <n v="170"/>
    <x v="10"/>
    <x v="10"/>
    <x v="10"/>
    <x v="23"/>
    <x v="0"/>
    <x v="0"/>
    <x v="7"/>
    <x v="0"/>
    <x v="5"/>
    <x v="146"/>
    <x v="169"/>
    <x v="0"/>
    <x v="0"/>
    <x v="0"/>
    <x v="0"/>
    <x v="23"/>
    <x v="0"/>
  </r>
  <r>
    <n v="170"/>
    <x v="10"/>
    <x v="10"/>
    <x v="10"/>
    <x v="25"/>
    <x v="1"/>
    <x v="0"/>
    <x v="7"/>
    <x v="0"/>
    <x v="5"/>
    <x v="147"/>
    <x v="170"/>
    <x v="0"/>
    <x v="0"/>
    <x v="0"/>
    <x v="0"/>
    <x v="25"/>
    <x v="0"/>
  </r>
  <r>
    <n v="170"/>
    <x v="10"/>
    <x v="10"/>
    <x v="10"/>
    <x v="26"/>
    <x v="0"/>
    <x v="0"/>
    <x v="7"/>
    <x v="0"/>
    <x v="6"/>
    <x v="13"/>
    <x v="69"/>
    <x v="0"/>
    <x v="0"/>
    <x v="0"/>
    <x v="0"/>
    <x v="26"/>
    <x v="0"/>
  </r>
  <r>
    <n v="170"/>
    <x v="10"/>
    <x v="10"/>
    <x v="10"/>
    <x v="27"/>
    <x v="0"/>
    <x v="0"/>
    <x v="7"/>
    <x v="0"/>
    <x v="6"/>
    <x v="66"/>
    <x v="87"/>
    <x v="0"/>
    <x v="0"/>
    <x v="0"/>
    <x v="0"/>
    <x v="27"/>
    <x v="0"/>
  </r>
  <r>
    <n v="170"/>
    <x v="10"/>
    <x v="10"/>
    <x v="10"/>
    <x v="28"/>
    <x v="0"/>
    <x v="0"/>
    <x v="7"/>
    <x v="0"/>
    <x v="7"/>
    <x v="148"/>
    <x v="171"/>
    <x v="0"/>
    <x v="0"/>
    <x v="0"/>
    <x v="0"/>
    <x v="28"/>
    <x v="0"/>
  </r>
  <r>
    <n v="170"/>
    <x v="10"/>
    <x v="10"/>
    <x v="10"/>
    <x v="29"/>
    <x v="0"/>
    <x v="0"/>
    <x v="7"/>
    <x v="0"/>
    <x v="7"/>
    <x v="146"/>
    <x v="169"/>
    <x v="0"/>
    <x v="0"/>
    <x v="0"/>
    <x v="0"/>
    <x v="29"/>
    <x v="0"/>
  </r>
  <r>
    <n v="170"/>
    <x v="10"/>
    <x v="10"/>
    <x v="10"/>
    <x v="30"/>
    <x v="0"/>
    <x v="0"/>
    <x v="7"/>
    <x v="0"/>
    <x v="7"/>
    <x v="149"/>
    <x v="169"/>
    <x v="0"/>
    <x v="0"/>
    <x v="0"/>
    <x v="0"/>
    <x v="30"/>
    <x v="0"/>
  </r>
  <r>
    <n v="170"/>
    <x v="10"/>
    <x v="10"/>
    <x v="10"/>
    <x v="31"/>
    <x v="0"/>
    <x v="0"/>
    <x v="7"/>
    <x v="0"/>
    <x v="7"/>
    <x v="150"/>
    <x v="172"/>
    <x v="0"/>
    <x v="0"/>
    <x v="0"/>
    <x v="0"/>
    <x v="31"/>
    <x v="0"/>
  </r>
  <r>
    <n v="170"/>
    <x v="10"/>
    <x v="10"/>
    <x v="10"/>
    <x v="32"/>
    <x v="0"/>
    <x v="0"/>
    <x v="7"/>
    <x v="0"/>
    <x v="7"/>
    <x v="148"/>
    <x v="171"/>
    <x v="0"/>
    <x v="0"/>
    <x v="0"/>
    <x v="0"/>
    <x v="32"/>
    <x v="0"/>
  </r>
  <r>
    <n v="170"/>
    <x v="10"/>
    <x v="10"/>
    <x v="10"/>
    <x v="33"/>
    <x v="0"/>
    <x v="0"/>
    <x v="7"/>
    <x v="0"/>
    <x v="7"/>
    <x v="13"/>
    <x v="173"/>
    <x v="0"/>
    <x v="0"/>
    <x v="0"/>
    <x v="0"/>
    <x v="33"/>
    <x v="0"/>
  </r>
  <r>
    <n v="170"/>
    <x v="10"/>
    <x v="10"/>
    <x v="10"/>
    <x v="34"/>
    <x v="0"/>
    <x v="0"/>
    <x v="7"/>
    <x v="0"/>
    <x v="7"/>
    <x v="108"/>
    <x v="132"/>
    <x v="0"/>
    <x v="0"/>
    <x v="0"/>
    <x v="0"/>
    <x v="34"/>
    <x v="0"/>
  </r>
  <r>
    <n v="170"/>
    <x v="10"/>
    <x v="10"/>
    <x v="10"/>
    <x v="35"/>
    <x v="0"/>
    <x v="0"/>
    <x v="7"/>
    <x v="0"/>
    <x v="7"/>
    <x v="72"/>
    <x v="90"/>
    <x v="0"/>
    <x v="0"/>
    <x v="0"/>
    <x v="0"/>
    <x v="35"/>
    <x v="0"/>
  </r>
  <r>
    <n v="170"/>
    <x v="10"/>
    <x v="10"/>
    <x v="10"/>
    <x v="36"/>
    <x v="0"/>
    <x v="0"/>
    <x v="7"/>
    <x v="0"/>
    <x v="7"/>
    <x v="16"/>
    <x v="18"/>
    <x v="0"/>
    <x v="0"/>
    <x v="0"/>
    <x v="0"/>
    <x v="36"/>
    <x v="0"/>
  </r>
  <r>
    <n v="175"/>
    <x v="11"/>
    <x v="11"/>
    <x v="11"/>
    <x v="48"/>
    <x v="0"/>
    <x v="0"/>
    <x v="7"/>
    <x v="0"/>
    <x v="0"/>
    <x v="151"/>
    <x v="174"/>
    <x v="0"/>
    <x v="0"/>
    <x v="0"/>
    <x v="1"/>
    <x v="48"/>
    <x v="1"/>
  </r>
  <r>
    <n v="175"/>
    <x v="11"/>
    <x v="11"/>
    <x v="11"/>
    <x v="40"/>
    <x v="1"/>
    <x v="0"/>
    <x v="7"/>
    <x v="0"/>
    <x v="0"/>
    <x v="152"/>
    <x v="175"/>
    <x v="0"/>
    <x v="0"/>
    <x v="0"/>
    <x v="0"/>
    <x v="40"/>
    <x v="0"/>
  </r>
  <r>
    <n v="175"/>
    <x v="11"/>
    <x v="11"/>
    <x v="11"/>
    <x v="3"/>
    <x v="1"/>
    <x v="2"/>
    <x v="7"/>
    <x v="0"/>
    <x v="0"/>
    <x v="5"/>
    <x v="5"/>
    <x v="2"/>
    <x v="0"/>
    <x v="2"/>
    <x v="1"/>
    <x v="3"/>
    <x v="1"/>
  </r>
  <r>
    <n v="175"/>
    <x v="11"/>
    <x v="11"/>
    <x v="11"/>
    <x v="4"/>
    <x v="0"/>
    <x v="0"/>
    <x v="7"/>
    <x v="0"/>
    <x v="0"/>
    <x v="106"/>
    <x v="128"/>
    <x v="0"/>
    <x v="0"/>
    <x v="0"/>
    <x v="0"/>
    <x v="4"/>
    <x v="0"/>
  </r>
  <r>
    <n v="175"/>
    <x v="11"/>
    <x v="11"/>
    <x v="11"/>
    <x v="5"/>
    <x v="0"/>
    <x v="0"/>
    <x v="7"/>
    <x v="0"/>
    <x v="0"/>
    <x v="153"/>
    <x v="176"/>
    <x v="0"/>
    <x v="0"/>
    <x v="0"/>
    <x v="0"/>
    <x v="5"/>
    <x v="0"/>
  </r>
  <r>
    <n v="175"/>
    <x v="11"/>
    <x v="11"/>
    <x v="11"/>
    <x v="6"/>
    <x v="1"/>
    <x v="2"/>
    <x v="7"/>
    <x v="0"/>
    <x v="0"/>
    <x v="5"/>
    <x v="5"/>
    <x v="2"/>
    <x v="0"/>
    <x v="2"/>
    <x v="1"/>
    <x v="6"/>
    <x v="1"/>
  </r>
  <r>
    <n v="175"/>
    <x v="11"/>
    <x v="11"/>
    <x v="11"/>
    <x v="49"/>
    <x v="1"/>
    <x v="2"/>
    <x v="7"/>
    <x v="0"/>
    <x v="0"/>
    <x v="5"/>
    <x v="5"/>
    <x v="2"/>
    <x v="0"/>
    <x v="2"/>
    <x v="1"/>
    <x v="49"/>
    <x v="1"/>
  </r>
  <r>
    <n v="175"/>
    <x v="11"/>
    <x v="11"/>
    <x v="11"/>
    <x v="7"/>
    <x v="0"/>
    <x v="0"/>
    <x v="7"/>
    <x v="0"/>
    <x v="1"/>
    <x v="154"/>
    <x v="177"/>
    <x v="0"/>
    <x v="0"/>
    <x v="0"/>
    <x v="0"/>
    <x v="7"/>
    <x v="0"/>
  </r>
  <r>
    <n v="175"/>
    <x v="11"/>
    <x v="11"/>
    <x v="11"/>
    <x v="9"/>
    <x v="0"/>
    <x v="0"/>
    <x v="7"/>
    <x v="0"/>
    <x v="1"/>
    <x v="13"/>
    <x v="178"/>
    <x v="0"/>
    <x v="0"/>
    <x v="0"/>
    <x v="0"/>
    <x v="9"/>
    <x v="0"/>
  </r>
  <r>
    <n v="175"/>
    <x v="11"/>
    <x v="11"/>
    <x v="11"/>
    <x v="12"/>
    <x v="0"/>
    <x v="0"/>
    <x v="7"/>
    <x v="0"/>
    <x v="2"/>
    <x v="71"/>
    <x v="89"/>
    <x v="0"/>
    <x v="0"/>
    <x v="0"/>
    <x v="0"/>
    <x v="12"/>
    <x v="0"/>
  </r>
  <r>
    <n v="175"/>
    <x v="11"/>
    <x v="11"/>
    <x v="11"/>
    <x v="20"/>
    <x v="0"/>
    <x v="0"/>
    <x v="7"/>
    <x v="0"/>
    <x v="4"/>
    <x v="155"/>
    <x v="179"/>
    <x v="0"/>
    <x v="0"/>
    <x v="0"/>
    <x v="0"/>
    <x v="20"/>
    <x v="0"/>
  </r>
  <r>
    <n v="175"/>
    <x v="11"/>
    <x v="11"/>
    <x v="11"/>
    <x v="21"/>
    <x v="0"/>
    <x v="0"/>
    <x v="7"/>
    <x v="0"/>
    <x v="4"/>
    <x v="155"/>
    <x v="179"/>
    <x v="0"/>
    <x v="0"/>
    <x v="0"/>
    <x v="0"/>
    <x v="21"/>
    <x v="0"/>
  </r>
  <r>
    <n v="175"/>
    <x v="11"/>
    <x v="11"/>
    <x v="11"/>
    <x v="47"/>
    <x v="0"/>
    <x v="0"/>
    <x v="7"/>
    <x v="0"/>
    <x v="8"/>
    <x v="156"/>
    <x v="180"/>
    <x v="0"/>
    <x v="0"/>
    <x v="0"/>
    <x v="0"/>
    <x v="47"/>
    <x v="0"/>
  </r>
  <r>
    <n v="175"/>
    <x v="11"/>
    <x v="11"/>
    <x v="11"/>
    <x v="38"/>
    <x v="1"/>
    <x v="0"/>
    <x v="7"/>
    <x v="0"/>
    <x v="8"/>
    <x v="156"/>
    <x v="180"/>
    <x v="0"/>
    <x v="0"/>
    <x v="0"/>
    <x v="1"/>
    <x v="38"/>
    <x v="1"/>
  </r>
  <r>
    <n v="175"/>
    <x v="11"/>
    <x v="11"/>
    <x v="11"/>
    <x v="23"/>
    <x v="0"/>
    <x v="0"/>
    <x v="7"/>
    <x v="0"/>
    <x v="5"/>
    <x v="157"/>
    <x v="176"/>
    <x v="0"/>
    <x v="0"/>
    <x v="0"/>
    <x v="0"/>
    <x v="23"/>
    <x v="0"/>
  </r>
  <r>
    <n v="175"/>
    <x v="11"/>
    <x v="11"/>
    <x v="11"/>
    <x v="25"/>
    <x v="1"/>
    <x v="0"/>
    <x v="7"/>
    <x v="0"/>
    <x v="5"/>
    <x v="158"/>
    <x v="181"/>
    <x v="0"/>
    <x v="0"/>
    <x v="0"/>
    <x v="0"/>
    <x v="25"/>
    <x v="0"/>
  </r>
  <r>
    <n v="175"/>
    <x v="11"/>
    <x v="11"/>
    <x v="11"/>
    <x v="26"/>
    <x v="0"/>
    <x v="0"/>
    <x v="7"/>
    <x v="0"/>
    <x v="6"/>
    <x v="13"/>
    <x v="182"/>
    <x v="0"/>
    <x v="0"/>
    <x v="0"/>
    <x v="0"/>
    <x v="26"/>
    <x v="0"/>
  </r>
  <r>
    <n v="175"/>
    <x v="11"/>
    <x v="11"/>
    <x v="11"/>
    <x v="27"/>
    <x v="0"/>
    <x v="0"/>
    <x v="7"/>
    <x v="0"/>
    <x v="6"/>
    <x v="71"/>
    <x v="89"/>
    <x v="0"/>
    <x v="0"/>
    <x v="0"/>
    <x v="0"/>
    <x v="27"/>
    <x v="0"/>
  </r>
  <r>
    <n v="175"/>
    <x v="11"/>
    <x v="11"/>
    <x v="11"/>
    <x v="28"/>
    <x v="0"/>
    <x v="0"/>
    <x v="7"/>
    <x v="0"/>
    <x v="7"/>
    <x v="159"/>
    <x v="138"/>
    <x v="0"/>
    <x v="0"/>
    <x v="0"/>
    <x v="0"/>
    <x v="28"/>
    <x v="0"/>
  </r>
  <r>
    <n v="175"/>
    <x v="11"/>
    <x v="11"/>
    <x v="11"/>
    <x v="29"/>
    <x v="0"/>
    <x v="0"/>
    <x v="7"/>
    <x v="0"/>
    <x v="7"/>
    <x v="160"/>
    <x v="183"/>
    <x v="0"/>
    <x v="0"/>
    <x v="0"/>
    <x v="0"/>
    <x v="29"/>
    <x v="0"/>
  </r>
  <r>
    <n v="175"/>
    <x v="11"/>
    <x v="11"/>
    <x v="11"/>
    <x v="30"/>
    <x v="0"/>
    <x v="0"/>
    <x v="7"/>
    <x v="0"/>
    <x v="7"/>
    <x v="161"/>
    <x v="176"/>
    <x v="0"/>
    <x v="0"/>
    <x v="0"/>
    <x v="0"/>
    <x v="30"/>
    <x v="0"/>
  </r>
  <r>
    <n v="175"/>
    <x v="11"/>
    <x v="11"/>
    <x v="11"/>
    <x v="31"/>
    <x v="0"/>
    <x v="0"/>
    <x v="7"/>
    <x v="0"/>
    <x v="7"/>
    <x v="162"/>
    <x v="184"/>
    <x v="0"/>
    <x v="0"/>
    <x v="0"/>
    <x v="0"/>
    <x v="31"/>
    <x v="0"/>
  </r>
  <r>
    <n v="175"/>
    <x v="11"/>
    <x v="11"/>
    <x v="11"/>
    <x v="32"/>
    <x v="0"/>
    <x v="0"/>
    <x v="7"/>
    <x v="0"/>
    <x v="7"/>
    <x v="35"/>
    <x v="53"/>
    <x v="0"/>
    <x v="0"/>
    <x v="0"/>
    <x v="0"/>
    <x v="32"/>
    <x v="0"/>
  </r>
  <r>
    <n v="175"/>
    <x v="11"/>
    <x v="11"/>
    <x v="11"/>
    <x v="33"/>
    <x v="0"/>
    <x v="0"/>
    <x v="7"/>
    <x v="0"/>
    <x v="7"/>
    <x v="13"/>
    <x v="176"/>
    <x v="0"/>
    <x v="0"/>
    <x v="0"/>
    <x v="0"/>
    <x v="33"/>
    <x v="0"/>
  </r>
  <r>
    <n v="175"/>
    <x v="11"/>
    <x v="11"/>
    <x v="11"/>
    <x v="34"/>
    <x v="0"/>
    <x v="0"/>
    <x v="7"/>
    <x v="0"/>
    <x v="7"/>
    <x v="154"/>
    <x v="185"/>
    <x v="0"/>
    <x v="0"/>
    <x v="0"/>
    <x v="0"/>
    <x v="34"/>
    <x v="0"/>
  </r>
  <r>
    <n v="175"/>
    <x v="11"/>
    <x v="11"/>
    <x v="11"/>
    <x v="35"/>
    <x v="0"/>
    <x v="0"/>
    <x v="7"/>
    <x v="0"/>
    <x v="7"/>
    <x v="163"/>
    <x v="34"/>
    <x v="0"/>
    <x v="0"/>
    <x v="0"/>
    <x v="0"/>
    <x v="35"/>
    <x v="0"/>
  </r>
  <r>
    <n v="175"/>
    <x v="11"/>
    <x v="11"/>
    <x v="11"/>
    <x v="36"/>
    <x v="0"/>
    <x v="0"/>
    <x v="7"/>
    <x v="0"/>
    <x v="7"/>
    <x v="154"/>
    <x v="185"/>
    <x v="0"/>
    <x v="0"/>
    <x v="0"/>
    <x v="0"/>
    <x v="36"/>
    <x v="0"/>
  </r>
  <r>
    <n v="169"/>
    <x v="12"/>
    <x v="12"/>
    <x v="12"/>
    <x v="48"/>
    <x v="0"/>
    <x v="0"/>
    <x v="7"/>
    <x v="0"/>
    <x v="0"/>
    <x v="164"/>
    <x v="186"/>
    <x v="0"/>
    <x v="0"/>
    <x v="0"/>
    <x v="1"/>
    <x v="48"/>
    <x v="1"/>
  </r>
  <r>
    <n v="169"/>
    <x v="12"/>
    <x v="12"/>
    <x v="12"/>
    <x v="40"/>
    <x v="1"/>
    <x v="0"/>
    <x v="7"/>
    <x v="0"/>
    <x v="0"/>
    <x v="165"/>
    <x v="187"/>
    <x v="0"/>
    <x v="0"/>
    <x v="0"/>
    <x v="1"/>
    <x v="40"/>
    <x v="1"/>
  </r>
  <r>
    <n v="169"/>
    <x v="12"/>
    <x v="12"/>
    <x v="12"/>
    <x v="3"/>
    <x v="1"/>
    <x v="2"/>
    <x v="7"/>
    <x v="0"/>
    <x v="0"/>
    <x v="5"/>
    <x v="5"/>
    <x v="2"/>
    <x v="0"/>
    <x v="2"/>
    <x v="1"/>
    <x v="3"/>
    <x v="1"/>
  </r>
  <r>
    <n v="169"/>
    <x v="12"/>
    <x v="12"/>
    <x v="12"/>
    <x v="4"/>
    <x v="0"/>
    <x v="0"/>
    <x v="7"/>
    <x v="0"/>
    <x v="0"/>
    <x v="166"/>
    <x v="188"/>
    <x v="0"/>
    <x v="0"/>
    <x v="0"/>
    <x v="0"/>
    <x v="4"/>
    <x v="0"/>
  </r>
  <r>
    <n v="169"/>
    <x v="12"/>
    <x v="12"/>
    <x v="12"/>
    <x v="5"/>
    <x v="0"/>
    <x v="0"/>
    <x v="7"/>
    <x v="0"/>
    <x v="0"/>
    <x v="167"/>
    <x v="43"/>
    <x v="0"/>
    <x v="0"/>
    <x v="0"/>
    <x v="0"/>
    <x v="5"/>
    <x v="0"/>
  </r>
  <r>
    <n v="169"/>
    <x v="12"/>
    <x v="12"/>
    <x v="12"/>
    <x v="6"/>
    <x v="1"/>
    <x v="0"/>
    <x v="7"/>
    <x v="0"/>
    <x v="0"/>
    <x v="168"/>
    <x v="43"/>
    <x v="0"/>
    <x v="0"/>
    <x v="0"/>
    <x v="0"/>
    <x v="6"/>
    <x v="0"/>
  </r>
  <r>
    <n v="169"/>
    <x v="12"/>
    <x v="12"/>
    <x v="12"/>
    <x v="49"/>
    <x v="1"/>
    <x v="0"/>
    <x v="7"/>
    <x v="0"/>
    <x v="0"/>
    <x v="13"/>
    <x v="189"/>
    <x v="0"/>
    <x v="0"/>
    <x v="0"/>
    <x v="0"/>
    <x v="49"/>
    <x v="0"/>
  </r>
  <r>
    <n v="169"/>
    <x v="12"/>
    <x v="12"/>
    <x v="12"/>
    <x v="7"/>
    <x v="0"/>
    <x v="0"/>
    <x v="7"/>
    <x v="0"/>
    <x v="1"/>
    <x v="169"/>
    <x v="185"/>
    <x v="0"/>
    <x v="0"/>
    <x v="0"/>
    <x v="0"/>
    <x v="7"/>
    <x v="0"/>
  </r>
  <r>
    <n v="169"/>
    <x v="12"/>
    <x v="12"/>
    <x v="12"/>
    <x v="9"/>
    <x v="0"/>
    <x v="0"/>
    <x v="7"/>
    <x v="0"/>
    <x v="1"/>
    <x v="13"/>
    <x v="190"/>
    <x v="0"/>
    <x v="0"/>
    <x v="0"/>
    <x v="0"/>
    <x v="9"/>
    <x v="0"/>
  </r>
  <r>
    <n v="169"/>
    <x v="12"/>
    <x v="12"/>
    <x v="12"/>
    <x v="12"/>
    <x v="0"/>
    <x v="0"/>
    <x v="7"/>
    <x v="0"/>
    <x v="2"/>
    <x v="52"/>
    <x v="74"/>
    <x v="0"/>
    <x v="0"/>
    <x v="0"/>
    <x v="0"/>
    <x v="12"/>
    <x v="0"/>
  </r>
  <r>
    <n v="169"/>
    <x v="12"/>
    <x v="12"/>
    <x v="12"/>
    <x v="20"/>
    <x v="0"/>
    <x v="0"/>
    <x v="7"/>
    <x v="0"/>
    <x v="4"/>
    <x v="170"/>
    <x v="191"/>
    <x v="0"/>
    <x v="0"/>
    <x v="0"/>
    <x v="0"/>
    <x v="20"/>
    <x v="0"/>
  </r>
  <r>
    <n v="169"/>
    <x v="12"/>
    <x v="12"/>
    <x v="12"/>
    <x v="21"/>
    <x v="0"/>
    <x v="0"/>
    <x v="7"/>
    <x v="0"/>
    <x v="4"/>
    <x v="170"/>
    <x v="191"/>
    <x v="0"/>
    <x v="0"/>
    <x v="0"/>
    <x v="0"/>
    <x v="21"/>
    <x v="0"/>
  </r>
  <r>
    <n v="169"/>
    <x v="12"/>
    <x v="12"/>
    <x v="12"/>
    <x v="47"/>
    <x v="0"/>
    <x v="0"/>
    <x v="7"/>
    <x v="0"/>
    <x v="8"/>
    <x v="171"/>
    <x v="127"/>
    <x v="0"/>
    <x v="0"/>
    <x v="0"/>
    <x v="0"/>
    <x v="47"/>
    <x v="0"/>
  </r>
  <r>
    <n v="169"/>
    <x v="12"/>
    <x v="12"/>
    <x v="12"/>
    <x v="38"/>
    <x v="1"/>
    <x v="0"/>
    <x v="7"/>
    <x v="0"/>
    <x v="8"/>
    <x v="171"/>
    <x v="127"/>
    <x v="0"/>
    <x v="0"/>
    <x v="0"/>
    <x v="0"/>
    <x v="38"/>
    <x v="0"/>
  </r>
  <r>
    <n v="169"/>
    <x v="12"/>
    <x v="12"/>
    <x v="12"/>
    <x v="23"/>
    <x v="0"/>
    <x v="0"/>
    <x v="7"/>
    <x v="0"/>
    <x v="5"/>
    <x v="47"/>
    <x v="56"/>
    <x v="0"/>
    <x v="0"/>
    <x v="0"/>
    <x v="0"/>
    <x v="23"/>
    <x v="0"/>
  </r>
  <r>
    <n v="169"/>
    <x v="12"/>
    <x v="12"/>
    <x v="12"/>
    <x v="25"/>
    <x v="1"/>
    <x v="2"/>
    <x v="7"/>
    <x v="0"/>
    <x v="5"/>
    <x v="5"/>
    <x v="5"/>
    <x v="2"/>
    <x v="0"/>
    <x v="2"/>
    <x v="1"/>
    <x v="25"/>
    <x v="1"/>
  </r>
  <r>
    <n v="169"/>
    <x v="12"/>
    <x v="12"/>
    <x v="12"/>
    <x v="26"/>
    <x v="0"/>
    <x v="0"/>
    <x v="7"/>
    <x v="0"/>
    <x v="6"/>
    <x v="13"/>
    <x v="69"/>
    <x v="0"/>
    <x v="0"/>
    <x v="0"/>
    <x v="0"/>
    <x v="26"/>
    <x v="0"/>
  </r>
  <r>
    <n v="169"/>
    <x v="12"/>
    <x v="12"/>
    <x v="12"/>
    <x v="27"/>
    <x v="0"/>
    <x v="0"/>
    <x v="7"/>
    <x v="0"/>
    <x v="6"/>
    <x v="172"/>
    <x v="192"/>
    <x v="0"/>
    <x v="0"/>
    <x v="0"/>
    <x v="0"/>
    <x v="27"/>
    <x v="0"/>
  </r>
  <r>
    <n v="169"/>
    <x v="12"/>
    <x v="12"/>
    <x v="12"/>
    <x v="28"/>
    <x v="0"/>
    <x v="0"/>
    <x v="7"/>
    <x v="0"/>
    <x v="7"/>
    <x v="173"/>
    <x v="193"/>
    <x v="0"/>
    <x v="0"/>
    <x v="0"/>
    <x v="0"/>
    <x v="28"/>
    <x v="0"/>
  </r>
  <r>
    <n v="169"/>
    <x v="12"/>
    <x v="12"/>
    <x v="12"/>
    <x v="29"/>
    <x v="0"/>
    <x v="0"/>
    <x v="7"/>
    <x v="0"/>
    <x v="7"/>
    <x v="47"/>
    <x v="56"/>
    <x v="0"/>
    <x v="0"/>
    <x v="0"/>
    <x v="0"/>
    <x v="29"/>
    <x v="0"/>
  </r>
  <r>
    <n v="169"/>
    <x v="12"/>
    <x v="12"/>
    <x v="12"/>
    <x v="30"/>
    <x v="0"/>
    <x v="0"/>
    <x v="7"/>
    <x v="0"/>
    <x v="7"/>
    <x v="49"/>
    <x v="56"/>
    <x v="0"/>
    <x v="0"/>
    <x v="0"/>
    <x v="0"/>
    <x v="30"/>
    <x v="0"/>
  </r>
  <r>
    <n v="169"/>
    <x v="12"/>
    <x v="12"/>
    <x v="12"/>
    <x v="31"/>
    <x v="0"/>
    <x v="0"/>
    <x v="7"/>
    <x v="0"/>
    <x v="7"/>
    <x v="174"/>
    <x v="103"/>
    <x v="0"/>
    <x v="0"/>
    <x v="0"/>
    <x v="0"/>
    <x v="31"/>
    <x v="0"/>
  </r>
  <r>
    <n v="169"/>
    <x v="12"/>
    <x v="12"/>
    <x v="12"/>
    <x v="32"/>
    <x v="0"/>
    <x v="0"/>
    <x v="7"/>
    <x v="0"/>
    <x v="7"/>
    <x v="173"/>
    <x v="193"/>
    <x v="0"/>
    <x v="0"/>
    <x v="0"/>
    <x v="0"/>
    <x v="32"/>
    <x v="0"/>
  </r>
  <r>
    <n v="169"/>
    <x v="12"/>
    <x v="12"/>
    <x v="12"/>
    <x v="33"/>
    <x v="0"/>
    <x v="0"/>
    <x v="7"/>
    <x v="0"/>
    <x v="7"/>
    <x v="13"/>
    <x v="56"/>
    <x v="0"/>
    <x v="0"/>
    <x v="0"/>
    <x v="0"/>
    <x v="33"/>
    <x v="0"/>
  </r>
  <r>
    <n v="169"/>
    <x v="12"/>
    <x v="12"/>
    <x v="12"/>
    <x v="34"/>
    <x v="0"/>
    <x v="0"/>
    <x v="7"/>
    <x v="0"/>
    <x v="7"/>
    <x v="85"/>
    <x v="104"/>
    <x v="0"/>
    <x v="0"/>
    <x v="0"/>
    <x v="0"/>
    <x v="34"/>
    <x v="0"/>
  </r>
  <r>
    <n v="169"/>
    <x v="12"/>
    <x v="12"/>
    <x v="12"/>
    <x v="35"/>
    <x v="0"/>
    <x v="0"/>
    <x v="7"/>
    <x v="0"/>
    <x v="7"/>
    <x v="175"/>
    <x v="194"/>
    <x v="0"/>
    <x v="0"/>
    <x v="0"/>
    <x v="0"/>
    <x v="35"/>
    <x v="0"/>
  </r>
  <r>
    <n v="169"/>
    <x v="12"/>
    <x v="12"/>
    <x v="12"/>
    <x v="36"/>
    <x v="0"/>
    <x v="0"/>
    <x v="7"/>
    <x v="0"/>
    <x v="7"/>
    <x v="30"/>
    <x v="44"/>
    <x v="0"/>
    <x v="0"/>
    <x v="0"/>
    <x v="0"/>
    <x v="36"/>
    <x v="0"/>
  </r>
  <r>
    <n v="172"/>
    <x v="13"/>
    <x v="13"/>
    <x v="13"/>
    <x v="48"/>
    <x v="0"/>
    <x v="0"/>
    <x v="7"/>
    <x v="0"/>
    <x v="0"/>
    <x v="176"/>
    <x v="195"/>
    <x v="0"/>
    <x v="0"/>
    <x v="0"/>
    <x v="1"/>
    <x v="48"/>
    <x v="1"/>
  </r>
  <r>
    <n v="172"/>
    <x v="13"/>
    <x v="13"/>
    <x v="13"/>
    <x v="40"/>
    <x v="1"/>
    <x v="0"/>
    <x v="7"/>
    <x v="0"/>
    <x v="0"/>
    <x v="177"/>
    <x v="196"/>
    <x v="0"/>
    <x v="0"/>
    <x v="0"/>
    <x v="0"/>
    <x v="40"/>
    <x v="0"/>
  </r>
  <r>
    <n v="172"/>
    <x v="13"/>
    <x v="13"/>
    <x v="13"/>
    <x v="3"/>
    <x v="1"/>
    <x v="2"/>
    <x v="7"/>
    <x v="0"/>
    <x v="0"/>
    <x v="5"/>
    <x v="5"/>
    <x v="2"/>
    <x v="0"/>
    <x v="2"/>
    <x v="1"/>
    <x v="3"/>
    <x v="1"/>
  </r>
  <r>
    <n v="172"/>
    <x v="13"/>
    <x v="13"/>
    <x v="13"/>
    <x v="4"/>
    <x v="0"/>
    <x v="0"/>
    <x v="7"/>
    <x v="0"/>
    <x v="0"/>
    <x v="178"/>
    <x v="197"/>
    <x v="0"/>
    <x v="0"/>
    <x v="0"/>
    <x v="0"/>
    <x v="4"/>
    <x v="0"/>
  </r>
  <r>
    <n v="172"/>
    <x v="13"/>
    <x v="13"/>
    <x v="13"/>
    <x v="5"/>
    <x v="0"/>
    <x v="0"/>
    <x v="7"/>
    <x v="0"/>
    <x v="0"/>
    <x v="60"/>
    <x v="189"/>
    <x v="0"/>
    <x v="0"/>
    <x v="0"/>
    <x v="0"/>
    <x v="5"/>
    <x v="0"/>
  </r>
  <r>
    <n v="172"/>
    <x v="13"/>
    <x v="13"/>
    <x v="13"/>
    <x v="6"/>
    <x v="1"/>
    <x v="3"/>
    <x v="7"/>
    <x v="0"/>
    <x v="0"/>
    <x v="179"/>
    <x v="189"/>
    <x v="3"/>
    <x v="0"/>
    <x v="3"/>
    <x v="0"/>
    <x v="6"/>
    <x v="0"/>
  </r>
  <r>
    <n v="172"/>
    <x v="13"/>
    <x v="13"/>
    <x v="13"/>
    <x v="49"/>
    <x v="1"/>
    <x v="0"/>
    <x v="7"/>
    <x v="0"/>
    <x v="0"/>
    <x v="13"/>
    <x v="112"/>
    <x v="0"/>
    <x v="0"/>
    <x v="0"/>
    <x v="0"/>
    <x v="49"/>
    <x v="0"/>
  </r>
  <r>
    <n v="172"/>
    <x v="13"/>
    <x v="13"/>
    <x v="13"/>
    <x v="7"/>
    <x v="0"/>
    <x v="0"/>
    <x v="7"/>
    <x v="0"/>
    <x v="1"/>
    <x v="130"/>
    <x v="198"/>
    <x v="0"/>
    <x v="0"/>
    <x v="0"/>
    <x v="0"/>
    <x v="7"/>
    <x v="0"/>
  </r>
  <r>
    <n v="172"/>
    <x v="13"/>
    <x v="13"/>
    <x v="13"/>
    <x v="9"/>
    <x v="0"/>
    <x v="0"/>
    <x v="7"/>
    <x v="0"/>
    <x v="1"/>
    <x v="13"/>
    <x v="190"/>
    <x v="0"/>
    <x v="0"/>
    <x v="0"/>
    <x v="0"/>
    <x v="9"/>
    <x v="0"/>
  </r>
  <r>
    <n v="172"/>
    <x v="13"/>
    <x v="13"/>
    <x v="13"/>
    <x v="12"/>
    <x v="0"/>
    <x v="0"/>
    <x v="7"/>
    <x v="0"/>
    <x v="2"/>
    <x v="19"/>
    <x v="21"/>
    <x v="0"/>
    <x v="0"/>
    <x v="0"/>
    <x v="0"/>
    <x v="12"/>
    <x v="0"/>
  </r>
  <r>
    <n v="172"/>
    <x v="13"/>
    <x v="13"/>
    <x v="13"/>
    <x v="20"/>
    <x v="0"/>
    <x v="0"/>
    <x v="7"/>
    <x v="0"/>
    <x v="4"/>
    <x v="19"/>
    <x v="21"/>
    <x v="0"/>
    <x v="0"/>
    <x v="0"/>
    <x v="0"/>
    <x v="20"/>
    <x v="0"/>
  </r>
  <r>
    <n v="172"/>
    <x v="13"/>
    <x v="13"/>
    <x v="13"/>
    <x v="21"/>
    <x v="0"/>
    <x v="0"/>
    <x v="7"/>
    <x v="0"/>
    <x v="4"/>
    <x v="19"/>
    <x v="21"/>
    <x v="0"/>
    <x v="0"/>
    <x v="0"/>
    <x v="0"/>
    <x v="21"/>
    <x v="0"/>
  </r>
  <r>
    <n v="172"/>
    <x v="13"/>
    <x v="13"/>
    <x v="13"/>
    <x v="47"/>
    <x v="0"/>
    <x v="2"/>
    <x v="7"/>
    <x v="0"/>
    <x v="8"/>
    <x v="5"/>
    <x v="5"/>
    <x v="2"/>
    <x v="0"/>
    <x v="2"/>
    <x v="1"/>
    <x v="47"/>
    <x v="1"/>
  </r>
  <r>
    <n v="172"/>
    <x v="13"/>
    <x v="13"/>
    <x v="13"/>
    <x v="38"/>
    <x v="1"/>
    <x v="2"/>
    <x v="7"/>
    <x v="0"/>
    <x v="8"/>
    <x v="5"/>
    <x v="5"/>
    <x v="2"/>
    <x v="0"/>
    <x v="2"/>
    <x v="1"/>
    <x v="38"/>
    <x v="1"/>
  </r>
  <r>
    <n v="172"/>
    <x v="13"/>
    <x v="13"/>
    <x v="13"/>
    <x v="23"/>
    <x v="0"/>
    <x v="0"/>
    <x v="7"/>
    <x v="0"/>
    <x v="5"/>
    <x v="47"/>
    <x v="56"/>
    <x v="0"/>
    <x v="0"/>
    <x v="0"/>
    <x v="0"/>
    <x v="23"/>
    <x v="0"/>
  </r>
  <r>
    <n v="172"/>
    <x v="13"/>
    <x v="13"/>
    <x v="13"/>
    <x v="25"/>
    <x v="1"/>
    <x v="2"/>
    <x v="7"/>
    <x v="0"/>
    <x v="5"/>
    <x v="5"/>
    <x v="5"/>
    <x v="2"/>
    <x v="0"/>
    <x v="2"/>
    <x v="1"/>
    <x v="25"/>
    <x v="1"/>
  </r>
  <r>
    <n v="172"/>
    <x v="13"/>
    <x v="13"/>
    <x v="13"/>
    <x v="26"/>
    <x v="0"/>
    <x v="0"/>
    <x v="7"/>
    <x v="0"/>
    <x v="6"/>
    <x v="13"/>
    <x v="69"/>
    <x v="0"/>
    <x v="0"/>
    <x v="0"/>
    <x v="0"/>
    <x v="26"/>
    <x v="0"/>
  </r>
  <r>
    <n v="172"/>
    <x v="13"/>
    <x v="13"/>
    <x v="13"/>
    <x v="27"/>
    <x v="0"/>
    <x v="0"/>
    <x v="7"/>
    <x v="0"/>
    <x v="6"/>
    <x v="180"/>
    <x v="199"/>
    <x v="0"/>
    <x v="0"/>
    <x v="0"/>
    <x v="0"/>
    <x v="27"/>
    <x v="0"/>
  </r>
  <r>
    <n v="172"/>
    <x v="13"/>
    <x v="13"/>
    <x v="13"/>
    <x v="28"/>
    <x v="0"/>
    <x v="0"/>
    <x v="7"/>
    <x v="0"/>
    <x v="7"/>
    <x v="82"/>
    <x v="102"/>
    <x v="0"/>
    <x v="0"/>
    <x v="0"/>
    <x v="0"/>
    <x v="28"/>
    <x v="0"/>
  </r>
  <r>
    <n v="172"/>
    <x v="13"/>
    <x v="13"/>
    <x v="13"/>
    <x v="29"/>
    <x v="0"/>
    <x v="0"/>
    <x v="7"/>
    <x v="0"/>
    <x v="7"/>
    <x v="47"/>
    <x v="56"/>
    <x v="0"/>
    <x v="0"/>
    <x v="0"/>
    <x v="0"/>
    <x v="29"/>
    <x v="0"/>
  </r>
  <r>
    <n v="172"/>
    <x v="13"/>
    <x v="13"/>
    <x v="13"/>
    <x v="30"/>
    <x v="0"/>
    <x v="0"/>
    <x v="7"/>
    <x v="0"/>
    <x v="7"/>
    <x v="49"/>
    <x v="56"/>
    <x v="0"/>
    <x v="0"/>
    <x v="0"/>
    <x v="0"/>
    <x v="30"/>
    <x v="0"/>
  </r>
  <r>
    <n v="172"/>
    <x v="13"/>
    <x v="13"/>
    <x v="13"/>
    <x v="31"/>
    <x v="0"/>
    <x v="0"/>
    <x v="7"/>
    <x v="0"/>
    <x v="7"/>
    <x v="181"/>
    <x v="200"/>
    <x v="0"/>
    <x v="0"/>
    <x v="0"/>
    <x v="0"/>
    <x v="31"/>
    <x v="0"/>
  </r>
  <r>
    <n v="172"/>
    <x v="13"/>
    <x v="13"/>
    <x v="13"/>
    <x v="32"/>
    <x v="0"/>
    <x v="0"/>
    <x v="7"/>
    <x v="0"/>
    <x v="7"/>
    <x v="82"/>
    <x v="102"/>
    <x v="0"/>
    <x v="0"/>
    <x v="0"/>
    <x v="0"/>
    <x v="32"/>
    <x v="0"/>
  </r>
  <r>
    <n v="172"/>
    <x v="13"/>
    <x v="13"/>
    <x v="13"/>
    <x v="33"/>
    <x v="0"/>
    <x v="0"/>
    <x v="7"/>
    <x v="0"/>
    <x v="7"/>
    <x v="13"/>
    <x v="56"/>
    <x v="0"/>
    <x v="0"/>
    <x v="0"/>
    <x v="0"/>
    <x v="33"/>
    <x v="0"/>
  </r>
  <r>
    <n v="172"/>
    <x v="13"/>
    <x v="13"/>
    <x v="13"/>
    <x v="34"/>
    <x v="0"/>
    <x v="0"/>
    <x v="7"/>
    <x v="0"/>
    <x v="7"/>
    <x v="19"/>
    <x v="21"/>
    <x v="0"/>
    <x v="0"/>
    <x v="0"/>
    <x v="0"/>
    <x v="34"/>
    <x v="0"/>
  </r>
  <r>
    <n v="172"/>
    <x v="13"/>
    <x v="13"/>
    <x v="13"/>
    <x v="35"/>
    <x v="0"/>
    <x v="0"/>
    <x v="7"/>
    <x v="0"/>
    <x v="7"/>
    <x v="154"/>
    <x v="185"/>
    <x v="0"/>
    <x v="0"/>
    <x v="0"/>
    <x v="0"/>
    <x v="35"/>
    <x v="0"/>
  </r>
  <r>
    <n v="172"/>
    <x v="13"/>
    <x v="13"/>
    <x v="13"/>
    <x v="36"/>
    <x v="0"/>
    <x v="0"/>
    <x v="7"/>
    <x v="0"/>
    <x v="7"/>
    <x v="182"/>
    <x v="171"/>
    <x v="0"/>
    <x v="0"/>
    <x v="0"/>
    <x v="0"/>
    <x v="36"/>
    <x v="0"/>
  </r>
  <r>
    <n v="171"/>
    <x v="14"/>
    <x v="14"/>
    <x v="14"/>
    <x v="48"/>
    <x v="0"/>
    <x v="0"/>
    <x v="7"/>
    <x v="0"/>
    <x v="0"/>
    <x v="183"/>
    <x v="162"/>
    <x v="0"/>
    <x v="0"/>
    <x v="0"/>
    <x v="1"/>
    <x v="48"/>
    <x v="1"/>
  </r>
  <r>
    <n v="171"/>
    <x v="14"/>
    <x v="14"/>
    <x v="14"/>
    <x v="40"/>
    <x v="1"/>
    <x v="0"/>
    <x v="7"/>
    <x v="0"/>
    <x v="0"/>
    <x v="184"/>
    <x v="201"/>
    <x v="0"/>
    <x v="0"/>
    <x v="0"/>
    <x v="0"/>
    <x v="40"/>
    <x v="0"/>
  </r>
  <r>
    <n v="171"/>
    <x v="14"/>
    <x v="14"/>
    <x v="14"/>
    <x v="3"/>
    <x v="1"/>
    <x v="0"/>
    <x v="7"/>
    <x v="0"/>
    <x v="0"/>
    <x v="185"/>
    <x v="202"/>
    <x v="0"/>
    <x v="0"/>
    <x v="0"/>
    <x v="1"/>
    <x v="3"/>
    <x v="1"/>
  </r>
  <r>
    <n v="171"/>
    <x v="14"/>
    <x v="14"/>
    <x v="14"/>
    <x v="4"/>
    <x v="0"/>
    <x v="0"/>
    <x v="7"/>
    <x v="0"/>
    <x v="0"/>
    <x v="186"/>
    <x v="203"/>
    <x v="0"/>
    <x v="0"/>
    <x v="0"/>
    <x v="0"/>
    <x v="4"/>
    <x v="0"/>
  </r>
  <r>
    <n v="171"/>
    <x v="14"/>
    <x v="14"/>
    <x v="14"/>
    <x v="5"/>
    <x v="0"/>
    <x v="0"/>
    <x v="7"/>
    <x v="0"/>
    <x v="0"/>
    <x v="10"/>
    <x v="204"/>
    <x v="0"/>
    <x v="0"/>
    <x v="0"/>
    <x v="0"/>
    <x v="5"/>
    <x v="0"/>
  </r>
  <r>
    <n v="171"/>
    <x v="14"/>
    <x v="14"/>
    <x v="14"/>
    <x v="6"/>
    <x v="1"/>
    <x v="1"/>
    <x v="7"/>
    <x v="0"/>
    <x v="0"/>
    <x v="10"/>
    <x v="167"/>
    <x v="1"/>
    <x v="0"/>
    <x v="1"/>
    <x v="0"/>
    <x v="6"/>
    <x v="0"/>
  </r>
  <r>
    <n v="171"/>
    <x v="14"/>
    <x v="14"/>
    <x v="14"/>
    <x v="49"/>
    <x v="1"/>
    <x v="0"/>
    <x v="7"/>
    <x v="0"/>
    <x v="0"/>
    <x v="13"/>
    <x v="129"/>
    <x v="0"/>
    <x v="0"/>
    <x v="0"/>
    <x v="0"/>
    <x v="49"/>
    <x v="0"/>
  </r>
  <r>
    <n v="171"/>
    <x v="14"/>
    <x v="14"/>
    <x v="14"/>
    <x v="7"/>
    <x v="0"/>
    <x v="0"/>
    <x v="7"/>
    <x v="0"/>
    <x v="1"/>
    <x v="118"/>
    <x v="142"/>
    <x v="0"/>
    <x v="0"/>
    <x v="0"/>
    <x v="0"/>
    <x v="7"/>
    <x v="0"/>
  </r>
  <r>
    <n v="171"/>
    <x v="14"/>
    <x v="14"/>
    <x v="14"/>
    <x v="9"/>
    <x v="0"/>
    <x v="0"/>
    <x v="7"/>
    <x v="0"/>
    <x v="1"/>
    <x v="13"/>
    <x v="99"/>
    <x v="0"/>
    <x v="0"/>
    <x v="0"/>
    <x v="0"/>
    <x v="9"/>
    <x v="0"/>
  </r>
  <r>
    <n v="171"/>
    <x v="14"/>
    <x v="14"/>
    <x v="14"/>
    <x v="12"/>
    <x v="0"/>
    <x v="0"/>
    <x v="7"/>
    <x v="0"/>
    <x v="2"/>
    <x v="108"/>
    <x v="132"/>
    <x v="0"/>
    <x v="0"/>
    <x v="0"/>
    <x v="0"/>
    <x v="12"/>
    <x v="0"/>
  </r>
  <r>
    <n v="171"/>
    <x v="14"/>
    <x v="14"/>
    <x v="14"/>
    <x v="20"/>
    <x v="0"/>
    <x v="0"/>
    <x v="7"/>
    <x v="0"/>
    <x v="4"/>
    <x v="46"/>
    <x v="67"/>
    <x v="0"/>
    <x v="0"/>
    <x v="0"/>
    <x v="0"/>
    <x v="20"/>
    <x v="0"/>
  </r>
  <r>
    <n v="171"/>
    <x v="14"/>
    <x v="14"/>
    <x v="14"/>
    <x v="21"/>
    <x v="0"/>
    <x v="0"/>
    <x v="7"/>
    <x v="0"/>
    <x v="4"/>
    <x v="93"/>
    <x v="47"/>
    <x v="0"/>
    <x v="0"/>
    <x v="0"/>
    <x v="0"/>
    <x v="21"/>
    <x v="0"/>
  </r>
  <r>
    <n v="171"/>
    <x v="14"/>
    <x v="14"/>
    <x v="14"/>
    <x v="47"/>
    <x v="0"/>
    <x v="2"/>
    <x v="7"/>
    <x v="0"/>
    <x v="8"/>
    <x v="5"/>
    <x v="5"/>
    <x v="2"/>
    <x v="0"/>
    <x v="2"/>
    <x v="1"/>
    <x v="47"/>
    <x v="1"/>
  </r>
  <r>
    <n v="171"/>
    <x v="14"/>
    <x v="14"/>
    <x v="14"/>
    <x v="38"/>
    <x v="1"/>
    <x v="2"/>
    <x v="7"/>
    <x v="0"/>
    <x v="8"/>
    <x v="5"/>
    <x v="5"/>
    <x v="2"/>
    <x v="0"/>
    <x v="2"/>
    <x v="1"/>
    <x v="38"/>
    <x v="1"/>
  </r>
  <r>
    <n v="171"/>
    <x v="14"/>
    <x v="14"/>
    <x v="14"/>
    <x v="23"/>
    <x v="0"/>
    <x v="0"/>
    <x v="7"/>
    <x v="0"/>
    <x v="5"/>
    <x v="187"/>
    <x v="62"/>
    <x v="0"/>
    <x v="0"/>
    <x v="0"/>
    <x v="0"/>
    <x v="23"/>
    <x v="0"/>
  </r>
  <r>
    <n v="171"/>
    <x v="14"/>
    <x v="14"/>
    <x v="14"/>
    <x v="25"/>
    <x v="1"/>
    <x v="0"/>
    <x v="7"/>
    <x v="0"/>
    <x v="5"/>
    <x v="188"/>
    <x v="205"/>
    <x v="0"/>
    <x v="0"/>
    <x v="0"/>
    <x v="0"/>
    <x v="25"/>
    <x v="0"/>
  </r>
  <r>
    <n v="171"/>
    <x v="14"/>
    <x v="14"/>
    <x v="14"/>
    <x v="26"/>
    <x v="0"/>
    <x v="0"/>
    <x v="7"/>
    <x v="0"/>
    <x v="6"/>
    <x v="13"/>
    <x v="69"/>
    <x v="0"/>
    <x v="0"/>
    <x v="0"/>
    <x v="0"/>
    <x v="26"/>
    <x v="0"/>
  </r>
  <r>
    <n v="171"/>
    <x v="14"/>
    <x v="14"/>
    <x v="14"/>
    <x v="27"/>
    <x v="0"/>
    <x v="0"/>
    <x v="7"/>
    <x v="0"/>
    <x v="6"/>
    <x v="189"/>
    <x v="206"/>
    <x v="0"/>
    <x v="0"/>
    <x v="0"/>
    <x v="0"/>
    <x v="27"/>
    <x v="0"/>
  </r>
  <r>
    <n v="171"/>
    <x v="14"/>
    <x v="14"/>
    <x v="14"/>
    <x v="28"/>
    <x v="0"/>
    <x v="0"/>
    <x v="7"/>
    <x v="0"/>
    <x v="7"/>
    <x v="94"/>
    <x v="80"/>
    <x v="0"/>
    <x v="0"/>
    <x v="0"/>
    <x v="0"/>
    <x v="28"/>
    <x v="0"/>
  </r>
  <r>
    <n v="171"/>
    <x v="14"/>
    <x v="14"/>
    <x v="14"/>
    <x v="29"/>
    <x v="0"/>
    <x v="0"/>
    <x v="7"/>
    <x v="0"/>
    <x v="7"/>
    <x v="95"/>
    <x v="116"/>
    <x v="0"/>
    <x v="0"/>
    <x v="0"/>
    <x v="0"/>
    <x v="29"/>
    <x v="0"/>
  </r>
  <r>
    <n v="171"/>
    <x v="14"/>
    <x v="14"/>
    <x v="14"/>
    <x v="30"/>
    <x v="0"/>
    <x v="0"/>
    <x v="7"/>
    <x v="0"/>
    <x v="7"/>
    <x v="44"/>
    <x v="116"/>
    <x v="0"/>
    <x v="0"/>
    <x v="0"/>
    <x v="0"/>
    <x v="30"/>
    <x v="0"/>
  </r>
  <r>
    <n v="171"/>
    <x v="14"/>
    <x v="14"/>
    <x v="14"/>
    <x v="31"/>
    <x v="0"/>
    <x v="0"/>
    <x v="7"/>
    <x v="0"/>
    <x v="7"/>
    <x v="190"/>
    <x v="207"/>
    <x v="0"/>
    <x v="0"/>
    <x v="0"/>
    <x v="0"/>
    <x v="31"/>
    <x v="0"/>
  </r>
  <r>
    <n v="171"/>
    <x v="14"/>
    <x v="14"/>
    <x v="14"/>
    <x v="32"/>
    <x v="0"/>
    <x v="0"/>
    <x v="7"/>
    <x v="0"/>
    <x v="7"/>
    <x v="94"/>
    <x v="80"/>
    <x v="0"/>
    <x v="0"/>
    <x v="0"/>
    <x v="0"/>
    <x v="32"/>
    <x v="0"/>
  </r>
  <r>
    <n v="171"/>
    <x v="14"/>
    <x v="14"/>
    <x v="14"/>
    <x v="33"/>
    <x v="0"/>
    <x v="0"/>
    <x v="7"/>
    <x v="0"/>
    <x v="7"/>
    <x v="13"/>
    <x v="116"/>
    <x v="0"/>
    <x v="0"/>
    <x v="0"/>
    <x v="0"/>
    <x v="33"/>
    <x v="0"/>
  </r>
  <r>
    <n v="171"/>
    <x v="14"/>
    <x v="14"/>
    <x v="14"/>
    <x v="34"/>
    <x v="0"/>
    <x v="0"/>
    <x v="7"/>
    <x v="0"/>
    <x v="7"/>
    <x v="108"/>
    <x v="132"/>
    <x v="0"/>
    <x v="0"/>
    <x v="0"/>
    <x v="0"/>
    <x v="34"/>
    <x v="0"/>
  </r>
  <r>
    <n v="171"/>
    <x v="14"/>
    <x v="14"/>
    <x v="14"/>
    <x v="35"/>
    <x v="0"/>
    <x v="0"/>
    <x v="7"/>
    <x v="0"/>
    <x v="7"/>
    <x v="148"/>
    <x v="171"/>
    <x v="0"/>
    <x v="0"/>
    <x v="0"/>
    <x v="0"/>
    <x v="35"/>
    <x v="0"/>
  </r>
  <r>
    <n v="171"/>
    <x v="14"/>
    <x v="14"/>
    <x v="14"/>
    <x v="36"/>
    <x v="0"/>
    <x v="0"/>
    <x v="7"/>
    <x v="0"/>
    <x v="7"/>
    <x v="108"/>
    <x v="132"/>
    <x v="0"/>
    <x v="0"/>
    <x v="0"/>
    <x v="0"/>
    <x v="36"/>
    <x v="0"/>
  </r>
  <r>
    <n v="174"/>
    <x v="15"/>
    <x v="15"/>
    <x v="15"/>
    <x v="48"/>
    <x v="0"/>
    <x v="0"/>
    <x v="7"/>
    <x v="0"/>
    <x v="0"/>
    <x v="191"/>
    <x v="66"/>
    <x v="0"/>
    <x v="0"/>
    <x v="0"/>
    <x v="1"/>
    <x v="48"/>
    <x v="1"/>
  </r>
  <r>
    <n v="174"/>
    <x v="15"/>
    <x v="15"/>
    <x v="15"/>
    <x v="40"/>
    <x v="1"/>
    <x v="0"/>
    <x v="7"/>
    <x v="0"/>
    <x v="0"/>
    <x v="192"/>
    <x v="56"/>
    <x v="0"/>
    <x v="0"/>
    <x v="0"/>
    <x v="0"/>
    <x v="40"/>
    <x v="0"/>
  </r>
  <r>
    <n v="174"/>
    <x v="15"/>
    <x v="15"/>
    <x v="15"/>
    <x v="3"/>
    <x v="1"/>
    <x v="2"/>
    <x v="7"/>
    <x v="0"/>
    <x v="0"/>
    <x v="5"/>
    <x v="5"/>
    <x v="2"/>
    <x v="0"/>
    <x v="2"/>
    <x v="1"/>
    <x v="3"/>
    <x v="1"/>
  </r>
  <r>
    <n v="174"/>
    <x v="15"/>
    <x v="15"/>
    <x v="15"/>
    <x v="4"/>
    <x v="0"/>
    <x v="0"/>
    <x v="7"/>
    <x v="0"/>
    <x v="0"/>
    <x v="193"/>
    <x v="208"/>
    <x v="0"/>
    <x v="0"/>
    <x v="0"/>
    <x v="0"/>
    <x v="4"/>
    <x v="0"/>
  </r>
  <r>
    <n v="174"/>
    <x v="15"/>
    <x v="15"/>
    <x v="15"/>
    <x v="5"/>
    <x v="0"/>
    <x v="0"/>
    <x v="7"/>
    <x v="0"/>
    <x v="0"/>
    <x v="194"/>
    <x v="209"/>
    <x v="0"/>
    <x v="0"/>
    <x v="0"/>
    <x v="0"/>
    <x v="5"/>
    <x v="0"/>
  </r>
  <r>
    <n v="174"/>
    <x v="15"/>
    <x v="15"/>
    <x v="15"/>
    <x v="6"/>
    <x v="1"/>
    <x v="2"/>
    <x v="7"/>
    <x v="0"/>
    <x v="0"/>
    <x v="5"/>
    <x v="5"/>
    <x v="2"/>
    <x v="0"/>
    <x v="2"/>
    <x v="1"/>
    <x v="6"/>
    <x v="1"/>
  </r>
  <r>
    <n v="174"/>
    <x v="15"/>
    <x v="15"/>
    <x v="15"/>
    <x v="49"/>
    <x v="1"/>
    <x v="2"/>
    <x v="7"/>
    <x v="0"/>
    <x v="0"/>
    <x v="5"/>
    <x v="5"/>
    <x v="2"/>
    <x v="0"/>
    <x v="2"/>
    <x v="1"/>
    <x v="49"/>
    <x v="1"/>
  </r>
  <r>
    <n v="174"/>
    <x v="15"/>
    <x v="15"/>
    <x v="15"/>
    <x v="7"/>
    <x v="0"/>
    <x v="0"/>
    <x v="7"/>
    <x v="0"/>
    <x v="1"/>
    <x v="195"/>
    <x v="72"/>
    <x v="0"/>
    <x v="0"/>
    <x v="0"/>
    <x v="0"/>
    <x v="7"/>
    <x v="0"/>
  </r>
  <r>
    <n v="174"/>
    <x v="15"/>
    <x v="15"/>
    <x v="15"/>
    <x v="9"/>
    <x v="0"/>
    <x v="0"/>
    <x v="7"/>
    <x v="0"/>
    <x v="1"/>
    <x v="13"/>
    <x v="210"/>
    <x v="0"/>
    <x v="0"/>
    <x v="0"/>
    <x v="0"/>
    <x v="9"/>
    <x v="0"/>
  </r>
  <r>
    <n v="174"/>
    <x v="15"/>
    <x v="15"/>
    <x v="15"/>
    <x v="12"/>
    <x v="0"/>
    <x v="0"/>
    <x v="7"/>
    <x v="0"/>
    <x v="2"/>
    <x v="52"/>
    <x v="74"/>
    <x v="0"/>
    <x v="0"/>
    <x v="0"/>
    <x v="0"/>
    <x v="12"/>
    <x v="0"/>
  </r>
  <r>
    <n v="174"/>
    <x v="15"/>
    <x v="15"/>
    <x v="15"/>
    <x v="20"/>
    <x v="0"/>
    <x v="0"/>
    <x v="7"/>
    <x v="0"/>
    <x v="4"/>
    <x v="196"/>
    <x v="211"/>
    <x v="0"/>
    <x v="0"/>
    <x v="0"/>
    <x v="0"/>
    <x v="20"/>
    <x v="0"/>
  </r>
  <r>
    <n v="174"/>
    <x v="15"/>
    <x v="15"/>
    <x v="15"/>
    <x v="21"/>
    <x v="0"/>
    <x v="0"/>
    <x v="7"/>
    <x v="0"/>
    <x v="4"/>
    <x v="25"/>
    <x v="39"/>
    <x v="0"/>
    <x v="0"/>
    <x v="0"/>
    <x v="0"/>
    <x v="21"/>
    <x v="0"/>
  </r>
  <r>
    <n v="174"/>
    <x v="15"/>
    <x v="15"/>
    <x v="15"/>
    <x v="47"/>
    <x v="0"/>
    <x v="0"/>
    <x v="7"/>
    <x v="0"/>
    <x v="8"/>
    <x v="197"/>
    <x v="212"/>
    <x v="0"/>
    <x v="0"/>
    <x v="0"/>
    <x v="0"/>
    <x v="47"/>
    <x v="0"/>
  </r>
  <r>
    <n v="174"/>
    <x v="15"/>
    <x v="15"/>
    <x v="15"/>
    <x v="38"/>
    <x v="1"/>
    <x v="2"/>
    <x v="7"/>
    <x v="0"/>
    <x v="8"/>
    <x v="5"/>
    <x v="5"/>
    <x v="2"/>
    <x v="0"/>
    <x v="2"/>
    <x v="1"/>
    <x v="38"/>
    <x v="1"/>
  </r>
  <r>
    <n v="174"/>
    <x v="15"/>
    <x v="15"/>
    <x v="15"/>
    <x v="23"/>
    <x v="0"/>
    <x v="0"/>
    <x v="7"/>
    <x v="0"/>
    <x v="5"/>
    <x v="81"/>
    <x v="73"/>
    <x v="0"/>
    <x v="0"/>
    <x v="0"/>
    <x v="0"/>
    <x v="23"/>
    <x v="0"/>
  </r>
  <r>
    <n v="174"/>
    <x v="15"/>
    <x v="15"/>
    <x v="15"/>
    <x v="25"/>
    <x v="1"/>
    <x v="2"/>
    <x v="7"/>
    <x v="0"/>
    <x v="5"/>
    <x v="5"/>
    <x v="5"/>
    <x v="2"/>
    <x v="0"/>
    <x v="2"/>
    <x v="1"/>
    <x v="25"/>
    <x v="1"/>
  </r>
  <r>
    <n v="174"/>
    <x v="15"/>
    <x v="15"/>
    <x v="15"/>
    <x v="26"/>
    <x v="0"/>
    <x v="0"/>
    <x v="7"/>
    <x v="0"/>
    <x v="6"/>
    <x v="13"/>
    <x v="115"/>
    <x v="0"/>
    <x v="0"/>
    <x v="0"/>
    <x v="0"/>
    <x v="26"/>
    <x v="0"/>
  </r>
  <r>
    <n v="174"/>
    <x v="15"/>
    <x v="15"/>
    <x v="15"/>
    <x v="27"/>
    <x v="0"/>
    <x v="0"/>
    <x v="7"/>
    <x v="0"/>
    <x v="6"/>
    <x v="198"/>
    <x v="213"/>
    <x v="0"/>
    <x v="0"/>
    <x v="0"/>
    <x v="0"/>
    <x v="27"/>
    <x v="0"/>
  </r>
  <r>
    <n v="174"/>
    <x v="15"/>
    <x v="15"/>
    <x v="15"/>
    <x v="28"/>
    <x v="0"/>
    <x v="0"/>
    <x v="7"/>
    <x v="0"/>
    <x v="7"/>
    <x v="163"/>
    <x v="34"/>
    <x v="0"/>
    <x v="0"/>
    <x v="0"/>
    <x v="0"/>
    <x v="28"/>
    <x v="0"/>
  </r>
  <r>
    <n v="174"/>
    <x v="15"/>
    <x v="15"/>
    <x v="15"/>
    <x v="29"/>
    <x v="0"/>
    <x v="0"/>
    <x v="7"/>
    <x v="0"/>
    <x v="7"/>
    <x v="81"/>
    <x v="73"/>
    <x v="0"/>
    <x v="0"/>
    <x v="0"/>
    <x v="0"/>
    <x v="29"/>
    <x v="0"/>
  </r>
  <r>
    <n v="174"/>
    <x v="15"/>
    <x v="15"/>
    <x v="15"/>
    <x v="30"/>
    <x v="0"/>
    <x v="0"/>
    <x v="7"/>
    <x v="0"/>
    <x v="7"/>
    <x v="83"/>
    <x v="73"/>
    <x v="0"/>
    <x v="0"/>
    <x v="0"/>
    <x v="0"/>
    <x v="30"/>
    <x v="0"/>
  </r>
  <r>
    <n v="174"/>
    <x v="15"/>
    <x v="15"/>
    <x v="15"/>
    <x v="31"/>
    <x v="0"/>
    <x v="0"/>
    <x v="7"/>
    <x v="0"/>
    <x v="7"/>
    <x v="104"/>
    <x v="42"/>
    <x v="0"/>
    <x v="0"/>
    <x v="0"/>
    <x v="0"/>
    <x v="31"/>
    <x v="0"/>
  </r>
  <r>
    <n v="174"/>
    <x v="15"/>
    <x v="15"/>
    <x v="15"/>
    <x v="32"/>
    <x v="0"/>
    <x v="0"/>
    <x v="7"/>
    <x v="0"/>
    <x v="7"/>
    <x v="154"/>
    <x v="185"/>
    <x v="0"/>
    <x v="0"/>
    <x v="0"/>
    <x v="0"/>
    <x v="32"/>
    <x v="0"/>
  </r>
  <r>
    <n v="174"/>
    <x v="15"/>
    <x v="15"/>
    <x v="15"/>
    <x v="33"/>
    <x v="0"/>
    <x v="0"/>
    <x v="7"/>
    <x v="0"/>
    <x v="7"/>
    <x v="13"/>
    <x v="73"/>
    <x v="0"/>
    <x v="0"/>
    <x v="0"/>
    <x v="0"/>
    <x v="33"/>
    <x v="0"/>
  </r>
  <r>
    <n v="174"/>
    <x v="15"/>
    <x v="15"/>
    <x v="15"/>
    <x v="34"/>
    <x v="0"/>
    <x v="0"/>
    <x v="7"/>
    <x v="0"/>
    <x v="7"/>
    <x v="52"/>
    <x v="74"/>
    <x v="0"/>
    <x v="0"/>
    <x v="0"/>
    <x v="0"/>
    <x v="34"/>
    <x v="0"/>
  </r>
  <r>
    <n v="174"/>
    <x v="15"/>
    <x v="15"/>
    <x v="15"/>
    <x v="35"/>
    <x v="0"/>
    <x v="0"/>
    <x v="7"/>
    <x v="0"/>
    <x v="7"/>
    <x v="137"/>
    <x v="161"/>
    <x v="0"/>
    <x v="0"/>
    <x v="0"/>
    <x v="0"/>
    <x v="35"/>
    <x v="0"/>
  </r>
  <r>
    <n v="174"/>
    <x v="15"/>
    <x v="15"/>
    <x v="15"/>
    <x v="36"/>
    <x v="0"/>
    <x v="0"/>
    <x v="7"/>
    <x v="0"/>
    <x v="7"/>
    <x v="137"/>
    <x v="161"/>
    <x v="0"/>
    <x v="0"/>
    <x v="0"/>
    <x v="0"/>
    <x v="36"/>
    <x v="0"/>
  </r>
  <r>
    <n v="244"/>
    <x v="16"/>
    <x v="16"/>
    <x v="16"/>
    <x v="50"/>
    <x v="0"/>
    <x v="0"/>
    <x v="8"/>
    <x v="0"/>
    <x v="0"/>
    <x v="171"/>
    <x v="214"/>
    <x v="0"/>
    <x v="0"/>
    <x v="0"/>
    <x v="0"/>
    <x v="50"/>
    <x v="0"/>
  </r>
  <r>
    <n v="244"/>
    <x v="16"/>
    <x v="16"/>
    <x v="16"/>
    <x v="40"/>
    <x v="0"/>
    <x v="0"/>
    <x v="8"/>
    <x v="0"/>
    <x v="0"/>
    <x v="171"/>
    <x v="214"/>
    <x v="0"/>
    <x v="0"/>
    <x v="0"/>
    <x v="0"/>
    <x v="40"/>
    <x v="0"/>
  </r>
  <r>
    <n v="244"/>
    <x v="16"/>
    <x v="16"/>
    <x v="16"/>
    <x v="3"/>
    <x v="1"/>
    <x v="2"/>
    <x v="8"/>
    <x v="0"/>
    <x v="0"/>
    <x v="5"/>
    <x v="5"/>
    <x v="2"/>
    <x v="0"/>
    <x v="2"/>
    <x v="1"/>
    <x v="3"/>
    <x v="1"/>
  </r>
  <r>
    <n v="244"/>
    <x v="16"/>
    <x v="16"/>
    <x v="16"/>
    <x v="4"/>
    <x v="0"/>
    <x v="0"/>
    <x v="8"/>
    <x v="0"/>
    <x v="0"/>
    <x v="199"/>
    <x v="215"/>
    <x v="0"/>
    <x v="0"/>
    <x v="0"/>
    <x v="0"/>
    <x v="4"/>
    <x v="0"/>
  </r>
  <r>
    <n v="244"/>
    <x v="16"/>
    <x v="16"/>
    <x v="16"/>
    <x v="5"/>
    <x v="0"/>
    <x v="0"/>
    <x v="8"/>
    <x v="0"/>
    <x v="0"/>
    <x v="10"/>
    <x v="216"/>
    <x v="0"/>
    <x v="0"/>
    <x v="0"/>
    <x v="0"/>
    <x v="5"/>
    <x v="0"/>
  </r>
  <r>
    <n v="244"/>
    <x v="16"/>
    <x v="16"/>
    <x v="16"/>
    <x v="6"/>
    <x v="1"/>
    <x v="2"/>
    <x v="8"/>
    <x v="0"/>
    <x v="0"/>
    <x v="5"/>
    <x v="5"/>
    <x v="2"/>
    <x v="0"/>
    <x v="2"/>
    <x v="1"/>
    <x v="6"/>
    <x v="1"/>
  </r>
  <r>
    <n v="244"/>
    <x v="16"/>
    <x v="16"/>
    <x v="16"/>
    <x v="7"/>
    <x v="0"/>
    <x v="0"/>
    <x v="8"/>
    <x v="0"/>
    <x v="1"/>
    <x v="1"/>
    <x v="217"/>
    <x v="0"/>
    <x v="0"/>
    <x v="0"/>
    <x v="0"/>
    <x v="7"/>
    <x v="0"/>
  </r>
  <r>
    <n v="244"/>
    <x v="16"/>
    <x v="16"/>
    <x v="16"/>
    <x v="23"/>
    <x v="0"/>
    <x v="0"/>
    <x v="8"/>
    <x v="0"/>
    <x v="5"/>
    <x v="200"/>
    <x v="218"/>
    <x v="0"/>
    <x v="0"/>
    <x v="0"/>
    <x v="0"/>
    <x v="23"/>
    <x v="0"/>
  </r>
  <r>
    <n v="244"/>
    <x v="16"/>
    <x v="16"/>
    <x v="16"/>
    <x v="26"/>
    <x v="0"/>
    <x v="0"/>
    <x v="8"/>
    <x v="0"/>
    <x v="6"/>
    <x v="13"/>
    <x v="50"/>
    <x v="0"/>
    <x v="0"/>
    <x v="0"/>
    <x v="0"/>
    <x v="26"/>
    <x v="0"/>
  </r>
  <r>
    <n v="244"/>
    <x v="16"/>
    <x v="16"/>
    <x v="16"/>
    <x v="27"/>
    <x v="0"/>
    <x v="0"/>
    <x v="8"/>
    <x v="0"/>
    <x v="6"/>
    <x v="30"/>
    <x v="44"/>
    <x v="0"/>
    <x v="0"/>
    <x v="0"/>
    <x v="0"/>
    <x v="27"/>
    <x v="0"/>
  </r>
  <r>
    <n v="244"/>
    <x v="16"/>
    <x v="16"/>
    <x v="16"/>
    <x v="28"/>
    <x v="0"/>
    <x v="0"/>
    <x v="8"/>
    <x v="0"/>
    <x v="7"/>
    <x v="201"/>
    <x v="219"/>
    <x v="0"/>
    <x v="0"/>
    <x v="0"/>
    <x v="0"/>
    <x v="28"/>
    <x v="0"/>
  </r>
  <r>
    <n v="244"/>
    <x v="16"/>
    <x v="16"/>
    <x v="16"/>
    <x v="29"/>
    <x v="0"/>
    <x v="0"/>
    <x v="8"/>
    <x v="0"/>
    <x v="7"/>
    <x v="200"/>
    <x v="218"/>
    <x v="0"/>
    <x v="0"/>
    <x v="0"/>
    <x v="0"/>
    <x v="29"/>
    <x v="0"/>
  </r>
  <r>
    <n v="244"/>
    <x v="16"/>
    <x v="16"/>
    <x v="16"/>
    <x v="30"/>
    <x v="0"/>
    <x v="0"/>
    <x v="8"/>
    <x v="0"/>
    <x v="7"/>
    <x v="202"/>
    <x v="218"/>
    <x v="0"/>
    <x v="0"/>
    <x v="0"/>
    <x v="0"/>
    <x v="30"/>
    <x v="0"/>
  </r>
  <r>
    <n v="244"/>
    <x v="16"/>
    <x v="16"/>
    <x v="16"/>
    <x v="31"/>
    <x v="0"/>
    <x v="0"/>
    <x v="8"/>
    <x v="0"/>
    <x v="7"/>
    <x v="203"/>
    <x v="220"/>
    <x v="0"/>
    <x v="0"/>
    <x v="0"/>
    <x v="0"/>
    <x v="31"/>
    <x v="0"/>
  </r>
  <r>
    <n v="244"/>
    <x v="16"/>
    <x v="16"/>
    <x v="16"/>
    <x v="32"/>
    <x v="0"/>
    <x v="0"/>
    <x v="8"/>
    <x v="0"/>
    <x v="7"/>
    <x v="201"/>
    <x v="219"/>
    <x v="0"/>
    <x v="0"/>
    <x v="0"/>
    <x v="0"/>
    <x v="32"/>
    <x v="0"/>
  </r>
  <r>
    <n v="244"/>
    <x v="16"/>
    <x v="16"/>
    <x v="16"/>
    <x v="33"/>
    <x v="0"/>
    <x v="0"/>
    <x v="8"/>
    <x v="0"/>
    <x v="7"/>
    <x v="13"/>
    <x v="221"/>
    <x v="0"/>
    <x v="0"/>
    <x v="0"/>
    <x v="0"/>
    <x v="33"/>
    <x v="0"/>
  </r>
  <r>
    <n v="244"/>
    <x v="16"/>
    <x v="16"/>
    <x v="16"/>
    <x v="34"/>
    <x v="0"/>
    <x v="0"/>
    <x v="8"/>
    <x v="0"/>
    <x v="7"/>
    <x v="105"/>
    <x v="126"/>
    <x v="0"/>
    <x v="0"/>
    <x v="0"/>
    <x v="0"/>
    <x v="34"/>
    <x v="0"/>
  </r>
  <r>
    <n v="244"/>
    <x v="16"/>
    <x v="16"/>
    <x v="16"/>
    <x v="35"/>
    <x v="0"/>
    <x v="0"/>
    <x v="8"/>
    <x v="0"/>
    <x v="7"/>
    <x v="204"/>
    <x v="218"/>
    <x v="0"/>
    <x v="0"/>
    <x v="0"/>
    <x v="0"/>
    <x v="35"/>
    <x v="0"/>
  </r>
  <r>
    <n v="244"/>
    <x v="16"/>
    <x v="16"/>
    <x v="16"/>
    <x v="36"/>
    <x v="0"/>
    <x v="0"/>
    <x v="8"/>
    <x v="0"/>
    <x v="7"/>
    <x v="105"/>
    <x v="126"/>
    <x v="0"/>
    <x v="0"/>
    <x v="0"/>
    <x v="0"/>
    <x v="36"/>
    <x v="0"/>
  </r>
  <r>
    <n v="150"/>
    <x v="17"/>
    <x v="17"/>
    <x v="17"/>
    <x v="0"/>
    <x v="0"/>
    <x v="0"/>
    <x v="0"/>
    <x v="0"/>
    <x v="0"/>
    <x v="205"/>
    <x v="222"/>
    <x v="0"/>
    <x v="0"/>
    <x v="0"/>
    <x v="0"/>
    <x v="0"/>
    <x v="0"/>
  </r>
  <r>
    <n v="150"/>
    <x v="17"/>
    <x v="17"/>
    <x v="17"/>
    <x v="1"/>
    <x v="0"/>
    <x v="0"/>
    <x v="0"/>
    <x v="0"/>
    <x v="0"/>
    <x v="205"/>
    <x v="222"/>
    <x v="0"/>
    <x v="0"/>
    <x v="0"/>
    <x v="0"/>
    <x v="1"/>
    <x v="0"/>
  </r>
  <r>
    <n v="150"/>
    <x v="17"/>
    <x v="17"/>
    <x v="17"/>
    <x v="2"/>
    <x v="0"/>
    <x v="0"/>
    <x v="0"/>
    <x v="0"/>
    <x v="0"/>
    <x v="206"/>
    <x v="223"/>
    <x v="0"/>
    <x v="0"/>
    <x v="0"/>
    <x v="0"/>
    <x v="2"/>
    <x v="0"/>
  </r>
  <r>
    <n v="150"/>
    <x v="17"/>
    <x v="17"/>
    <x v="17"/>
    <x v="3"/>
    <x v="1"/>
    <x v="0"/>
    <x v="0"/>
    <x v="0"/>
    <x v="0"/>
    <x v="207"/>
    <x v="224"/>
    <x v="0"/>
    <x v="0"/>
    <x v="0"/>
    <x v="1"/>
    <x v="3"/>
    <x v="1"/>
  </r>
  <r>
    <n v="150"/>
    <x v="17"/>
    <x v="17"/>
    <x v="17"/>
    <x v="4"/>
    <x v="0"/>
    <x v="0"/>
    <x v="0"/>
    <x v="0"/>
    <x v="0"/>
    <x v="208"/>
    <x v="155"/>
    <x v="0"/>
    <x v="0"/>
    <x v="0"/>
    <x v="0"/>
    <x v="4"/>
    <x v="0"/>
  </r>
  <r>
    <n v="150"/>
    <x v="17"/>
    <x v="17"/>
    <x v="17"/>
    <x v="5"/>
    <x v="0"/>
    <x v="0"/>
    <x v="0"/>
    <x v="0"/>
    <x v="0"/>
    <x v="209"/>
    <x v="225"/>
    <x v="0"/>
    <x v="0"/>
    <x v="0"/>
    <x v="0"/>
    <x v="5"/>
    <x v="0"/>
  </r>
  <r>
    <n v="150"/>
    <x v="17"/>
    <x v="17"/>
    <x v="17"/>
    <x v="6"/>
    <x v="1"/>
    <x v="2"/>
    <x v="0"/>
    <x v="0"/>
    <x v="0"/>
    <x v="5"/>
    <x v="5"/>
    <x v="2"/>
    <x v="0"/>
    <x v="2"/>
    <x v="1"/>
    <x v="6"/>
    <x v="1"/>
  </r>
  <r>
    <n v="150"/>
    <x v="17"/>
    <x v="17"/>
    <x v="17"/>
    <x v="7"/>
    <x v="0"/>
    <x v="0"/>
    <x v="0"/>
    <x v="0"/>
    <x v="1"/>
    <x v="210"/>
    <x v="226"/>
    <x v="0"/>
    <x v="0"/>
    <x v="0"/>
    <x v="0"/>
    <x v="7"/>
    <x v="0"/>
  </r>
  <r>
    <n v="150"/>
    <x v="17"/>
    <x v="17"/>
    <x v="17"/>
    <x v="8"/>
    <x v="0"/>
    <x v="0"/>
    <x v="0"/>
    <x v="0"/>
    <x v="1"/>
    <x v="13"/>
    <x v="227"/>
    <x v="0"/>
    <x v="0"/>
    <x v="0"/>
    <x v="0"/>
    <x v="8"/>
    <x v="0"/>
  </r>
  <r>
    <n v="150"/>
    <x v="17"/>
    <x v="17"/>
    <x v="17"/>
    <x v="9"/>
    <x v="0"/>
    <x v="0"/>
    <x v="0"/>
    <x v="0"/>
    <x v="1"/>
    <x v="13"/>
    <x v="183"/>
    <x v="0"/>
    <x v="0"/>
    <x v="0"/>
    <x v="0"/>
    <x v="9"/>
    <x v="0"/>
  </r>
  <r>
    <n v="150"/>
    <x v="17"/>
    <x v="17"/>
    <x v="17"/>
    <x v="10"/>
    <x v="0"/>
    <x v="0"/>
    <x v="0"/>
    <x v="0"/>
    <x v="1"/>
    <x v="211"/>
    <x v="228"/>
    <x v="0"/>
    <x v="0"/>
    <x v="0"/>
    <x v="0"/>
    <x v="10"/>
    <x v="0"/>
  </r>
  <r>
    <n v="150"/>
    <x v="17"/>
    <x v="17"/>
    <x v="17"/>
    <x v="11"/>
    <x v="0"/>
    <x v="0"/>
    <x v="0"/>
    <x v="0"/>
    <x v="2"/>
    <x v="76"/>
    <x v="94"/>
    <x v="0"/>
    <x v="0"/>
    <x v="0"/>
    <x v="0"/>
    <x v="11"/>
    <x v="0"/>
  </r>
  <r>
    <n v="150"/>
    <x v="17"/>
    <x v="17"/>
    <x v="17"/>
    <x v="12"/>
    <x v="0"/>
    <x v="0"/>
    <x v="0"/>
    <x v="0"/>
    <x v="2"/>
    <x v="80"/>
    <x v="101"/>
    <x v="0"/>
    <x v="0"/>
    <x v="0"/>
    <x v="0"/>
    <x v="12"/>
    <x v="0"/>
  </r>
  <r>
    <n v="150"/>
    <x v="17"/>
    <x v="17"/>
    <x v="17"/>
    <x v="13"/>
    <x v="0"/>
    <x v="0"/>
    <x v="0"/>
    <x v="0"/>
    <x v="3"/>
    <x v="13"/>
    <x v="229"/>
    <x v="0"/>
    <x v="0"/>
    <x v="0"/>
    <x v="0"/>
    <x v="13"/>
    <x v="0"/>
  </r>
  <r>
    <n v="150"/>
    <x v="17"/>
    <x v="17"/>
    <x v="17"/>
    <x v="14"/>
    <x v="0"/>
    <x v="0"/>
    <x v="0"/>
    <x v="0"/>
    <x v="3"/>
    <x v="13"/>
    <x v="230"/>
    <x v="0"/>
    <x v="0"/>
    <x v="0"/>
    <x v="0"/>
    <x v="14"/>
    <x v="0"/>
  </r>
  <r>
    <n v="150"/>
    <x v="17"/>
    <x v="17"/>
    <x v="17"/>
    <x v="15"/>
    <x v="0"/>
    <x v="0"/>
    <x v="0"/>
    <x v="0"/>
    <x v="3"/>
    <x v="13"/>
    <x v="231"/>
    <x v="0"/>
    <x v="0"/>
    <x v="0"/>
    <x v="0"/>
    <x v="15"/>
    <x v="0"/>
  </r>
  <r>
    <n v="150"/>
    <x v="17"/>
    <x v="17"/>
    <x v="17"/>
    <x v="16"/>
    <x v="0"/>
    <x v="0"/>
    <x v="0"/>
    <x v="0"/>
    <x v="3"/>
    <x v="13"/>
    <x v="183"/>
    <x v="0"/>
    <x v="0"/>
    <x v="0"/>
    <x v="0"/>
    <x v="16"/>
    <x v="0"/>
  </r>
  <r>
    <n v="150"/>
    <x v="17"/>
    <x v="17"/>
    <x v="17"/>
    <x v="17"/>
    <x v="0"/>
    <x v="0"/>
    <x v="0"/>
    <x v="0"/>
    <x v="3"/>
    <x v="13"/>
    <x v="183"/>
    <x v="0"/>
    <x v="0"/>
    <x v="0"/>
    <x v="0"/>
    <x v="17"/>
    <x v="0"/>
  </r>
  <r>
    <n v="150"/>
    <x v="17"/>
    <x v="17"/>
    <x v="17"/>
    <x v="18"/>
    <x v="0"/>
    <x v="0"/>
    <x v="0"/>
    <x v="0"/>
    <x v="3"/>
    <x v="13"/>
    <x v="232"/>
    <x v="0"/>
    <x v="0"/>
    <x v="0"/>
    <x v="0"/>
    <x v="18"/>
    <x v="0"/>
  </r>
  <r>
    <n v="150"/>
    <x v="17"/>
    <x v="17"/>
    <x v="17"/>
    <x v="19"/>
    <x v="0"/>
    <x v="0"/>
    <x v="0"/>
    <x v="0"/>
    <x v="3"/>
    <x v="212"/>
    <x v="183"/>
    <x v="0"/>
    <x v="0"/>
    <x v="0"/>
    <x v="0"/>
    <x v="19"/>
    <x v="0"/>
  </r>
  <r>
    <n v="150"/>
    <x v="17"/>
    <x v="17"/>
    <x v="17"/>
    <x v="20"/>
    <x v="0"/>
    <x v="0"/>
    <x v="0"/>
    <x v="0"/>
    <x v="4"/>
    <x v="213"/>
    <x v="233"/>
    <x v="0"/>
    <x v="0"/>
    <x v="0"/>
    <x v="0"/>
    <x v="20"/>
    <x v="0"/>
  </r>
  <r>
    <n v="150"/>
    <x v="17"/>
    <x v="17"/>
    <x v="17"/>
    <x v="21"/>
    <x v="0"/>
    <x v="0"/>
    <x v="0"/>
    <x v="0"/>
    <x v="4"/>
    <x v="214"/>
    <x v="234"/>
    <x v="0"/>
    <x v="0"/>
    <x v="0"/>
    <x v="0"/>
    <x v="21"/>
    <x v="0"/>
  </r>
  <r>
    <n v="150"/>
    <x v="17"/>
    <x v="17"/>
    <x v="17"/>
    <x v="22"/>
    <x v="0"/>
    <x v="0"/>
    <x v="0"/>
    <x v="0"/>
    <x v="4"/>
    <x v="13"/>
    <x v="50"/>
    <x v="0"/>
    <x v="0"/>
    <x v="0"/>
    <x v="0"/>
    <x v="22"/>
    <x v="0"/>
  </r>
  <r>
    <n v="150"/>
    <x v="17"/>
    <x v="17"/>
    <x v="17"/>
    <x v="23"/>
    <x v="0"/>
    <x v="0"/>
    <x v="0"/>
    <x v="0"/>
    <x v="5"/>
    <x v="215"/>
    <x v="235"/>
    <x v="0"/>
    <x v="0"/>
    <x v="0"/>
    <x v="0"/>
    <x v="23"/>
    <x v="0"/>
  </r>
  <r>
    <n v="150"/>
    <x v="17"/>
    <x v="17"/>
    <x v="17"/>
    <x v="24"/>
    <x v="0"/>
    <x v="0"/>
    <x v="0"/>
    <x v="0"/>
    <x v="5"/>
    <x v="216"/>
    <x v="236"/>
    <x v="0"/>
    <x v="0"/>
    <x v="0"/>
    <x v="0"/>
    <x v="24"/>
    <x v="0"/>
  </r>
  <r>
    <n v="150"/>
    <x v="17"/>
    <x v="17"/>
    <x v="17"/>
    <x v="25"/>
    <x v="0"/>
    <x v="0"/>
    <x v="0"/>
    <x v="0"/>
    <x v="5"/>
    <x v="216"/>
    <x v="236"/>
    <x v="0"/>
    <x v="0"/>
    <x v="0"/>
    <x v="0"/>
    <x v="25"/>
    <x v="0"/>
  </r>
  <r>
    <n v="150"/>
    <x v="17"/>
    <x v="17"/>
    <x v="17"/>
    <x v="26"/>
    <x v="0"/>
    <x v="0"/>
    <x v="0"/>
    <x v="0"/>
    <x v="6"/>
    <x v="13"/>
    <x v="237"/>
    <x v="0"/>
    <x v="0"/>
    <x v="0"/>
    <x v="0"/>
    <x v="26"/>
    <x v="0"/>
  </r>
  <r>
    <n v="150"/>
    <x v="17"/>
    <x v="17"/>
    <x v="17"/>
    <x v="27"/>
    <x v="0"/>
    <x v="0"/>
    <x v="0"/>
    <x v="0"/>
    <x v="6"/>
    <x v="217"/>
    <x v="238"/>
    <x v="0"/>
    <x v="0"/>
    <x v="0"/>
    <x v="0"/>
    <x v="27"/>
    <x v="0"/>
  </r>
  <r>
    <n v="150"/>
    <x v="17"/>
    <x v="17"/>
    <x v="17"/>
    <x v="28"/>
    <x v="0"/>
    <x v="0"/>
    <x v="0"/>
    <x v="0"/>
    <x v="7"/>
    <x v="218"/>
    <x v="239"/>
    <x v="0"/>
    <x v="0"/>
    <x v="0"/>
    <x v="0"/>
    <x v="28"/>
    <x v="0"/>
  </r>
  <r>
    <n v="150"/>
    <x v="17"/>
    <x v="17"/>
    <x v="17"/>
    <x v="29"/>
    <x v="0"/>
    <x v="0"/>
    <x v="0"/>
    <x v="0"/>
    <x v="7"/>
    <x v="215"/>
    <x v="235"/>
    <x v="0"/>
    <x v="0"/>
    <x v="0"/>
    <x v="0"/>
    <x v="29"/>
    <x v="0"/>
  </r>
  <r>
    <n v="150"/>
    <x v="17"/>
    <x v="17"/>
    <x v="17"/>
    <x v="30"/>
    <x v="0"/>
    <x v="0"/>
    <x v="0"/>
    <x v="0"/>
    <x v="7"/>
    <x v="219"/>
    <x v="240"/>
    <x v="0"/>
    <x v="0"/>
    <x v="0"/>
    <x v="0"/>
    <x v="30"/>
    <x v="0"/>
  </r>
  <r>
    <n v="150"/>
    <x v="17"/>
    <x v="17"/>
    <x v="17"/>
    <x v="31"/>
    <x v="0"/>
    <x v="0"/>
    <x v="0"/>
    <x v="0"/>
    <x v="7"/>
    <x v="220"/>
    <x v="91"/>
    <x v="0"/>
    <x v="0"/>
    <x v="0"/>
    <x v="0"/>
    <x v="31"/>
    <x v="0"/>
  </r>
  <r>
    <n v="150"/>
    <x v="17"/>
    <x v="17"/>
    <x v="17"/>
    <x v="32"/>
    <x v="0"/>
    <x v="0"/>
    <x v="0"/>
    <x v="0"/>
    <x v="7"/>
    <x v="218"/>
    <x v="239"/>
    <x v="0"/>
    <x v="0"/>
    <x v="0"/>
    <x v="0"/>
    <x v="32"/>
    <x v="0"/>
  </r>
  <r>
    <n v="150"/>
    <x v="17"/>
    <x v="17"/>
    <x v="17"/>
    <x v="33"/>
    <x v="0"/>
    <x v="0"/>
    <x v="0"/>
    <x v="0"/>
    <x v="7"/>
    <x v="13"/>
    <x v="235"/>
    <x v="0"/>
    <x v="0"/>
    <x v="0"/>
    <x v="0"/>
    <x v="33"/>
    <x v="0"/>
  </r>
  <r>
    <n v="150"/>
    <x v="17"/>
    <x v="17"/>
    <x v="17"/>
    <x v="34"/>
    <x v="0"/>
    <x v="0"/>
    <x v="0"/>
    <x v="0"/>
    <x v="7"/>
    <x v="221"/>
    <x v="241"/>
    <x v="0"/>
    <x v="0"/>
    <x v="0"/>
    <x v="0"/>
    <x v="34"/>
    <x v="0"/>
  </r>
  <r>
    <n v="150"/>
    <x v="17"/>
    <x v="17"/>
    <x v="17"/>
    <x v="35"/>
    <x v="0"/>
    <x v="0"/>
    <x v="0"/>
    <x v="0"/>
    <x v="7"/>
    <x v="218"/>
    <x v="239"/>
    <x v="0"/>
    <x v="0"/>
    <x v="0"/>
    <x v="0"/>
    <x v="35"/>
    <x v="0"/>
  </r>
  <r>
    <n v="150"/>
    <x v="17"/>
    <x v="17"/>
    <x v="17"/>
    <x v="36"/>
    <x v="0"/>
    <x v="0"/>
    <x v="0"/>
    <x v="0"/>
    <x v="7"/>
    <x v="222"/>
    <x v="94"/>
    <x v="0"/>
    <x v="0"/>
    <x v="0"/>
    <x v="0"/>
    <x v="36"/>
    <x v="0"/>
  </r>
  <r>
    <n v="149"/>
    <x v="18"/>
    <x v="18"/>
    <x v="18"/>
    <x v="0"/>
    <x v="0"/>
    <x v="0"/>
    <x v="0"/>
    <x v="0"/>
    <x v="0"/>
    <x v="223"/>
    <x v="242"/>
    <x v="0"/>
    <x v="0"/>
    <x v="0"/>
    <x v="0"/>
    <x v="0"/>
    <x v="0"/>
  </r>
  <r>
    <n v="149"/>
    <x v="18"/>
    <x v="18"/>
    <x v="18"/>
    <x v="1"/>
    <x v="0"/>
    <x v="0"/>
    <x v="0"/>
    <x v="0"/>
    <x v="0"/>
    <x v="223"/>
    <x v="242"/>
    <x v="0"/>
    <x v="0"/>
    <x v="0"/>
    <x v="0"/>
    <x v="1"/>
    <x v="0"/>
  </r>
  <r>
    <n v="149"/>
    <x v="18"/>
    <x v="18"/>
    <x v="18"/>
    <x v="2"/>
    <x v="0"/>
    <x v="3"/>
    <x v="0"/>
    <x v="0"/>
    <x v="0"/>
    <x v="224"/>
    <x v="243"/>
    <x v="3"/>
    <x v="0"/>
    <x v="3"/>
    <x v="0"/>
    <x v="2"/>
    <x v="0"/>
  </r>
  <r>
    <n v="149"/>
    <x v="18"/>
    <x v="18"/>
    <x v="18"/>
    <x v="3"/>
    <x v="1"/>
    <x v="1"/>
    <x v="0"/>
    <x v="0"/>
    <x v="0"/>
    <x v="225"/>
    <x v="4"/>
    <x v="1"/>
    <x v="0"/>
    <x v="1"/>
    <x v="1"/>
    <x v="3"/>
    <x v="1"/>
  </r>
  <r>
    <n v="149"/>
    <x v="18"/>
    <x v="18"/>
    <x v="18"/>
    <x v="4"/>
    <x v="0"/>
    <x v="0"/>
    <x v="0"/>
    <x v="0"/>
    <x v="0"/>
    <x v="226"/>
    <x v="244"/>
    <x v="0"/>
    <x v="0"/>
    <x v="0"/>
    <x v="0"/>
    <x v="4"/>
    <x v="0"/>
  </r>
  <r>
    <n v="149"/>
    <x v="18"/>
    <x v="18"/>
    <x v="18"/>
    <x v="5"/>
    <x v="0"/>
    <x v="0"/>
    <x v="0"/>
    <x v="0"/>
    <x v="0"/>
    <x v="227"/>
    <x v="245"/>
    <x v="0"/>
    <x v="0"/>
    <x v="0"/>
    <x v="0"/>
    <x v="5"/>
    <x v="0"/>
  </r>
  <r>
    <n v="149"/>
    <x v="18"/>
    <x v="18"/>
    <x v="18"/>
    <x v="6"/>
    <x v="1"/>
    <x v="2"/>
    <x v="0"/>
    <x v="0"/>
    <x v="0"/>
    <x v="5"/>
    <x v="5"/>
    <x v="2"/>
    <x v="0"/>
    <x v="2"/>
    <x v="1"/>
    <x v="6"/>
    <x v="1"/>
  </r>
  <r>
    <n v="149"/>
    <x v="18"/>
    <x v="18"/>
    <x v="18"/>
    <x v="7"/>
    <x v="0"/>
    <x v="0"/>
    <x v="0"/>
    <x v="0"/>
    <x v="1"/>
    <x v="228"/>
    <x v="162"/>
    <x v="0"/>
    <x v="0"/>
    <x v="0"/>
    <x v="0"/>
    <x v="7"/>
    <x v="0"/>
  </r>
  <r>
    <n v="149"/>
    <x v="18"/>
    <x v="18"/>
    <x v="18"/>
    <x v="8"/>
    <x v="0"/>
    <x v="0"/>
    <x v="0"/>
    <x v="0"/>
    <x v="1"/>
    <x v="13"/>
    <x v="190"/>
    <x v="0"/>
    <x v="0"/>
    <x v="0"/>
    <x v="0"/>
    <x v="8"/>
    <x v="0"/>
  </r>
  <r>
    <n v="149"/>
    <x v="18"/>
    <x v="18"/>
    <x v="18"/>
    <x v="9"/>
    <x v="0"/>
    <x v="0"/>
    <x v="0"/>
    <x v="0"/>
    <x v="1"/>
    <x v="13"/>
    <x v="23"/>
    <x v="0"/>
    <x v="0"/>
    <x v="0"/>
    <x v="0"/>
    <x v="9"/>
    <x v="0"/>
  </r>
  <r>
    <n v="149"/>
    <x v="18"/>
    <x v="18"/>
    <x v="18"/>
    <x v="10"/>
    <x v="0"/>
    <x v="0"/>
    <x v="0"/>
    <x v="0"/>
    <x v="1"/>
    <x v="137"/>
    <x v="161"/>
    <x v="0"/>
    <x v="0"/>
    <x v="0"/>
    <x v="0"/>
    <x v="10"/>
    <x v="0"/>
  </r>
  <r>
    <n v="149"/>
    <x v="18"/>
    <x v="18"/>
    <x v="18"/>
    <x v="11"/>
    <x v="0"/>
    <x v="0"/>
    <x v="0"/>
    <x v="0"/>
    <x v="2"/>
    <x v="105"/>
    <x v="126"/>
    <x v="0"/>
    <x v="0"/>
    <x v="0"/>
    <x v="0"/>
    <x v="11"/>
    <x v="0"/>
  </r>
  <r>
    <n v="149"/>
    <x v="18"/>
    <x v="18"/>
    <x v="18"/>
    <x v="12"/>
    <x v="0"/>
    <x v="0"/>
    <x v="0"/>
    <x v="0"/>
    <x v="2"/>
    <x v="229"/>
    <x v="246"/>
    <x v="0"/>
    <x v="0"/>
    <x v="0"/>
    <x v="0"/>
    <x v="12"/>
    <x v="0"/>
  </r>
  <r>
    <n v="149"/>
    <x v="18"/>
    <x v="18"/>
    <x v="18"/>
    <x v="13"/>
    <x v="0"/>
    <x v="0"/>
    <x v="0"/>
    <x v="0"/>
    <x v="3"/>
    <x v="13"/>
    <x v="247"/>
    <x v="0"/>
    <x v="0"/>
    <x v="0"/>
    <x v="0"/>
    <x v="13"/>
    <x v="0"/>
  </r>
  <r>
    <n v="149"/>
    <x v="18"/>
    <x v="18"/>
    <x v="18"/>
    <x v="14"/>
    <x v="0"/>
    <x v="0"/>
    <x v="0"/>
    <x v="0"/>
    <x v="3"/>
    <x v="13"/>
    <x v="25"/>
    <x v="0"/>
    <x v="0"/>
    <x v="0"/>
    <x v="0"/>
    <x v="14"/>
    <x v="0"/>
  </r>
  <r>
    <n v="149"/>
    <x v="18"/>
    <x v="18"/>
    <x v="18"/>
    <x v="15"/>
    <x v="0"/>
    <x v="0"/>
    <x v="0"/>
    <x v="0"/>
    <x v="3"/>
    <x v="13"/>
    <x v="27"/>
    <x v="0"/>
    <x v="0"/>
    <x v="0"/>
    <x v="0"/>
    <x v="15"/>
    <x v="0"/>
  </r>
  <r>
    <n v="149"/>
    <x v="18"/>
    <x v="18"/>
    <x v="18"/>
    <x v="16"/>
    <x v="0"/>
    <x v="0"/>
    <x v="0"/>
    <x v="0"/>
    <x v="3"/>
    <x v="13"/>
    <x v="46"/>
    <x v="0"/>
    <x v="0"/>
    <x v="0"/>
    <x v="0"/>
    <x v="16"/>
    <x v="0"/>
  </r>
  <r>
    <n v="149"/>
    <x v="18"/>
    <x v="18"/>
    <x v="18"/>
    <x v="17"/>
    <x v="0"/>
    <x v="0"/>
    <x v="0"/>
    <x v="0"/>
    <x v="3"/>
    <x v="13"/>
    <x v="248"/>
    <x v="0"/>
    <x v="0"/>
    <x v="0"/>
    <x v="0"/>
    <x v="17"/>
    <x v="0"/>
  </r>
  <r>
    <n v="149"/>
    <x v="18"/>
    <x v="18"/>
    <x v="18"/>
    <x v="18"/>
    <x v="0"/>
    <x v="0"/>
    <x v="0"/>
    <x v="0"/>
    <x v="3"/>
    <x v="13"/>
    <x v="249"/>
    <x v="0"/>
    <x v="0"/>
    <x v="0"/>
    <x v="0"/>
    <x v="18"/>
    <x v="0"/>
  </r>
  <r>
    <n v="149"/>
    <x v="18"/>
    <x v="18"/>
    <x v="18"/>
    <x v="19"/>
    <x v="0"/>
    <x v="0"/>
    <x v="0"/>
    <x v="0"/>
    <x v="3"/>
    <x v="230"/>
    <x v="250"/>
    <x v="0"/>
    <x v="0"/>
    <x v="0"/>
    <x v="0"/>
    <x v="19"/>
    <x v="0"/>
  </r>
  <r>
    <n v="149"/>
    <x v="18"/>
    <x v="18"/>
    <x v="18"/>
    <x v="20"/>
    <x v="0"/>
    <x v="0"/>
    <x v="0"/>
    <x v="0"/>
    <x v="4"/>
    <x v="231"/>
    <x v="251"/>
    <x v="0"/>
    <x v="0"/>
    <x v="0"/>
    <x v="0"/>
    <x v="20"/>
    <x v="0"/>
  </r>
  <r>
    <n v="149"/>
    <x v="18"/>
    <x v="18"/>
    <x v="18"/>
    <x v="21"/>
    <x v="0"/>
    <x v="0"/>
    <x v="0"/>
    <x v="0"/>
    <x v="4"/>
    <x v="231"/>
    <x v="251"/>
    <x v="0"/>
    <x v="0"/>
    <x v="0"/>
    <x v="0"/>
    <x v="21"/>
    <x v="0"/>
  </r>
  <r>
    <n v="149"/>
    <x v="18"/>
    <x v="18"/>
    <x v="18"/>
    <x v="22"/>
    <x v="0"/>
    <x v="0"/>
    <x v="0"/>
    <x v="0"/>
    <x v="4"/>
    <x v="13"/>
    <x v="252"/>
    <x v="0"/>
    <x v="0"/>
    <x v="0"/>
    <x v="0"/>
    <x v="22"/>
    <x v="0"/>
  </r>
  <r>
    <n v="149"/>
    <x v="18"/>
    <x v="18"/>
    <x v="18"/>
    <x v="23"/>
    <x v="0"/>
    <x v="0"/>
    <x v="0"/>
    <x v="0"/>
    <x v="5"/>
    <x v="132"/>
    <x v="157"/>
    <x v="0"/>
    <x v="0"/>
    <x v="0"/>
    <x v="0"/>
    <x v="23"/>
    <x v="0"/>
  </r>
  <r>
    <n v="149"/>
    <x v="18"/>
    <x v="18"/>
    <x v="18"/>
    <x v="24"/>
    <x v="0"/>
    <x v="0"/>
    <x v="0"/>
    <x v="0"/>
    <x v="5"/>
    <x v="232"/>
    <x v="253"/>
    <x v="0"/>
    <x v="0"/>
    <x v="0"/>
    <x v="0"/>
    <x v="24"/>
    <x v="0"/>
  </r>
  <r>
    <n v="149"/>
    <x v="18"/>
    <x v="18"/>
    <x v="18"/>
    <x v="25"/>
    <x v="0"/>
    <x v="0"/>
    <x v="0"/>
    <x v="0"/>
    <x v="5"/>
    <x v="232"/>
    <x v="253"/>
    <x v="0"/>
    <x v="0"/>
    <x v="0"/>
    <x v="0"/>
    <x v="25"/>
    <x v="0"/>
  </r>
  <r>
    <n v="149"/>
    <x v="18"/>
    <x v="18"/>
    <x v="18"/>
    <x v="26"/>
    <x v="0"/>
    <x v="0"/>
    <x v="0"/>
    <x v="0"/>
    <x v="6"/>
    <x v="13"/>
    <x v="51"/>
    <x v="0"/>
    <x v="0"/>
    <x v="0"/>
    <x v="0"/>
    <x v="26"/>
    <x v="0"/>
  </r>
  <r>
    <n v="149"/>
    <x v="18"/>
    <x v="18"/>
    <x v="18"/>
    <x v="27"/>
    <x v="0"/>
    <x v="0"/>
    <x v="0"/>
    <x v="0"/>
    <x v="6"/>
    <x v="233"/>
    <x v="254"/>
    <x v="0"/>
    <x v="0"/>
    <x v="0"/>
    <x v="0"/>
    <x v="27"/>
    <x v="0"/>
  </r>
  <r>
    <n v="149"/>
    <x v="18"/>
    <x v="18"/>
    <x v="18"/>
    <x v="28"/>
    <x v="0"/>
    <x v="0"/>
    <x v="0"/>
    <x v="0"/>
    <x v="7"/>
    <x v="209"/>
    <x v="255"/>
    <x v="0"/>
    <x v="0"/>
    <x v="0"/>
    <x v="0"/>
    <x v="28"/>
    <x v="0"/>
  </r>
  <r>
    <n v="149"/>
    <x v="18"/>
    <x v="18"/>
    <x v="18"/>
    <x v="29"/>
    <x v="0"/>
    <x v="0"/>
    <x v="0"/>
    <x v="0"/>
    <x v="7"/>
    <x v="32"/>
    <x v="49"/>
    <x v="0"/>
    <x v="0"/>
    <x v="0"/>
    <x v="0"/>
    <x v="29"/>
    <x v="0"/>
  </r>
  <r>
    <n v="149"/>
    <x v="18"/>
    <x v="18"/>
    <x v="18"/>
    <x v="30"/>
    <x v="0"/>
    <x v="0"/>
    <x v="0"/>
    <x v="0"/>
    <x v="7"/>
    <x v="36"/>
    <x v="49"/>
    <x v="0"/>
    <x v="0"/>
    <x v="0"/>
    <x v="0"/>
    <x v="30"/>
    <x v="0"/>
  </r>
  <r>
    <n v="149"/>
    <x v="18"/>
    <x v="18"/>
    <x v="18"/>
    <x v="31"/>
    <x v="0"/>
    <x v="1"/>
    <x v="0"/>
    <x v="0"/>
    <x v="7"/>
    <x v="6"/>
    <x v="256"/>
    <x v="1"/>
    <x v="0"/>
    <x v="1"/>
    <x v="0"/>
    <x v="31"/>
    <x v="0"/>
  </r>
  <r>
    <n v="149"/>
    <x v="18"/>
    <x v="18"/>
    <x v="18"/>
    <x v="32"/>
    <x v="0"/>
    <x v="0"/>
    <x v="0"/>
    <x v="0"/>
    <x v="7"/>
    <x v="209"/>
    <x v="255"/>
    <x v="0"/>
    <x v="0"/>
    <x v="0"/>
    <x v="0"/>
    <x v="32"/>
    <x v="0"/>
  </r>
  <r>
    <n v="149"/>
    <x v="18"/>
    <x v="18"/>
    <x v="18"/>
    <x v="33"/>
    <x v="0"/>
    <x v="0"/>
    <x v="0"/>
    <x v="0"/>
    <x v="7"/>
    <x v="13"/>
    <x v="101"/>
    <x v="0"/>
    <x v="0"/>
    <x v="0"/>
    <x v="0"/>
    <x v="33"/>
    <x v="0"/>
  </r>
  <r>
    <n v="149"/>
    <x v="18"/>
    <x v="18"/>
    <x v="18"/>
    <x v="34"/>
    <x v="0"/>
    <x v="0"/>
    <x v="0"/>
    <x v="0"/>
    <x v="7"/>
    <x v="234"/>
    <x v="257"/>
    <x v="0"/>
    <x v="0"/>
    <x v="0"/>
    <x v="0"/>
    <x v="34"/>
    <x v="0"/>
  </r>
  <r>
    <n v="149"/>
    <x v="18"/>
    <x v="18"/>
    <x v="18"/>
    <x v="35"/>
    <x v="0"/>
    <x v="0"/>
    <x v="0"/>
    <x v="0"/>
    <x v="7"/>
    <x v="234"/>
    <x v="257"/>
    <x v="0"/>
    <x v="0"/>
    <x v="0"/>
    <x v="0"/>
    <x v="35"/>
    <x v="0"/>
  </r>
  <r>
    <n v="149"/>
    <x v="18"/>
    <x v="18"/>
    <x v="18"/>
    <x v="36"/>
    <x v="0"/>
    <x v="0"/>
    <x v="0"/>
    <x v="0"/>
    <x v="7"/>
    <x v="235"/>
    <x v="258"/>
    <x v="0"/>
    <x v="0"/>
    <x v="0"/>
    <x v="0"/>
    <x v="36"/>
    <x v="0"/>
  </r>
  <r>
    <n v="155"/>
    <x v="19"/>
    <x v="19"/>
    <x v="19"/>
    <x v="37"/>
    <x v="0"/>
    <x v="1"/>
    <x v="1"/>
    <x v="0"/>
    <x v="0"/>
    <x v="236"/>
    <x v="259"/>
    <x v="1"/>
    <x v="0"/>
    <x v="1"/>
    <x v="1"/>
    <x v="37"/>
    <x v="1"/>
  </r>
  <r>
    <n v="155"/>
    <x v="19"/>
    <x v="19"/>
    <x v="19"/>
    <x v="1"/>
    <x v="0"/>
    <x v="0"/>
    <x v="1"/>
    <x v="0"/>
    <x v="0"/>
    <x v="236"/>
    <x v="259"/>
    <x v="0"/>
    <x v="0"/>
    <x v="0"/>
    <x v="1"/>
    <x v="1"/>
    <x v="1"/>
  </r>
  <r>
    <n v="155"/>
    <x v="19"/>
    <x v="19"/>
    <x v="19"/>
    <x v="2"/>
    <x v="0"/>
    <x v="1"/>
    <x v="1"/>
    <x v="0"/>
    <x v="0"/>
    <x v="236"/>
    <x v="260"/>
    <x v="1"/>
    <x v="0"/>
    <x v="1"/>
    <x v="0"/>
    <x v="2"/>
    <x v="0"/>
  </r>
  <r>
    <n v="155"/>
    <x v="19"/>
    <x v="19"/>
    <x v="19"/>
    <x v="3"/>
    <x v="1"/>
    <x v="0"/>
    <x v="1"/>
    <x v="0"/>
    <x v="0"/>
    <x v="237"/>
    <x v="261"/>
    <x v="0"/>
    <x v="0"/>
    <x v="0"/>
    <x v="1"/>
    <x v="3"/>
    <x v="1"/>
  </r>
  <r>
    <n v="155"/>
    <x v="19"/>
    <x v="19"/>
    <x v="19"/>
    <x v="4"/>
    <x v="0"/>
    <x v="0"/>
    <x v="1"/>
    <x v="0"/>
    <x v="0"/>
    <x v="238"/>
    <x v="75"/>
    <x v="0"/>
    <x v="0"/>
    <x v="0"/>
    <x v="0"/>
    <x v="4"/>
    <x v="0"/>
  </r>
  <r>
    <n v="155"/>
    <x v="19"/>
    <x v="19"/>
    <x v="19"/>
    <x v="5"/>
    <x v="0"/>
    <x v="0"/>
    <x v="1"/>
    <x v="0"/>
    <x v="0"/>
    <x v="239"/>
    <x v="262"/>
    <x v="0"/>
    <x v="0"/>
    <x v="0"/>
    <x v="0"/>
    <x v="5"/>
    <x v="0"/>
  </r>
  <r>
    <n v="155"/>
    <x v="19"/>
    <x v="19"/>
    <x v="19"/>
    <x v="6"/>
    <x v="1"/>
    <x v="1"/>
    <x v="1"/>
    <x v="0"/>
    <x v="0"/>
    <x v="240"/>
    <x v="263"/>
    <x v="1"/>
    <x v="0"/>
    <x v="1"/>
    <x v="0"/>
    <x v="6"/>
    <x v="0"/>
  </r>
  <r>
    <n v="155"/>
    <x v="19"/>
    <x v="19"/>
    <x v="19"/>
    <x v="7"/>
    <x v="0"/>
    <x v="0"/>
    <x v="1"/>
    <x v="0"/>
    <x v="1"/>
    <x v="45"/>
    <x v="63"/>
    <x v="0"/>
    <x v="0"/>
    <x v="0"/>
    <x v="0"/>
    <x v="7"/>
    <x v="0"/>
  </r>
  <r>
    <n v="155"/>
    <x v="19"/>
    <x v="19"/>
    <x v="19"/>
    <x v="8"/>
    <x v="0"/>
    <x v="0"/>
    <x v="1"/>
    <x v="0"/>
    <x v="1"/>
    <x v="13"/>
    <x v="264"/>
    <x v="0"/>
    <x v="0"/>
    <x v="0"/>
    <x v="0"/>
    <x v="8"/>
    <x v="0"/>
  </r>
  <r>
    <n v="155"/>
    <x v="19"/>
    <x v="19"/>
    <x v="19"/>
    <x v="9"/>
    <x v="0"/>
    <x v="0"/>
    <x v="1"/>
    <x v="0"/>
    <x v="1"/>
    <x v="13"/>
    <x v="15"/>
    <x v="0"/>
    <x v="0"/>
    <x v="0"/>
    <x v="0"/>
    <x v="9"/>
    <x v="0"/>
  </r>
  <r>
    <n v="155"/>
    <x v="19"/>
    <x v="19"/>
    <x v="19"/>
    <x v="10"/>
    <x v="0"/>
    <x v="0"/>
    <x v="1"/>
    <x v="0"/>
    <x v="1"/>
    <x v="15"/>
    <x v="17"/>
    <x v="0"/>
    <x v="0"/>
    <x v="0"/>
    <x v="0"/>
    <x v="10"/>
    <x v="0"/>
  </r>
  <r>
    <n v="155"/>
    <x v="19"/>
    <x v="19"/>
    <x v="19"/>
    <x v="11"/>
    <x v="0"/>
    <x v="0"/>
    <x v="1"/>
    <x v="0"/>
    <x v="2"/>
    <x v="241"/>
    <x v="265"/>
    <x v="0"/>
    <x v="0"/>
    <x v="0"/>
    <x v="0"/>
    <x v="11"/>
    <x v="0"/>
  </r>
  <r>
    <n v="155"/>
    <x v="19"/>
    <x v="19"/>
    <x v="19"/>
    <x v="12"/>
    <x v="0"/>
    <x v="0"/>
    <x v="1"/>
    <x v="0"/>
    <x v="2"/>
    <x v="229"/>
    <x v="246"/>
    <x v="0"/>
    <x v="0"/>
    <x v="0"/>
    <x v="0"/>
    <x v="12"/>
    <x v="0"/>
  </r>
  <r>
    <n v="155"/>
    <x v="19"/>
    <x v="19"/>
    <x v="19"/>
    <x v="18"/>
    <x v="0"/>
    <x v="0"/>
    <x v="1"/>
    <x v="0"/>
    <x v="3"/>
    <x v="13"/>
    <x v="249"/>
    <x v="0"/>
    <x v="0"/>
    <x v="0"/>
    <x v="0"/>
    <x v="18"/>
    <x v="0"/>
  </r>
  <r>
    <n v="155"/>
    <x v="19"/>
    <x v="19"/>
    <x v="19"/>
    <x v="20"/>
    <x v="0"/>
    <x v="0"/>
    <x v="1"/>
    <x v="0"/>
    <x v="4"/>
    <x v="242"/>
    <x v="266"/>
    <x v="0"/>
    <x v="0"/>
    <x v="0"/>
    <x v="0"/>
    <x v="20"/>
    <x v="0"/>
  </r>
  <r>
    <n v="155"/>
    <x v="19"/>
    <x v="19"/>
    <x v="19"/>
    <x v="21"/>
    <x v="0"/>
    <x v="0"/>
    <x v="1"/>
    <x v="0"/>
    <x v="4"/>
    <x v="243"/>
    <x v="267"/>
    <x v="0"/>
    <x v="0"/>
    <x v="0"/>
    <x v="0"/>
    <x v="21"/>
    <x v="0"/>
  </r>
  <r>
    <n v="155"/>
    <x v="19"/>
    <x v="19"/>
    <x v="19"/>
    <x v="22"/>
    <x v="0"/>
    <x v="0"/>
    <x v="1"/>
    <x v="0"/>
    <x v="4"/>
    <x v="13"/>
    <x v="268"/>
    <x v="0"/>
    <x v="0"/>
    <x v="0"/>
    <x v="0"/>
    <x v="22"/>
    <x v="0"/>
  </r>
  <r>
    <n v="155"/>
    <x v="19"/>
    <x v="19"/>
    <x v="19"/>
    <x v="38"/>
    <x v="1"/>
    <x v="2"/>
    <x v="1"/>
    <x v="0"/>
    <x v="8"/>
    <x v="5"/>
    <x v="5"/>
    <x v="2"/>
    <x v="0"/>
    <x v="2"/>
    <x v="1"/>
    <x v="38"/>
    <x v="1"/>
  </r>
  <r>
    <n v="155"/>
    <x v="19"/>
    <x v="19"/>
    <x v="19"/>
    <x v="23"/>
    <x v="0"/>
    <x v="0"/>
    <x v="1"/>
    <x v="0"/>
    <x v="5"/>
    <x v="244"/>
    <x v="210"/>
    <x v="0"/>
    <x v="0"/>
    <x v="0"/>
    <x v="0"/>
    <x v="23"/>
    <x v="0"/>
  </r>
  <r>
    <n v="155"/>
    <x v="19"/>
    <x v="19"/>
    <x v="19"/>
    <x v="26"/>
    <x v="0"/>
    <x v="0"/>
    <x v="1"/>
    <x v="0"/>
    <x v="6"/>
    <x v="13"/>
    <x v="51"/>
    <x v="0"/>
    <x v="0"/>
    <x v="0"/>
    <x v="0"/>
    <x v="26"/>
    <x v="0"/>
  </r>
  <r>
    <n v="155"/>
    <x v="19"/>
    <x v="19"/>
    <x v="19"/>
    <x v="27"/>
    <x v="0"/>
    <x v="0"/>
    <x v="1"/>
    <x v="0"/>
    <x v="6"/>
    <x v="114"/>
    <x v="133"/>
    <x v="0"/>
    <x v="0"/>
    <x v="0"/>
    <x v="0"/>
    <x v="27"/>
    <x v="0"/>
  </r>
  <r>
    <n v="155"/>
    <x v="19"/>
    <x v="19"/>
    <x v="19"/>
    <x v="28"/>
    <x v="0"/>
    <x v="0"/>
    <x v="1"/>
    <x v="0"/>
    <x v="7"/>
    <x v="38"/>
    <x v="55"/>
    <x v="0"/>
    <x v="0"/>
    <x v="0"/>
    <x v="0"/>
    <x v="28"/>
    <x v="0"/>
  </r>
  <r>
    <n v="155"/>
    <x v="19"/>
    <x v="19"/>
    <x v="19"/>
    <x v="29"/>
    <x v="0"/>
    <x v="0"/>
    <x v="1"/>
    <x v="0"/>
    <x v="7"/>
    <x v="244"/>
    <x v="210"/>
    <x v="0"/>
    <x v="0"/>
    <x v="0"/>
    <x v="0"/>
    <x v="29"/>
    <x v="0"/>
  </r>
  <r>
    <n v="155"/>
    <x v="19"/>
    <x v="19"/>
    <x v="19"/>
    <x v="30"/>
    <x v="0"/>
    <x v="0"/>
    <x v="1"/>
    <x v="0"/>
    <x v="7"/>
    <x v="245"/>
    <x v="23"/>
    <x v="0"/>
    <x v="0"/>
    <x v="0"/>
    <x v="0"/>
    <x v="30"/>
    <x v="0"/>
  </r>
  <r>
    <n v="155"/>
    <x v="19"/>
    <x v="19"/>
    <x v="19"/>
    <x v="31"/>
    <x v="0"/>
    <x v="0"/>
    <x v="1"/>
    <x v="0"/>
    <x v="7"/>
    <x v="246"/>
    <x v="269"/>
    <x v="0"/>
    <x v="0"/>
    <x v="0"/>
    <x v="0"/>
    <x v="31"/>
    <x v="0"/>
  </r>
  <r>
    <n v="155"/>
    <x v="19"/>
    <x v="19"/>
    <x v="19"/>
    <x v="32"/>
    <x v="0"/>
    <x v="0"/>
    <x v="1"/>
    <x v="0"/>
    <x v="7"/>
    <x v="38"/>
    <x v="55"/>
    <x v="0"/>
    <x v="0"/>
    <x v="0"/>
    <x v="0"/>
    <x v="32"/>
    <x v="0"/>
  </r>
  <r>
    <n v="155"/>
    <x v="19"/>
    <x v="19"/>
    <x v="19"/>
    <x v="33"/>
    <x v="0"/>
    <x v="0"/>
    <x v="1"/>
    <x v="0"/>
    <x v="7"/>
    <x v="13"/>
    <x v="23"/>
    <x v="0"/>
    <x v="0"/>
    <x v="0"/>
    <x v="0"/>
    <x v="33"/>
    <x v="0"/>
  </r>
  <r>
    <n v="155"/>
    <x v="19"/>
    <x v="19"/>
    <x v="19"/>
    <x v="34"/>
    <x v="0"/>
    <x v="0"/>
    <x v="1"/>
    <x v="0"/>
    <x v="7"/>
    <x v="30"/>
    <x v="44"/>
    <x v="0"/>
    <x v="0"/>
    <x v="0"/>
    <x v="0"/>
    <x v="34"/>
    <x v="0"/>
  </r>
  <r>
    <n v="155"/>
    <x v="19"/>
    <x v="19"/>
    <x v="19"/>
    <x v="35"/>
    <x v="0"/>
    <x v="0"/>
    <x v="1"/>
    <x v="0"/>
    <x v="7"/>
    <x v="235"/>
    <x v="258"/>
    <x v="0"/>
    <x v="0"/>
    <x v="0"/>
    <x v="0"/>
    <x v="35"/>
    <x v="0"/>
  </r>
  <r>
    <n v="155"/>
    <x v="19"/>
    <x v="19"/>
    <x v="19"/>
    <x v="36"/>
    <x v="0"/>
    <x v="0"/>
    <x v="1"/>
    <x v="0"/>
    <x v="7"/>
    <x v="30"/>
    <x v="44"/>
    <x v="0"/>
    <x v="0"/>
    <x v="0"/>
    <x v="0"/>
    <x v="36"/>
    <x v="0"/>
  </r>
  <r>
    <n v="154"/>
    <x v="20"/>
    <x v="20"/>
    <x v="20"/>
    <x v="39"/>
    <x v="0"/>
    <x v="0"/>
    <x v="2"/>
    <x v="0"/>
    <x v="0"/>
    <x v="247"/>
    <x v="270"/>
    <x v="0"/>
    <x v="0"/>
    <x v="0"/>
    <x v="0"/>
    <x v="39"/>
    <x v="0"/>
  </r>
  <r>
    <n v="154"/>
    <x v="20"/>
    <x v="20"/>
    <x v="20"/>
    <x v="40"/>
    <x v="0"/>
    <x v="0"/>
    <x v="2"/>
    <x v="0"/>
    <x v="0"/>
    <x v="248"/>
    <x v="205"/>
    <x v="0"/>
    <x v="0"/>
    <x v="0"/>
    <x v="1"/>
    <x v="40"/>
    <x v="1"/>
  </r>
  <r>
    <n v="154"/>
    <x v="20"/>
    <x v="20"/>
    <x v="20"/>
    <x v="1"/>
    <x v="0"/>
    <x v="0"/>
    <x v="2"/>
    <x v="0"/>
    <x v="0"/>
    <x v="248"/>
    <x v="205"/>
    <x v="0"/>
    <x v="0"/>
    <x v="0"/>
    <x v="0"/>
    <x v="1"/>
    <x v="0"/>
  </r>
  <r>
    <n v="154"/>
    <x v="20"/>
    <x v="20"/>
    <x v="20"/>
    <x v="2"/>
    <x v="0"/>
    <x v="0"/>
    <x v="2"/>
    <x v="0"/>
    <x v="0"/>
    <x v="249"/>
    <x v="271"/>
    <x v="0"/>
    <x v="0"/>
    <x v="0"/>
    <x v="0"/>
    <x v="2"/>
    <x v="0"/>
  </r>
  <r>
    <n v="154"/>
    <x v="20"/>
    <x v="20"/>
    <x v="20"/>
    <x v="41"/>
    <x v="0"/>
    <x v="0"/>
    <x v="2"/>
    <x v="0"/>
    <x v="0"/>
    <x v="249"/>
    <x v="271"/>
    <x v="0"/>
    <x v="0"/>
    <x v="0"/>
    <x v="1"/>
    <x v="41"/>
    <x v="1"/>
  </r>
  <r>
    <n v="154"/>
    <x v="20"/>
    <x v="20"/>
    <x v="20"/>
    <x v="3"/>
    <x v="1"/>
    <x v="0"/>
    <x v="2"/>
    <x v="0"/>
    <x v="0"/>
    <x v="250"/>
    <x v="205"/>
    <x v="0"/>
    <x v="0"/>
    <x v="0"/>
    <x v="0"/>
    <x v="3"/>
    <x v="0"/>
  </r>
  <r>
    <n v="154"/>
    <x v="20"/>
    <x v="20"/>
    <x v="20"/>
    <x v="4"/>
    <x v="0"/>
    <x v="0"/>
    <x v="2"/>
    <x v="0"/>
    <x v="0"/>
    <x v="251"/>
    <x v="272"/>
    <x v="0"/>
    <x v="0"/>
    <x v="0"/>
    <x v="0"/>
    <x v="4"/>
    <x v="0"/>
  </r>
  <r>
    <n v="154"/>
    <x v="20"/>
    <x v="20"/>
    <x v="20"/>
    <x v="5"/>
    <x v="0"/>
    <x v="0"/>
    <x v="2"/>
    <x v="0"/>
    <x v="0"/>
    <x v="252"/>
    <x v="273"/>
    <x v="0"/>
    <x v="0"/>
    <x v="0"/>
    <x v="0"/>
    <x v="5"/>
    <x v="0"/>
  </r>
  <r>
    <n v="154"/>
    <x v="20"/>
    <x v="20"/>
    <x v="20"/>
    <x v="6"/>
    <x v="1"/>
    <x v="1"/>
    <x v="2"/>
    <x v="0"/>
    <x v="0"/>
    <x v="10"/>
    <x v="87"/>
    <x v="1"/>
    <x v="0"/>
    <x v="1"/>
    <x v="0"/>
    <x v="6"/>
    <x v="0"/>
  </r>
  <r>
    <n v="154"/>
    <x v="20"/>
    <x v="20"/>
    <x v="20"/>
    <x v="7"/>
    <x v="0"/>
    <x v="0"/>
    <x v="2"/>
    <x v="0"/>
    <x v="1"/>
    <x v="253"/>
    <x v="274"/>
    <x v="0"/>
    <x v="0"/>
    <x v="0"/>
    <x v="0"/>
    <x v="7"/>
    <x v="0"/>
  </r>
  <r>
    <n v="154"/>
    <x v="20"/>
    <x v="20"/>
    <x v="20"/>
    <x v="8"/>
    <x v="0"/>
    <x v="0"/>
    <x v="2"/>
    <x v="0"/>
    <x v="1"/>
    <x v="13"/>
    <x v="275"/>
    <x v="0"/>
    <x v="0"/>
    <x v="0"/>
    <x v="0"/>
    <x v="8"/>
    <x v="0"/>
  </r>
  <r>
    <n v="154"/>
    <x v="20"/>
    <x v="20"/>
    <x v="20"/>
    <x v="9"/>
    <x v="0"/>
    <x v="0"/>
    <x v="2"/>
    <x v="0"/>
    <x v="1"/>
    <x v="13"/>
    <x v="276"/>
    <x v="0"/>
    <x v="0"/>
    <x v="0"/>
    <x v="0"/>
    <x v="9"/>
    <x v="0"/>
  </r>
  <r>
    <n v="154"/>
    <x v="20"/>
    <x v="20"/>
    <x v="20"/>
    <x v="10"/>
    <x v="0"/>
    <x v="0"/>
    <x v="2"/>
    <x v="0"/>
    <x v="1"/>
    <x v="105"/>
    <x v="126"/>
    <x v="0"/>
    <x v="0"/>
    <x v="0"/>
    <x v="0"/>
    <x v="10"/>
    <x v="0"/>
  </r>
  <r>
    <n v="154"/>
    <x v="20"/>
    <x v="20"/>
    <x v="20"/>
    <x v="11"/>
    <x v="0"/>
    <x v="0"/>
    <x v="2"/>
    <x v="0"/>
    <x v="2"/>
    <x v="234"/>
    <x v="257"/>
    <x v="0"/>
    <x v="0"/>
    <x v="0"/>
    <x v="0"/>
    <x v="11"/>
    <x v="0"/>
  </r>
  <r>
    <n v="154"/>
    <x v="20"/>
    <x v="20"/>
    <x v="20"/>
    <x v="12"/>
    <x v="0"/>
    <x v="0"/>
    <x v="2"/>
    <x v="0"/>
    <x v="2"/>
    <x v="221"/>
    <x v="241"/>
    <x v="0"/>
    <x v="0"/>
    <x v="0"/>
    <x v="0"/>
    <x v="12"/>
    <x v="0"/>
  </r>
  <r>
    <n v="154"/>
    <x v="20"/>
    <x v="20"/>
    <x v="20"/>
    <x v="18"/>
    <x v="0"/>
    <x v="0"/>
    <x v="2"/>
    <x v="0"/>
    <x v="3"/>
    <x v="13"/>
    <x v="232"/>
    <x v="0"/>
    <x v="0"/>
    <x v="0"/>
    <x v="0"/>
    <x v="18"/>
    <x v="0"/>
  </r>
  <r>
    <n v="154"/>
    <x v="20"/>
    <x v="20"/>
    <x v="20"/>
    <x v="20"/>
    <x v="0"/>
    <x v="0"/>
    <x v="2"/>
    <x v="0"/>
    <x v="4"/>
    <x v="213"/>
    <x v="233"/>
    <x v="0"/>
    <x v="0"/>
    <x v="0"/>
    <x v="0"/>
    <x v="20"/>
    <x v="0"/>
  </r>
  <r>
    <n v="154"/>
    <x v="20"/>
    <x v="20"/>
    <x v="20"/>
    <x v="21"/>
    <x v="0"/>
    <x v="0"/>
    <x v="2"/>
    <x v="0"/>
    <x v="4"/>
    <x v="213"/>
    <x v="233"/>
    <x v="0"/>
    <x v="0"/>
    <x v="0"/>
    <x v="0"/>
    <x v="21"/>
    <x v="0"/>
  </r>
  <r>
    <n v="154"/>
    <x v="20"/>
    <x v="20"/>
    <x v="20"/>
    <x v="22"/>
    <x v="0"/>
    <x v="0"/>
    <x v="2"/>
    <x v="0"/>
    <x v="4"/>
    <x v="13"/>
    <x v="228"/>
    <x v="0"/>
    <x v="0"/>
    <x v="0"/>
    <x v="0"/>
    <x v="22"/>
    <x v="0"/>
  </r>
  <r>
    <n v="154"/>
    <x v="20"/>
    <x v="20"/>
    <x v="20"/>
    <x v="42"/>
    <x v="0"/>
    <x v="0"/>
    <x v="2"/>
    <x v="0"/>
    <x v="4"/>
    <x v="13"/>
    <x v="277"/>
    <x v="0"/>
    <x v="0"/>
    <x v="0"/>
    <x v="0"/>
    <x v="42"/>
    <x v="0"/>
  </r>
  <r>
    <n v="154"/>
    <x v="20"/>
    <x v="20"/>
    <x v="20"/>
    <x v="38"/>
    <x v="1"/>
    <x v="2"/>
    <x v="2"/>
    <x v="0"/>
    <x v="8"/>
    <x v="5"/>
    <x v="5"/>
    <x v="2"/>
    <x v="0"/>
    <x v="2"/>
    <x v="1"/>
    <x v="38"/>
    <x v="1"/>
  </r>
  <r>
    <n v="154"/>
    <x v="20"/>
    <x v="20"/>
    <x v="20"/>
    <x v="23"/>
    <x v="0"/>
    <x v="0"/>
    <x v="2"/>
    <x v="0"/>
    <x v="5"/>
    <x v="254"/>
    <x v="278"/>
    <x v="0"/>
    <x v="0"/>
    <x v="0"/>
    <x v="0"/>
    <x v="23"/>
    <x v="0"/>
  </r>
  <r>
    <n v="154"/>
    <x v="20"/>
    <x v="20"/>
    <x v="20"/>
    <x v="26"/>
    <x v="0"/>
    <x v="0"/>
    <x v="2"/>
    <x v="0"/>
    <x v="6"/>
    <x v="13"/>
    <x v="51"/>
    <x v="0"/>
    <x v="0"/>
    <x v="0"/>
    <x v="0"/>
    <x v="26"/>
    <x v="0"/>
  </r>
  <r>
    <n v="154"/>
    <x v="20"/>
    <x v="20"/>
    <x v="20"/>
    <x v="27"/>
    <x v="0"/>
    <x v="0"/>
    <x v="2"/>
    <x v="0"/>
    <x v="6"/>
    <x v="255"/>
    <x v="279"/>
    <x v="0"/>
    <x v="0"/>
    <x v="0"/>
    <x v="0"/>
    <x v="27"/>
    <x v="0"/>
  </r>
  <r>
    <n v="154"/>
    <x v="20"/>
    <x v="20"/>
    <x v="20"/>
    <x v="28"/>
    <x v="0"/>
    <x v="0"/>
    <x v="2"/>
    <x v="0"/>
    <x v="7"/>
    <x v="256"/>
    <x v="280"/>
    <x v="0"/>
    <x v="0"/>
    <x v="0"/>
    <x v="0"/>
    <x v="28"/>
    <x v="0"/>
  </r>
  <r>
    <n v="154"/>
    <x v="20"/>
    <x v="20"/>
    <x v="20"/>
    <x v="29"/>
    <x v="0"/>
    <x v="0"/>
    <x v="2"/>
    <x v="0"/>
    <x v="7"/>
    <x v="254"/>
    <x v="278"/>
    <x v="0"/>
    <x v="0"/>
    <x v="0"/>
    <x v="0"/>
    <x v="29"/>
    <x v="0"/>
  </r>
  <r>
    <n v="154"/>
    <x v="20"/>
    <x v="20"/>
    <x v="20"/>
    <x v="30"/>
    <x v="0"/>
    <x v="0"/>
    <x v="2"/>
    <x v="0"/>
    <x v="7"/>
    <x v="48"/>
    <x v="278"/>
    <x v="0"/>
    <x v="0"/>
    <x v="0"/>
    <x v="0"/>
    <x v="30"/>
    <x v="0"/>
  </r>
  <r>
    <n v="154"/>
    <x v="20"/>
    <x v="20"/>
    <x v="20"/>
    <x v="31"/>
    <x v="0"/>
    <x v="0"/>
    <x v="2"/>
    <x v="0"/>
    <x v="7"/>
    <x v="96"/>
    <x v="117"/>
    <x v="0"/>
    <x v="0"/>
    <x v="0"/>
    <x v="0"/>
    <x v="31"/>
    <x v="0"/>
  </r>
  <r>
    <n v="154"/>
    <x v="20"/>
    <x v="20"/>
    <x v="20"/>
    <x v="32"/>
    <x v="0"/>
    <x v="0"/>
    <x v="2"/>
    <x v="0"/>
    <x v="7"/>
    <x v="213"/>
    <x v="233"/>
    <x v="0"/>
    <x v="0"/>
    <x v="0"/>
    <x v="0"/>
    <x v="32"/>
    <x v="0"/>
  </r>
  <r>
    <n v="154"/>
    <x v="20"/>
    <x v="20"/>
    <x v="20"/>
    <x v="33"/>
    <x v="0"/>
    <x v="0"/>
    <x v="2"/>
    <x v="0"/>
    <x v="7"/>
    <x v="13"/>
    <x v="278"/>
    <x v="0"/>
    <x v="0"/>
    <x v="0"/>
    <x v="0"/>
    <x v="33"/>
    <x v="0"/>
  </r>
  <r>
    <n v="154"/>
    <x v="20"/>
    <x v="20"/>
    <x v="20"/>
    <x v="34"/>
    <x v="0"/>
    <x v="0"/>
    <x v="2"/>
    <x v="0"/>
    <x v="7"/>
    <x v="257"/>
    <x v="281"/>
    <x v="0"/>
    <x v="0"/>
    <x v="0"/>
    <x v="0"/>
    <x v="34"/>
    <x v="0"/>
  </r>
  <r>
    <n v="154"/>
    <x v="20"/>
    <x v="20"/>
    <x v="20"/>
    <x v="35"/>
    <x v="0"/>
    <x v="0"/>
    <x v="2"/>
    <x v="0"/>
    <x v="7"/>
    <x v="76"/>
    <x v="94"/>
    <x v="0"/>
    <x v="0"/>
    <x v="0"/>
    <x v="0"/>
    <x v="35"/>
    <x v="0"/>
  </r>
  <r>
    <n v="154"/>
    <x v="20"/>
    <x v="20"/>
    <x v="20"/>
    <x v="36"/>
    <x v="0"/>
    <x v="0"/>
    <x v="2"/>
    <x v="0"/>
    <x v="7"/>
    <x v="76"/>
    <x v="94"/>
    <x v="0"/>
    <x v="0"/>
    <x v="0"/>
    <x v="0"/>
    <x v="36"/>
    <x v="0"/>
  </r>
  <r>
    <n v="158"/>
    <x v="21"/>
    <x v="21"/>
    <x v="21"/>
    <x v="43"/>
    <x v="0"/>
    <x v="0"/>
    <x v="3"/>
    <x v="0"/>
    <x v="0"/>
    <x v="258"/>
    <x v="282"/>
    <x v="0"/>
    <x v="0"/>
    <x v="0"/>
    <x v="1"/>
    <x v="43"/>
    <x v="1"/>
  </r>
  <r>
    <n v="158"/>
    <x v="21"/>
    <x v="21"/>
    <x v="21"/>
    <x v="40"/>
    <x v="0"/>
    <x v="0"/>
    <x v="3"/>
    <x v="0"/>
    <x v="0"/>
    <x v="258"/>
    <x v="282"/>
    <x v="0"/>
    <x v="0"/>
    <x v="0"/>
    <x v="1"/>
    <x v="40"/>
    <x v="1"/>
  </r>
  <r>
    <n v="158"/>
    <x v="21"/>
    <x v="21"/>
    <x v="21"/>
    <x v="1"/>
    <x v="0"/>
    <x v="0"/>
    <x v="3"/>
    <x v="0"/>
    <x v="0"/>
    <x v="258"/>
    <x v="282"/>
    <x v="0"/>
    <x v="0"/>
    <x v="0"/>
    <x v="0"/>
    <x v="1"/>
    <x v="0"/>
  </r>
  <r>
    <n v="158"/>
    <x v="21"/>
    <x v="21"/>
    <x v="21"/>
    <x v="41"/>
    <x v="0"/>
    <x v="0"/>
    <x v="3"/>
    <x v="0"/>
    <x v="0"/>
    <x v="258"/>
    <x v="282"/>
    <x v="0"/>
    <x v="0"/>
    <x v="0"/>
    <x v="1"/>
    <x v="41"/>
    <x v="1"/>
  </r>
  <r>
    <n v="158"/>
    <x v="21"/>
    <x v="21"/>
    <x v="21"/>
    <x v="3"/>
    <x v="1"/>
    <x v="2"/>
    <x v="3"/>
    <x v="0"/>
    <x v="0"/>
    <x v="5"/>
    <x v="5"/>
    <x v="2"/>
    <x v="0"/>
    <x v="2"/>
    <x v="1"/>
    <x v="3"/>
    <x v="1"/>
  </r>
  <r>
    <n v="158"/>
    <x v="21"/>
    <x v="21"/>
    <x v="21"/>
    <x v="4"/>
    <x v="0"/>
    <x v="0"/>
    <x v="3"/>
    <x v="0"/>
    <x v="0"/>
    <x v="259"/>
    <x v="283"/>
    <x v="0"/>
    <x v="0"/>
    <x v="0"/>
    <x v="0"/>
    <x v="4"/>
    <x v="0"/>
  </r>
  <r>
    <n v="158"/>
    <x v="21"/>
    <x v="21"/>
    <x v="21"/>
    <x v="5"/>
    <x v="0"/>
    <x v="0"/>
    <x v="3"/>
    <x v="0"/>
    <x v="0"/>
    <x v="260"/>
    <x v="284"/>
    <x v="0"/>
    <x v="0"/>
    <x v="0"/>
    <x v="0"/>
    <x v="5"/>
    <x v="0"/>
  </r>
  <r>
    <n v="158"/>
    <x v="21"/>
    <x v="21"/>
    <x v="21"/>
    <x v="6"/>
    <x v="1"/>
    <x v="2"/>
    <x v="3"/>
    <x v="0"/>
    <x v="0"/>
    <x v="5"/>
    <x v="5"/>
    <x v="2"/>
    <x v="0"/>
    <x v="2"/>
    <x v="1"/>
    <x v="6"/>
    <x v="1"/>
  </r>
  <r>
    <n v="158"/>
    <x v="21"/>
    <x v="21"/>
    <x v="21"/>
    <x v="7"/>
    <x v="0"/>
    <x v="0"/>
    <x v="3"/>
    <x v="0"/>
    <x v="1"/>
    <x v="118"/>
    <x v="142"/>
    <x v="0"/>
    <x v="0"/>
    <x v="0"/>
    <x v="0"/>
    <x v="7"/>
    <x v="0"/>
  </r>
  <r>
    <n v="158"/>
    <x v="21"/>
    <x v="21"/>
    <x v="21"/>
    <x v="8"/>
    <x v="0"/>
    <x v="0"/>
    <x v="3"/>
    <x v="0"/>
    <x v="1"/>
    <x v="13"/>
    <x v="285"/>
    <x v="0"/>
    <x v="0"/>
    <x v="0"/>
    <x v="0"/>
    <x v="8"/>
    <x v="0"/>
  </r>
  <r>
    <n v="158"/>
    <x v="21"/>
    <x v="21"/>
    <x v="21"/>
    <x v="9"/>
    <x v="0"/>
    <x v="0"/>
    <x v="3"/>
    <x v="0"/>
    <x v="1"/>
    <x v="13"/>
    <x v="286"/>
    <x v="0"/>
    <x v="0"/>
    <x v="0"/>
    <x v="0"/>
    <x v="9"/>
    <x v="0"/>
  </r>
  <r>
    <n v="158"/>
    <x v="21"/>
    <x v="21"/>
    <x v="21"/>
    <x v="10"/>
    <x v="0"/>
    <x v="0"/>
    <x v="3"/>
    <x v="0"/>
    <x v="1"/>
    <x v="30"/>
    <x v="44"/>
    <x v="0"/>
    <x v="0"/>
    <x v="0"/>
    <x v="0"/>
    <x v="10"/>
    <x v="0"/>
  </r>
  <r>
    <n v="158"/>
    <x v="21"/>
    <x v="21"/>
    <x v="21"/>
    <x v="11"/>
    <x v="0"/>
    <x v="0"/>
    <x v="3"/>
    <x v="0"/>
    <x v="2"/>
    <x v="17"/>
    <x v="19"/>
    <x v="0"/>
    <x v="0"/>
    <x v="0"/>
    <x v="0"/>
    <x v="11"/>
    <x v="0"/>
  </r>
  <r>
    <n v="158"/>
    <x v="21"/>
    <x v="21"/>
    <x v="21"/>
    <x v="12"/>
    <x v="0"/>
    <x v="0"/>
    <x v="3"/>
    <x v="0"/>
    <x v="2"/>
    <x v="261"/>
    <x v="287"/>
    <x v="0"/>
    <x v="0"/>
    <x v="0"/>
    <x v="0"/>
    <x v="12"/>
    <x v="0"/>
  </r>
  <r>
    <n v="158"/>
    <x v="21"/>
    <x v="21"/>
    <x v="21"/>
    <x v="20"/>
    <x v="0"/>
    <x v="0"/>
    <x v="3"/>
    <x v="0"/>
    <x v="4"/>
    <x v="262"/>
    <x v="288"/>
    <x v="0"/>
    <x v="0"/>
    <x v="0"/>
    <x v="0"/>
    <x v="20"/>
    <x v="0"/>
  </r>
  <r>
    <n v="158"/>
    <x v="21"/>
    <x v="21"/>
    <x v="21"/>
    <x v="21"/>
    <x v="0"/>
    <x v="0"/>
    <x v="3"/>
    <x v="0"/>
    <x v="4"/>
    <x v="263"/>
    <x v="249"/>
    <x v="0"/>
    <x v="0"/>
    <x v="0"/>
    <x v="0"/>
    <x v="21"/>
    <x v="0"/>
  </r>
  <r>
    <n v="158"/>
    <x v="21"/>
    <x v="21"/>
    <x v="21"/>
    <x v="22"/>
    <x v="0"/>
    <x v="0"/>
    <x v="3"/>
    <x v="0"/>
    <x v="4"/>
    <x v="13"/>
    <x v="100"/>
    <x v="0"/>
    <x v="0"/>
    <x v="0"/>
    <x v="0"/>
    <x v="22"/>
    <x v="0"/>
  </r>
  <r>
    <n v="158"/>
    <x v="21"/>
    <x v="21"/>
    <x v="21"/>
    <x v="38"/>
    <x v="1"/>
    <x v="2"/>
    <x v="3"/>
    <x v="0"/>
    <x v="8"/>
    <x v="5"/>
    <x v="5"/>
    <x v="2"/>
    <x v="0"/>
    <x v="2"/>
    <x v="1"/>
    <x v="38"/>
    <x v="1"/>
  </r>
  <r>
    <n v="158"/>
    <x v="21"/>
    <x v="21"/>
    <x v="21"/>
    <x v="23"/>
    <x v="0"/>
    <x v="0"/>
    <x v="3"/>
    <x v="0"/>
    <x v="5"/>
    <x v="264"/>
    <x v="289"/>
    <x v="0"/>
    <x v="0"/>
    <x v="0"/>
    <x v="0"/>
    <x v="23"/>
    <x v="0"/>
  </r>
  <r>
    <n v="158"/>
    <x v="21"/>
    <x v="21"/>
    <x v="21"/>
    <x v="26"/>
    <x v="0"/>
    <x v="0"/>
    <x v="3"/>
    <x v="0"/>
    <x v="6"/>
    <x v="13"/>
    <x v="290"/>
    <x v="0"/>
    <x v="0"/>
    <x v="0"/>
    <x v="0"/>
    <x v="26"/>
    <x v="0"/>
  </r>
  <r>
    <n v="158"/>
    <x v="21"/>
    <x v="21"/>
    <x v="21"/>
    <x v="27"/>
    <x v="0"/>
    <x v="0"/>
    <x v="3"/>
    <x v="0"/>
    <x v="6"/>
    <x v="265"/>
    <x v="237"/>
    <x v="0"/>
    <x v="0"/>
    <x v="0"/>
    <x v="0"/>
    <x v="27"/>
    <x v="0"/>
  </r>
  <r>
    <n v="158"/>
    <x v="21"/>
    <x v="21"/>
    <x v="21"/>
    <x v="28"/>
    <x v="0"/>
    <x v="0"/>
    <x v="3"/>
    <x v="0"/>
    <x v="7"/>
    <x v="30"/>
    <x v="44"/>
    <x v="0"/>
    <x v="0"/>
    <x v="0"/>
    <x v="0"/>
    <x v="28"/>
    <x v="0"/>
  </r>
  <r>
    <n v="158"/>
    <x v="21"/>
    <x v="21"/>
    <x v="21"/>
    <x v="29"/>
    <x v="0"/>
    <x v="0"/>
    <x v="3"/>
    <x v="0"/>
    <x v="7"/>
    <x v="264"/>
    <x v="289"/>
    <x v="0"/>
    <x v="0"/>
    <x v="0"/>
    <x v="0"/>
    <x v="29"/>
    <x v="0"/>
  </r>
  <r>
    <n v="158"/>
    <x v="21"/>
    <x v="21"/>
    <x v="21"/>
    <x v="30"/>
    <x v="0"/>
    <x v="0"/>
    <x v="3"/>
    <x v="0"/>
    <x v="7"/>
    <x v="76"/>
    <x v="289"/>
    <x v="0"/>
    <x v="0"/>
    <x v="0"/>
    <x v="0"/>
    <x v="30"/>
    <x v="0"/>
  </r>
  <r>
    <n v="158"/>
    <x v="21"/>
    <x v="21"/>
    <x v="21"/>
    <x v="31"/>
    <x v="0"/>
    <x v="0"/>
    <x v="3"/>
    <x v="0"/>
    <x v="7"/>
    <x v="266"/>
    <x v="291"/>
    <x v="0"/>
    <x v="0"/>
    <x v="0"/>
    <x v="0"/>
    <x v="31"/>
    <x v="0"/>
  </r>
  <r>
    <n v="158"/>
    <x v="21"/>
    <x v="21"/>
    <x v="21"/>
    <x v="32"/>
    <x v="0"/>
    <x v="0"/>
    <x v="3"/>
    <x v="0"/>
    <x v="7"/>
    <x v="30"/>
    <x v="44"/>
    <x v="0"/>
    <x v="0"/>
    <x v="0"/>
    <x v="0"/>
    <x v="32"/>
    <x v="0"/>
  </r>
  <r>
    <n v="158"/>
    <x v="21"/>
    <x v="21"/>
    <x v="21"/>
    <x v="33"/>
    <x v="0"/>
    <x v="0"/>
    <x v="3"/>
    <x v="0"/>
    <x v="7"/>
    <x v="13"/>
    <x v="289"/>
    <x v="0"/>
    <x v="0"/>
    <x v="0"/>
    <x v="0"/>
    <x v="33"/>
    <x v="0"/>
  </r>
  <r>
    <n v="158"/>
    <x v="21"/>
    <x v="21"/>
    <x v="21"/>
    <x v="34"/>
    <x v="0"/>
    <x v="0"/>
    <x v="3"/>
    <x v="0"/>
    <x v="7"/>
    <x v="15"/>
    <x v="17"/>
    <x v="0"/>
    <x v="0"/>
    <x v="0"/>
    <x v="0"/>
    <x v="34"/>
    <x v="0"/>
  </r>
  <r>
    <n v="158"/>
    <x v="21"/>
    <x v="21"/>
    <x v="21"/>
    <x v="35"/>
    <x v="0"/>
    <x v="0"/>
    <x v="3"/>
    <x v="0"/>
    <x v="7"/>
    <x v="15"/>
    <x v="17"/>
    <x v="0"/>
    <x v="0"/>
    <x v="0"/>
    <x v="0"/>
    <x v="35"/>
    <x v="0"/>
  </r>
  <r>
    <n v="158"/>
    <x v="21"/>
    <x v="21"/>
    <x v="21"/>
    <x v="36"/>
    <x v="0"/>
    <x v="0"/>
    <x v="3"/>
    <x v="0"/>
    <x v="7"/>
    <x v="30"/>
    <x v="44"/>
    <x v="0"/>
    <x v="0"/>
    <x v="0"/>
    <x v="0"/>
    <x v="36"/>
    <x v="0"/>
  </r>
  <r>
    <n v="159"/>
    <x v="22"/>
    <x v="22"/>
    <x v="22"/>
    <x v="43"/>
    <x v="0"/>
    <x v="0"/>
    <x v="3"/>
    <x v="0"/>
    <x v="0"/>
    <x v="267"/>
    <x v="292"/>
    <x v="0"/>
    <x v="0"/>
    <x v="0"/>
    <x v="0"/>
    <x v="43"/>
    <x v="0"/>
  </r>
  <r>
    <n v="159"/>
    <x v="22"/>
    <x v="22"/>
    <x v="22"/>
    <x v="40"/>
    <x v="0"/>
    <x v="0"/>
    <x v="3"/>
    <x v="0"/>
    <x v="0"/>
    <x v="268"/>
    <x v="293"/>
    <x v="0"/>
    <x v="0"/>
    <x v="0"/>
    <x v="0"/>
    <x v="40"/>
    <x v="0"/>
  </r>
  <r>
    <n v="159"/>
    <x v="22"/>
    <x v="22"/>
    <x v="22"/>
    <x v="1"/>
    <x v="0"/>
    <x v="0"/>
    <x v="3"/>
    <x v="0"/>
    <x v="0"/>
    <x v="87"/>
    <x v="107"/>
    <x v="0"/>
    <x v="0"/>
    <x v="0"/>
    <x v="0"/>
    <x v="1"/>
    <x v="0"/>
  </r>
  <r>
    <n v="159"/>
    <x v="22"/>
    <x v="22"/>
    <x v="22"/>
    <x v="41"/>
    <x v="0"/>
    <x v="0"/>
    <x v="3"/>
    <x v="0"/>
    <x v="0"/>
    <x v="269"/>
    <x v="294"/>
    <x v="0"/>
    <x v="0"/>
    <x v="0"/>
    <x v="1"/>
    <x v="41"/>
    <x v="1"/>
  </r>
  <r>
    <n v="159"/>
    <x v="22"/>
    <x v="22"/>
    <x v="22"/>
    <x v="3"/>
    <x v="1"/>
    <x v="2"/>
    <x v="3"/>
    <x v="0"/>
    <x v="0"/>
    <x v="5"/>
    <x v="5"/>
    <x v="2"/>
    <x v="0"/>
    <x v="2"/>
    <x v="1"/>
    <x v="3"/>
    <x v="1"/>
  </r>
  <r>
    <n v="159"/>
    <x v="22"/>
    <x v="22"/>
    <x v="22"/>
    <x v="4"/>
    <x v="0"/>
    <x v="0"/>
    <x v="3"/>
    <x v="0"/>
    <x v="0"/>
    <x v="270"/>
    <x v="295"/>
    <x v="0"/>
    <x v="0"/>
    <x v="0"/>
    <x v="0"/>
    <x v="4"/>
    <x v="0"/>
  </r>
  <r>
    <n v="159"/>
    <x v="22"/>
    <x v="22"/>
    <x v="22"/>
    <x v="5"/>
    <x v="0"/>
    <x v="0"/>
    <x v="3"/>
    <x v="0"/>
    <x v="0"/>
    <x v="271"/>
    <x v="296"/>
    <x v="0"/>
    <x v="0"/>
    <x v="0"/>
    <x v="0"/>
    <x v="5"/>
    <x v="0"/>
  </r>
  <r>
    <n v="159"/>
    <x v="22"/>
    <x v="22"/>
    <x v="22"/>
    <x v="6"/>
    <x v="1"/>
    <x v="2"/>
    <x v="3"/>
    <x v="0"/>
    <x v="0"/>
    <x v="5"/>
    <x v="5"/>
    <x v="2"/>
    <x v="0"/>
    <x v="2"/>
    <x v="1"/>
    <x v="6"/>
    <x v="1"/>
  </r>
  <r>
    <n v="159"/>
    <x v="22"/>
    <x v="22"/>
    <x v="22"/>
    <x v="7"/>
    <x v="0"/>
    <x v="0"/>
    <x v="3"/>
    <x v="0"/>
    <x v="1"/>
    <x v="106"/>
    <x v="297"/>
    <x v="0"/>
    <x v="0"/>
    <x v="0"/>
    <x v="0"/>
    <x v="7"/>
    <x v="0"/>
  </r>
  <r>
    <n v="159"/>
    <x v="22"/>
    <x v="22"/>
    <x v="22"/>
    <x v="8"/>
    <x v="0"/>
    <x v="0"/>
    <x v="3"/>
    <x v="0"/>
    <x v="1"/>
    <x v="13"/>
    <x v="298"/>
    <x v="0"/>
    <x v="0"/>
    <x v="0"/>
    <x v="0"/>
    <x v="8"/>
    <x v="0"/>
  </r>
  <r>
    <n v="159"/>
    <x v="22"/>
    <x v="22"/>
    <x v="22"/>
    <x v="9"/>
    <x v="0"/>
    <x v="0"/>
    <x v="3"/>
    <x v="0"/>
    <x v="1"/>
    <x v="13"/>
    <x v="278"/>
    <x v="0"/>
    <x v="0"/>
    <x v="0"/>
    <x v="0"/>
    <x v="9"/>
    <x v="0"/>
  </r>
  <r>
    <n v="159"/>
    <x v="22"/>
    <x v="22"/>
    <x v="22"/>
    <x v="10"/>
    <x v="0"/>
    <x v="0"/>
    <x v="3"/>
    <x v="0"/>
    <x v="1"/>
    <x v="234"/>
    <x v="257"/>
    <x v="0"/>
    <x v="0"/>
    <x v="0"/>
    <x v="0"/>
    <x v="10"/>
    <x v="0"/>
  </r>
  <r>
    <n v="159"/>
    <x v="22"/>
    <x v="22"/>
    <x v="22"/>
    <x v="11"/>
    <x v="0"/>
    <x v="0"/>
    <x v="3"/>
    <x v="0"/>
    <x v="2"/>
    <x v="234"/>
    <x v="257"/>
    <x v="0"/>
    <x v="0"/>
    <x v="0"/>
    <x v="0"/>
    <x v="11"/>
    <x v="0"/>
  </r>
  <r>
    <n v="159"/>
    <x v="22"/>
    <x v="22"/>
    <x v="22"/>
    <x v="12"/>
    <x v="0"/>
    <x v="0"/>
    <x v="3"/>
    <x v="0"/>
    <x v="2"/>
    <x v="221"/>
    <x v="241"/>
    <x v="0"/>
    <x v="0"/>
    <x v="0"/>
    <x v="0"/>
    <x v="12"/>
    <x v="0"/>
  </r>
  <r>
    <n v="159"/>
    <x v="22"/>
    <x v="22"/>
    <x v="22"/>
    <x v="20"/>
    <x v="0"/>
    <x v="0"/>
    <x v="3"/>
    <x v="0"/>
    <x v="4"/>
    <x v="272"/>
    <x v="299"/>
    <x v="0"/>
    <x v="0"/>
    <x v="0"/>
    <x v="0"/>
    <x v="20"/>
    <x v="0"/>
  </r>
  <r>
    <n v="159"/>
    <x v="22"/>
    <x v="22"/>
    <x v="22"/>
    <x v="21"/>
    <x v="0"/>
    <x v="0"/>
    <x v="3"/>
    <x v="0"/>
    <x v="4"/>
    <x v="272"/>
    <x v="299"/>
    <x v="0"/>
    <x v="0"/>
    <x v="0"/>
    <x v="0"/>
    <x v="21"/>
    <x v="0"/>
  </r>
  <r>
    <n v="159"/>
    <x v="22"/>
    <x v="22"/>
    <x v="22"/>
    <x v="22"/>
    <x v="0"/>
    <x v="0"/>
    <x v="3"/>
    <x v="0"/>
    <x v="4"/>
    <x v="13"/>
    <x v="100"/>
    <x v="0"/>
    <x v="0"/>
    <x v="0"/>
    <x v="0"/>
    <x v="22"/>
    <x v="0"/>
  </r>
  <r>
    <n v="159"/>
    <x v="22"/>
    <x v="22"/>
    <x v="22"/>
    <x v="38"/>
    <x v="1"/>
    <x v="2"/>
    <x v="3"/>
    <x v="0"/>
    <x v="8"/>
    <x v="5"/>
    <x v="5"/>
    <x v="2"/>
    <x v="0"/>
    <x v="2"/>
    <x v="1"/>
    <x v="38"/>
    <x v="1"/>
  </r>
  <r>
    <n v="159"/>
    <x v="22"/>
    <x v="22"/>
    <x v="22"/>
    <x v="23"/>
    <x v="0"/>
    <x v="0"/>
    <x v="3"/>
    <x v="0"/>
    <x v="5"/>
    <x v="47"/>
    <x v="56"/>
    <x v="0"/>
    <x v="0"/>
    <x v="0"/>
    <x v="0"/>
    <x v="23"/>
    <x v="0"/>
  </r>
  <r>
    <n v="159"/>
    <x v="22"/>
    <x v="22"/>
    <x v="22"/>
    <x v="26"/>
    <x v="0"/>
    <x v="0"/>
    <x v="3"/>
    <x v="0"/>
    <x v="6"/>
    <x v="13"/>
    <x v="300"/>
    <x v="0"/>
    <x v="0"/>
    <x v="0"/>
    <x v="0"/>
    <x v="26"/>
    <x v="0"/>
  </r>
  <r>
    <n v="159"/>
    <x v="22"/>
    <x v="22"/>
    <x v="22"/>
    <x v="27"/>
    <x v="0"/>
    <x v="0"/>
    <x v="3"/>
    <x v="0"/>
    <x v="6"/>
    <x v="180"/>
    <x v="199"/>
    <x v="0"/>
    <x v="0"/>
    <x v="0"/>
    <x v="0"/>
    <x v="27"/>
    <x v="0"/>
  </r>
  <r>
    <n v="159"/>
    <x v="22"/>
    <x v="22"/>
    <x v="22"/>
    <x v="28"/>
    <x v="0"/>
    <x v="0"/>
    <x v="3"/>
    <x v="0"/>
    <x v="7"/>
    <x v="30"/>
    <x v="44"/>
    <x v="0"/>
    <x v="0"/>
    <x v="0"/>
    <x v="0"/>
    <x v="28"/>
    <x v="0"/>
  </r>
  <r>
    <n v="159"/>
    <x v="22"/>
    <x v="22"/>
    <x v="22"/>
    <x v="29"/>
    <x v="0"/>
    <x v="0"/>
    <x v="3"/>
    <x v="0"/>
    <x v="7"/>
    <x v="47"/>
    <x v="56"/>
    <x v="0"/>
    <x v="0"/>
    <x v="0"/>
    <x v="0"/>
    <x v="29"/>
    <x v="0"/>
  </r>
  <r>
    <n v="159"/>
    <x v="22"/>
    <x v="22"/>
    <x v="22"/>
    <x v="30"/>
    <x v="0"/>
    <x v="0"/>
    <x v="3"/>
    <x v="0"/>
    <x v="7"/>
    <x v="49"/>
    <x v="56"/>
    <x v="0"/>
    <x v="0"/>
    <x v="0"/>
    <x v="0"/>
    <x v="30"/>
    <x v="0"/>
  </r>
  <r>
    <n v="159"/>
    <x v="22"/>
    <x v="22"/>
    <x v="22"/>
    <x v="31"/>
    <x v="0"/>
    <x v="0"/>
    <x v="3"/>
    <x v="0"/>
    <x v="7"/>
    <x v="220"/>
    <x v="91"/>
    <x v="0"/>
    <x v="0"/>
    <x v="0"/>
    <x v="0"/>
    <x v="31"/>
    <x v="0"/>
  </r>
  <r>
    <n v="159"/>
    <x v="22"/>
    <x v="22"/>
    <x v="22"/>
    <x v="32"/>
    <x v="0"/>
    <x v="0"/>
    <x v="3"/>
    <x v="0"/>
    <x v="7"/>
    <x v="30"/>
    <x v="44"/>
    <x v="0"/>
    <x v="0"/>
    <x v="0"/>
    <x v="0"/>
    <x v="32"/>
    <x v="0"/>
  </r>
  <r>
    <n v="159"/>
    <x v="22"/>
    <x v="22"/>
    <x v="22"/>
    <x v="33"/>
    <x v="0"/>
    <x v="0"/>
    <x v="3"/>
    <x v="0"/>
    <x v="7"/>
    <x v="13"/>
    <x v="56"/>
    <x v="0"/>
    <x v="0"/>
    <x v="0"/>
    <x v="0"/>
    <x v="33"/>
    <x v="0"/>
  </r>
  <r>
    <n v="159"/>
    <x v="22"/>
    <x v="22"/>
    <x v="22"/>
    <x v="34"/>
    <x v="0"/>
    <x v="0"/>
    <x v="3"/>
    <x v="0"/>
    <x v="7"/>
    <x v="221"/>
    <x v="241"/>
    <x v="0"/>
    <x v="0"/>
    <x v="0"/>
    <x v="0"/>
    <x v="34"/>
    <x v="0"/>
  </r>
  <r>
    <n v="159"/>
    <x v="22"/>
    <x v="22"/>
    <x v="22"/>
    <x v="35"/>
    <x v="0"/>
    <x v="0"/>
    <x v="3"/>
    <x v="0"/>
    <x v="7"/>
    <x v="30"/>
    <x v="44"/>
    <x v="0"/>
    <x v="0"/>
    <x v="0"/>
    <x v="0"/>
    <x v="35"/>
    <x v="0"/>
  </r>
  <r>
    <n v="159"/>
    <x v="22"/>
    <x v="22"/>
    <x v="22"/>
    <x v="36"/>
    <x v="0"/>
    <x v="0"/>
    <x v="3"/>
    <x v="0"/>
    <x v="7"/>
    <x v="234"/>
    <x v="257"/>
    <x v="0"/>
    <x v="0"/>
    <x v="0"/>
    <x v="0"/>
    <x v="36"/>
    <x v="0"/>
  </r>
  <r>
    <n v="161"/>
    <x v="23"/>
    <x v="23"/>
    <x v="23"/>
    <x v="44"/>
    <x v="0"/>
    <x v="0"/>
    <x v="4"/>
    <x v="0"/>
    <x v="0"/>
    <x v="273"/>
    <x v="301"/>
    <x v="0"/>
    <x v="0"/>
    <x v="0"/>
    <x v="0"/>
    <x v="44"/>
    <x v="0"/>
  </r>
  <r>
    <n v="161"/>
    <x v="23"/>
    <x v="23"/>
    <x v="23"/>
    <x v="3"/>
    <x v="1"/>
    <x v="2"/>
    <x v="4"/>
    <x v="0"/>
    <x v="0"/>
    <x v="5"/>
    <x v="5"/>
    <x v="2"/>
    <x v="0"/>
    <x v="2"/>
    <x v="1"/>
    <x v="3"/>
    <x v="1"/>
  </r>
  <r>
    <n v="161"/>
    <x v="23"/>
    <x v="23"/>
    <x v="23"/>
    <x v="4"/>
    <x v="0"/>
    <x v="0"/>
    <x v="4"/>
    <x v="0"/>
    <x v="0"/>
    <x v="117"/>
    <x v="148"/>
    <x v="0"/>
    <x v="0"/>
    <x v="0"/>
    <x v="0"/>
    <x v="4"/>
    <x v="0"/>
  </r>
  <r>
    <n v="161"/>
    <x v="23"/>
    <x v="23"/>
    <x v="23"/>
    <x v="5"/>
    <x v="0"/>
    <x v="0"/>
    <x v="4"/>
    <x v="0"/>
    <x v="0"/>
    <x v="30"/>
    <x v="302"/>
    <x v="0"/>
    <x v="0"/>
    <x v="0"/>
    <x v="0"/>
    <x v="5"/>
    <x v="0"/>
  </r>
  <r>
    <n v="161"/>
    <x v="23"/>
    <x v="23"/>
    <x v="23"/>
    <x v="6"/>
    <x v="1"/>
    <x v="2"/>
    <x v="4"/>
    <x v="0"/>
    <x v="0"/>
    <x v="5"/>
    <x v="5"/>
    <x v="2"/>
    <x v="0"/>
    <x v="2"/>
    <x v="1"/>
    <x v="6"/>
    <x v="1"/>
  </r>
  <r>
    <n v="161"/>
    <x v="23"/>
    <x v="23"/>
    <x v="23"/>
    <x v="7"/>
    <x v="0"/>
    <x v="0"/>
    <x v="4"/>
    <x v="0"/>
    <x v="1"/>
    <x v="154"/>
    <x v="177"/>
    <x v="0"/>
    <x v="0"/>
    <x v="0"/>
    <x v="0"/>
    <x v="7"/>
    <x v="0"/>
  </r>
  <r>
    <n v="161"/>
    <x v="23"/>
    <x v="23"/>
    <x v="23"/>
    <x v="9"/>
    <x v="0"/>
    <x v="0"/>
    <x v="4"/>
    <x v="0"/>
    <x v="1"/>
    <x v="13"/>
    <x v="15"/>
    <x v="0"/>
    <x v="0"/>
    <x v="0"/>
    <x v="0"/>
    <x v="9"/>
    <x v="0"/>
  </r>
  <r>
    <n v="161"/>
    <x v="23"/>
    <x v="23"/>
    <x v="23"/>
    <x v="12"/>
    <x v="0"/>
    <x v="0"/>
    <x v="4"/>
    <x v="0"/>
    <x v="2"/>
    <x v="274"/>
    <x v="303"/>
    <x v="0"/>
    <x v="0"/>
    <x v="0"/>
    <x v="0"/>
    <x v="12"/>
    <x v="0"/>
  </r>
  <r>
    <n v="161"/>
    <x v="23"/>
    <x v="23"/>
    <x v="23"/>
    <x v="20"/>
    <x v="0"/>
    <x v="0"/>
    <x v="4"/>
    <x v="0"/>
    <x v="4"/>
    <x v="275"/>
    <x v="304"/>
    <x v="0"/>
    <x v="0"/>
    <x v="0"/>
    <x v="0"/>
    <x v="20"/>
    <x v="0"/>
  </r>
  <r>
    <n v="161"/>
    <x v="23"/>
    <x v="23"/>
    <x v="23"/>
    <x v="21"/>
    <x v="0"/>
    <x v="0"/>
    <x v="4"/>
    <x v="0"/>
    <x v="4"/>
    <x v="275"/>
    <x v="304"/>
    <x v="0"/>
    <x v="0"/>
    <x v="0"/>
    <x v="0"/>
    <x v="21"/>
    <x v="0"/>
  </r>
  <r>
    <n v="161"/>
    <x v="23"/>
    <x v="23"/>
    <x v="23"/>
    <x v="23"/>
    <x v="0"/>
    <x v="0"/>
    <x v="4"/>
    <x v="0"/>
    <x v="5"/>
    <x v="47"/>
    <x v="56"/>
    <x v="0"/>
    <x v="0"/>
    <x v="0"/>
    <x v="0"/>
    <x v="23"/>
    <x v="0"/>
  </r>
  <r>
    <n v="161"/>
    <x v="23"/>
    <x v="23"/>
    <x v="23"/>
    <x v="24"/>
    <x v="0"/>
    <x v="0"/>
    <x v="4"/>
    <x v="0"/>
    <x v="5"/>
    <x v="72"/>
    <x v="90"/>
    <x v="0"/>
    <x v="0"/>
    <x v="0"/>
    <x v="0"/>
    <x v="24"/>
    <x v="0"/>
  </r>
  <r>
    <n v="161"/>
    <x v="23"/>
    <x v="23"/>
    <x v="23"/>
    <x v="25"/>
    <x v="0"/>
    <x v="0"/>
    <x v="4"/>
    <x v="0"/>
    <x v="5"/>
    <x v="72"/>
    <x v="90"/>
    <x v="0"/>
    <x v="0"/>
    <x v="0"/>
    <x v="0"/>
    <x v="25"/>
    <x v="0"/>
  </r>
  <r>
    <n v="161"/>
    <x v="23"/>
    <x v="23"/>
    <x v="23"/>
    <x v="26"/>
    <x v="0"/>
    <x v="0"/>
    <x v="4"/>
    <x v="0"/>
    <x v="6"/>
    <x v="13"/>
    <x v="115"/>
    <x v="0"/>
    <x v="0"/>
    <x v="0"/>
    <x v="0"/>
    <x v="26"/>
    <x v="0"/>
  </r>
  <r>
    <n v="161"/>
    <x v="23"/>
    <x v="23"/>
    <x v="23"/>
    <x v="27"/>
    <x v="0"/>
    <x v="0"/>
    <x v="4"/>
    <x v="0"/>
    <x v="6"/>
    <x v="80"/>
    <x v="101"/>
    <x v="0"/>
    <x v="0"/>
    <x v="0"/>
    <x v="0"/>
    <x v="27"/>
    <x v="0"/>
  </r>
  <r>
    <n v="161"/>
    <x v="23"/>
    <x v="23"/>
    <x v="23"/>
    <x v="28"/>
    <x v="0"/>
    <x v="0"/>
    <x v="4"/>
    <x v="0"/>
    <x v="7"/>
    <x v="30"/>
    <x v="44"/>
    <x v="0"/>
    <x v="0"/>
    <x v="0"/>
    <x v="0"/>
    <x v="28"/>
    <x v="0"/>
  </r>
  <r>
    <n v="161"/>
    <x v="23"/>
    <x v="23"/>
    <x v="23"/>
    <x v="29"/>
    <x v="0"/>
    <x v="0"/>
    <x v="4"/>
    <x v="0"/>
    <x v="7"/>
    <x v="47"/>
    <x v="56"/>
    <x v="0"/>
    <x v="0"/>
    <x v="0"/>
    <x v="0"/>
    <x v="29"/>
    <x v="0"/>
  </r>
  <r>
    <n v="161"/>
    <x v="23"/>
    <x v="23"/>
    <x v="23"/>
    <x v="30"/>
    <x v="0"/>
    <x v="0"/>
    <x v="4"/>
    <x v="0"/>
    <x v="7"/>
    <x v="49"/>
    <x v="56"/>
    <x v="0"/>
    <x v="0"/>
    <x v="0"/>
    <x v="0"/>
    <x v="30"/>
    <x v="0"/>
  </r>
  <r>
    <n v="161"/>
    <x v="23"/>
    <x v="23"/>
    <x v="23"/>
    <x v="31"/>
    <x v="0"/>
    <x v="0"/>
    <x v="4"/>
    <x v="0"/>
    <x v="7"/>
    <x v="220"/>
    <x v="91"/>
    <x v="0"/>
    <x v="0"/>
    <x v="0"/>
    <x v="0"/>
    <x v="31"/>
    <x v="0"/>
  </r>
  <r>
    <n v="161"/>
    <x v="23"/>
    <x v="23"/>
    <x v="23"/>
    <x v="32"/>
    <x v="0"/>
    <x v="0"/>
    <x v="4"/>
    <x v="0"/>
    <x v="7"/>
    <x v="30"/>
    <x v="44"/>
    <x v="0"/>
    <x v="0"/>
    <x v="0"/>
    <x v="0"/>
    <x v="32"/>
    <x v="0"/>
  </r>
  <r>
    <n v="161"/>
    <x v="23"/>
    <x v="23"/>
    <x v="23"/>
    <x v="33"/>
    <x v="0"/>
    <x v="0"/>
    <x v="4"/>
    <x v="0"/>
    <x v="7"/>
    <x v="13"/>
    <x v="56"/>
    <x v="0"/>
    <x v="0"/>
    <x v="0"/>
    <x v="0"/>
    <x v="33"/>
    <x v="0"/>
  </r>
  <r>
    <n v="161"/>
    <x v="23"/>
    <x v="23"/>
    <x v="23"/>
    <x v="34"/>
    <x v="0"/>
    <x v="0"/>
    <x v="4"/>
    <x v="0"/>
    <x v="7"/>
    <x v="274"/>
    <x v="303"/>
    <x v="0"/>
    <x v="0"/>
    <x v="0"/>
    <x v="0"/>
    <x v="34"/>
    <x v="0"/>
  </r>
  <r>
    <n v="161"/>
    <x v="23"/>
    <x v="23"/>
    <x v="23"/>
    <x v="35"/>
    <x v="0"/>
    <x v="0"/>
    <x v="4"/>
    <x v="0"/>
    <x v="7"/>
    <x v="275"/>
    <x v="304"/>
    <x v="0"/>
    <x v="0"/>
    <x v="0"/>
    <x v="0"/>
    <x v="35"/>
    <x v="0"/>
  </r>
  <r>
    <n v="161"/>
    <x v="23"/>
    <x v="23"/>
    <x v="23"/>
    <x v="36"/>
    <x v="0"/>
    <x v="0"/>
    <x v="4"/>
    <x v="0"/>
    <x v="7"/>
    <x v="234"/>
    <x v="257"/>
    <x v="0"/>
    <x v="0"/>
    <x v="0"/>
    <x v="0"/>
    <x v="36"/>
    <x v="0"/>
  </r>
  <r>
    <n v="163"/>
    <x v="24"/>
    <x v="24"/>
    <x v="24"/>
    <x v="45"/>
    <x v="0"/>
    <x v="0"/>
    <x v="5"/>
    <x v="0"/>
    <x v="0"/>
    <x v="133"/>
    <x v="305"/>
    <x v="0"/>
    <x v="0"/>
    <x v="0"/>
    <x v="0"/>
    <x v="45"/>
    <x v="0"/>
  </r>
  <r>
    <n v="163"/>
    <x v="24"/>
    <x v="24"/>
    <x v="24"/>
    <x v="3"/>
    <x v="1"/>
    <x v="2"/>
    <x v="5"/>
    <x v="0"/>
    <x v="0"/>
    <x v="5"/>
    <x v="5"/>
    <x v="2"/>
    <x v="0"/>
    <x v="2"/>
    <x v="1"/>
    <x v="3"/>
    <x v="1"/>
  </r>
  <r>
    <n v="163"/>
    <x v="24"/>
    <x v="24"/>
    <x v="24"/>
    <x v="4"/>
    <x v="0"/>
    <x v="0"/>
    <x v="5"/>
    <x v="0"/>
    <x v="0"/>
    <x v="276"/>
    <x v="28"/>
    <x v="0"/>
    <x v="0"/>
    <x v="0"/>
    <x v="0"/>
    <x v="4"/>
    <x v="0"/>
  </r>
  <r>
    <n v="163"/>
    <x v="24"/>
    <x v="24"/>
    <x v="24"/>
    <x v="5"/>
    <x v="0"/>
    <x v="0"/>
    <x v="5"/>
    <x v="0"/>
    <x v="0"/>
    <x v="277"/>
    <x v="127"/>
    <x v="0"/>
    <x v="0"/>
    <x v="0"/>
    <x v="0"/>
    <x v="5"/>
    <x v="0"/>
  </r>
  <r>
    <n v="163"/>
    <x v="24"/>
    <x v="24"/>
    <x v="24"/>
    <x v="6"/>
    <x v="1"/>
    <x v="2"/>
    <x v="5"/>
    <x v="0"/>
    <x v="0"/>
    <x v="5"/>
    <x v="5"/>
    <x v="2"/>
    <x v="0"/>
    <x v="2"/>
    <x v="1"/>
    <x v="6"/>
    <x v="1"/>
  </r>
  <r>
    <n v="163"/>
    <x v="24"/>
    <x v="24"/>
    <x v="24"/>
    <x v="7"/>
    <x v="0"/>
    <x v="0"/>
    <x v="5"/>
    <x v="0"/>
    <x v="1"/>
    <x v="130"/>
    <x v="306"/>
    <x v="0"/>
    <x v="0"/>
    <x v="0"/>
    <x v="0"/>
    <x v="7"/>
    <x v="0"/>
  </r>
  <r>
    <n v="163"/>
    <x v="24"/>
    <x v="24"/>
    <x v="24"/>
    <x v="9"/>
    <x v="0"/>
    <x v="0"/>
    <x v="5"/>
    <x v="0"/>
    <x v="1"/>
    <x v="13"/>
    <x v="307"/>
    <x v="0"/>
    <x v="0"/>
    <x v="0"/>
    <x v="0"/>
    <x v="9"/>
    <x v="0"/>
  </r>
  <r>
    <n v="163"/>
    <x v="24"/>
    <x v="24"/>
    <x v="24"/>
    <x v="12"/>
    <x v="0"/>
    <x v="0"/>
    <x v="5"/>
    <x v="0"/>
    <x v="2"/>
    <x v="63"/>
    <x v="83"/>
    <x v="0"/>
    <x v="0"/>
    <x v="0"/>
    <x v="0"/>
    <x v="12"/>
    <x v="0"/>
  </r>
  <r>
    <n v="163"/>
    <x v="24"/>
    <x v="24"/>
    <x v="24"/>
    <x v="20"/>
    <x v="0"/>
    <x v="0"/>
    <x v="5"/>
    <x v="0"/>
    <x v="4"/>
    <x v="278"/>
    <x v="308"/>
    <x v="0"/>
    <x v="0"/>
    <x v="0"/>
    <x v="0"/>
    <x v="20"/>
    <x v="0"/>
  </r>
  <r>
    <n v="163"/>
    <x v="24"/>
    <x v="24"/>
    <x v="24"/>
    <x v="21"/>
    <x v="0"/>
    <x v="0"/>
    <x v="5"/>
    <x v="0"/>
    <x v="4"/>
    <x v="278"/>
    <x v="308"/>
    <x v="0"/>
    <x v="0"/>
    <x v="0"/>
    <x v="0"/>
    <x v="21"/>
    <x v="0"/>
  </r>
  <r>
    <n v="163"/>
    <x v="24"/>
    <x v="24"/>
    <x v="24"/>
    <x v="23"/>
    <x v="0"/>
    <x v="0"/>
    <x v="5"/>
    <x v="0"/>
    <x v="5"/>
    <x v="65"/>
    <x v="86"/>
    <x v="0"/>
    <x v="0"/>
    <x v="0"/>
    <x v="0"/>
    <x v="23"/>
    <x v="0"/>
  </r>
  <r>
    <n v="163"/>
    <x v="24"/>
    <x v="24"/>
    <x v="24"/>
    <x v="24"/>
    <x v="0"/>
    <x v="0"/>
    <x v="5"/>
    <x v="0"/>
    <x v="5"/>
    <x v="257"/>
    <x v="281"/>
    <x v="0"/>
    <x v="0"/>
    <x v="0"/>
    <x v="0"/>
    <x v="24"/>
    <x v="0"/>
  </r>
  <r>
    <n v="163"/>
    <x v="24"/>
    <x v="24"/>
    <x v="24"/>
    <x v="25"/>
    <x v="0"/>
    <x v="0"/>
    <x v="5"/>
    <x v="0"/>
    <x v="5"/>
    <x v="257"/>
    <x v="281"/>
    <x v="0"/>
    <x v="0"/>
    <x v="0"/>
    <x v="0"/>
    <x v="25"/>
    <x v="0"/>
  </r>
  <r>
    <n v="163"/>
    <x v="24"/>
    <x v="24"/>
    <x v="24"/>
    <x v="26"/>
    <x v="0"/>
    <x v="0"/>
    <x v="5"/>
    <x v="0"/>
    <x v="6"/>
    <x v="13"/>
    <x v="309"/>
    <x v="0"/>
    <x v="0"/>
    <x v="0"/>
    <x v="0"/>
    <x v="26"/>
    <x v="0"/>
  </r>
  <r>
    <n v="163"/>
    <x v="24"/>
    <x v="24"/>
    <x v="24"/>
    <x v="27"/>
    <x v="0"/>
    <x v="0"/>
    <x v="5"/>
    <x v="0"/>
    <x v="6"/>
    <x v="279"/>
    <x v="310"/>
    <x v="0"/>
    <x v="0"/>
    <x v="0"/>
    <x v="0"/>
    <x v="27"/>
    <x v="0"/>
  </r>
  <r>
    <n v="163"/>
    <x v="24"/>
    <x v="24"/>
    <x v="24"/>
    <x v="28"/>
    <x v="0"/>
    <x v="0"/>
    <x v="5"/>
    <x v="0"/>
    <x v="7"/>
    <x v="147"/>
    <x v="170"/>
    <x v="0"/>
    <x v="0"/>
    <x v="0"/>
    <x v="0"/>
    <x v="28"/>
    <x v="0"/>
  </r>
  <r>
    <n v="163"/>
    <x v="24"/>
    <x v="24"/>
    <x v="24"/>
    <x v="29"/>
    <x v="0"/>
    <x v="0"/>
    <x v="5"/>
    <x v="0"/>
    <x v="7"/>
    <x v="81"/>
    <x v="73"/>
    <x v="0"/>
    <x v="0"/>
    <x v="0"/>
    <x v="0"/>
    <x v="29"/>
    <x v="0"/>
  </r>
  <r>
    <n v="163"/>
    <x v="24"/>
    <x v="24"/>
    <x v="24"/>
    <x v="30"/>
    <x v="0"/>
    <x v="0"/>
    <x v="5"/>
    <x v="0"/>
    <x v="7"/>
    <x v="83"/>
    <x v="73"/>
    <x v="0"/>
    <x v="0"/>
    <x v="0"/>
    <x v="0"/>
    <x v="30"/>
    <x v="0"/>
  </r>
  <r>
    <n v="163"/>
    <x v="24"/>
    <x v="24"/>
    <x v="24"/>
    <x v="31"/>
    <x v="0"/>
    <x v="0"/>
    <x v="5"/>
    <x v="0"/>
    <x v="7"/>
    <x v="266"/>
    <x v="291"/>
    <x v="0"/>
    <x v="0"/>
    <x v="0"/>
    <x v="0"/>
    <x v="31"/>
    <x v="0"/>
  </r>
  <r>
    <n v="163"/>
    <x v="24"/>
    <x v="24"/>
    <x v="24"/>
    <x v="32"/>
    <x v="0"/>
    <x v="0"/>
    <x v="5"/>
    <x v="0"/>
    <x v="7"/>
    <x v="147"/>
    <x v="170"/>
    <x v="0"/>
    <x v="0"/>
    <x v="0"/>
    <x v="0"/>
    <x v="32"/>
    <x v="0"/>
  </r>
  <r>
    <n v="163"/>
    <x v="24"/>
    <x v="24"/>
    <x v="24"/>
    <x v="33"/>
    <x v="0"/>
    <x v="0"/>
    <x v="5"/>
    <x v="0"/>
    <x v="7"/>
    <x v="13"/>
    <x v="73"/>
    <x v="0"/>
    <x v="0"/>
    <x v="0"/>
    <x v="0"/>
    <x v="33"/>
    <x v="0"/>
  </r>
  <r>
    <n v="163"/>
    <x v="24"/>
    <x v="24"/>
    <x v="24"/>
    <x v="34"/>
    <x v="0"/>
    <x v="0"/>
    <x v="5"/>
    <x v="0"/>
    <x v="7"/>
    <x v="85"/>
    <x v="104"/>
    <x v="0"/>
    <x v="0"/>
    <x v="0"/>
    <x v="0"/>
    <x v="34"/>
    <x v="0"/>
  </r>
  <r>
    <n v="163"/>
    <x v="24"/>
    <x v="24"/>
    <x v="24"/>
    <x v="35"/>
    <x v="0"/>
    <x v="0"/>
    <x v="5"/>
    <x v="0"/>
    <x v="7"/>
    <x v="105"/>
    <x v="126"/>
    <x v="0"/>
    <x v="0"/>
    <x v="0"/>
    <x v="0"/>
    <x v="35"/>
    <x v="0"/>
  </r>
  <r>
    <n v="163"/>
    <x v="24"/>
    <x v="24"/>
    <x v="24"/>
    <x v="36"/>
    <x v="0"/>
    <x v="0"/>
    <x v="5"/>
    <x v="0"/>
    <x v="7"/>
    <x v="15"/>
    <x v="17"/>
    <x v="0"/>
    <x v="0"/>
    <x v="0"/>
    <x v="0"/>
    <x v="36"/>
    <x v="0"/>
  </r>
  <r>
    <n v="167"/>
    <x v="25"/>
    <x v="25"/>
    <x v="25"/>
    <x v="46"/>
    <x v="0"/>
    <x v="0"/>
    <x v="6"/>
    <x v="0"/>
    <x v="0"/>
    <x v="280"/>
    <x v="311"/>
    <x v="0"/>
    <x v="0"/>
    <x v="0"/>
    <x v="0"/>
    <x v="46"/>
    <x v="0"/>
  </r>
  <r>
    <n v="167"/>
    <x v="25"/>
    <x v="25"/>
    <x v="25"/>
    <x v="40"/>
    <x v="0"/>
    <x v="0"/>
    <x v="6"/>
    <x v="0"/>
    <x v="0"/>
    <x v="281"/>
    <x v="312"/>
    <x v="0"/>
    <x v="0"/>
    <x v="0"/>
    <x v="0"/>
    <x v="40"/>
    <x v="0"/>
  </r>
  <r>
    <n v="167"/>
    <x v="25"/>
    <x v="25"/>
    <x v="25"/>
    <x v="3"/>
    <x v="1"/>
    <x v="2"/>
    <x v="6"/>
    <x v="0"/>
    <x v="0"/>
    <x v="5"/>
    <x v="5"/>
    <x v="2"/>
    <x v="0"/>
    <x v="2"/>
    <x v="1"/>
    <x v="3"/>
    <x v="1"/>
  </r>
  <r>
    <n v="167"/>
    <x v="25"/>
    <x v="25"/>
    <x v="25"/>
    <x v="4"/>
    <x v="0"/>
    <x v="0"/>
    <x v="6"/>
    <x v="0"/>
    <x v="0"/>
    <x v="282"/>
    <x v="313"/>
    <x v="0"/>
    <x v="0"/>
    <x v="0"/>
    <x v="0"/>
    <x v="4"/>
    <x v="0"/>
  </r>
  <r>
    <n v="167"/>
    <x v="25"/>
    <x v="25"/>
    <x v="25"/>
    <x v="5"/>
    <x v="0"/>
    <x v="0"/>
    <x v="6"/>
    <x v="0"/>
    <x v="0"/>
    <x v="283"/>
    <x v="314"/>
    <x v="0"/>
    <x v="0"/>
    <x v="0"/>
    <x v="0"/>
    <x v="5"/>
    <x v="0"/>
  </r>
  <r>
    <n v="167"/>
    <x v="25"/>
    <x v="25"/>
    <x v="25"/>
    <x v="6"/>
    <x v="1"/>
    <x v="2"/>
    <x v="6"/>
    <x v="0"/>
    <x v="0"/>
    <x v="5"/>
    <x v="5"/>
    <x v="2"/>
    <x v="0"/>
    <x v="2"/>
    <x v="1"/>
    <x v="6"/>
    <x v="1"/>
  </r>
  <r>
    <n v="167"/>
    <x v="25"/>
    <x v="25"/>
    <x v="25"/>
    <x v="7"/>
    <x v="0"/>
    <x v="0"/>
    <x v="6"/>
    <x v="0"/>
    <x v="1"/>
    <x v="284"/>
    <x v="315"/>
    <x v="0"/>
    <x v="0"/>
    <x v="0"/>
    <x v="0"/>
    <x v="7"/>
    <x v="0"/>
  </r>
  <r>
    <n v="167"/>
    <x v="25"/>
    <x v="25"/>
    <x v="25"/>
    <x v="9"/>
    <x v="0"/>
    <x v="0"/>
    <x v="6"/>
    <x v="0"/>
    <x v="1"/>
    <x v="13"/>
    <x v="316"/>
    <x v="0"/>
    <x v="0"/>
    <x v="0"/>
    <x v="0"/>
    <x v="9"/>
    <x v="0"/>
  </r>
  <r>
    <n v="167"/>
    <x v="25"/>
    <x v="25"/>
    <x v="25"/>
    <x v="12"/>
    <x v="0"/>
    <x v="0"/>
    <x v="6"/>
    <x v="0"/>
    <x v="2"/>
    <x v="285"/>
    <x v="317"/>
    <x v="0"/>
    <x v="0"/>
    <x v="0"/>
    <x v="0"/>
    <x v="12"/>
    <x v="0"/>
  </r>
  <r>
    <n v="167"/>
    <x v="25"/>
    <x v="25"/>
    <x v="25"/>
    <x v="20"/>
    <x v="0"/>
    <x v="0"/>
    <x v="6"/>
    <x v="0"/>
    <x v="4"/>
    <x v="272"/>
    <x v="299"/>
    <x v="0"/>
    <x v="0"/>
    <x v="0"/>
    <x v="0"/>
    <x v="20"/>
    <x v="0"/>
  </r>
  <r>
    <n v="167"/>
    <x v="25"/>
    <x v="25"/>
    <x v="25"/>
    <x v="21"/>
    <x v="0"/>
    <x v="0"/>
    <x v="6"/>
    <x v="0"/>
    <x v="4"/>
    <x v="278"/>
    <x v="308"/>
    <x v="0"/>
    <x v="0"/>
    <x v="0"/>
    <x v="0"/>
    <x v="21"/>
    <x v="0"/>
  </r>
  <r>
    <n v="167"/>
    <x v="25"/>
    <x v="25"/>
    <x v="25"/>
    <x v="47"/>
    <x v="0"/>
    <x v="0"/>
    <x v="6"/>
    <x v="0"/>
    <x v="8"/>
    <x v="286"/>
    <x v="318"/>
    <x v="0"/>
    <x v="0"/>
    <x v="0"/>
    <x v="0"/>
    <x v="47"/>
    <x v="0"/>
  </r>
  <r>
    <n v="167"/>
    <x v="25"/>
    <x v="25"/>
    <x v="25"/>
    <x v="38"/>
    <x v="1"/>
    <x v="0"/>
    <x v="6"/>
    <x v="0"/>
    <x v="8"/>
    <x v="286"/>
    <x v="318"/>
    <x v="0"/>
    <x v="0"/>
    <x v="0"/>
    <x v="1"/>
    <x v="38"/>
    <x v="1"/>
  </r>
  <r>
    <n v="167"/>
    <x v="25"/>
    <x v="25"/>
    <x v="25"/>
    <x v="23"/>
    <x v="0"/>
    <x v="0"/>
    <x v="6"/>
    <x v="0"/>
    <x v="5"/>
    <x v="287"/>
    <x v="319"/>
    <x v="0"/>
    <x v="0"/>
    <x v="0"/>
    <x v="0"/>
    <x v="23"/>
    <x v="0"/>
  </r>
  <r>
    <n v="167"/>
    <x v="25"/>
    <x v="25"/>
    <x v="25"/>
    <x v="25"/>
    <x v="0"/>
    <x v="0"/>
    <x v="6"/>
    <x v="0"/>
    <x v="5"/>
    <x v="288"/>
    <x v="220"/>
    <x v="0"/>
    <x v="0"/>
    <x v="0"/>
    <x v="0"/>
    <x v="25"/>
    <x v="0"/>
  </r>
  <r>
    <n v="167"/>
    <x v="25"/>
    <x v="25"/>
    <x v="25"/>
    <x v="26"/>
    <x v="0"/>
    <x v="0"/>
    <x v="6"/>
    <x v="0"/>
    <x v="6"/>
    <x v="13"/>
    <x v="320"/>
    <x v="0"/>
    <x v="0"/>
    <x v="0"/>
    <x v="0"/>
    <x v="26"/>
    <x v="0"/>
  </r>
  <r>
    <n v="167"/>
    <x v="25"/>
    <x v="25"/>
    <x v="25"/>
    <x v="27"/>
    <x v="0"/>
    <x v="0"/>
    <x v="6"/>
    <x v="0"/>
    <x v="6"/>
    <x v="30"/>
    <x v="44"/>
    <x v="0"/>
    <x v="0"/>
    <x v="0"/>
    <x v="0"/>
    <x v="27"/>
    <x v="0"/>
  </r>
  <r>
    <n v="167"/>
    <x v="25"/>
    <x v="25"/>
    <x v="25"/>
    <x v="28"/>
    <x v="0"/>
    <x v="0"/>
    <x v="6"/>
    <x v="0"/>
    <x v="7"/>
    <x v="30"/>
    <x v="44"/>
    <x v="0"/>
    <x v="0"/>
    <x v="0"/>
    <x v="0"/>
    <x v="28"/>
    <x v="0"/>
  </r>
  <r>
    <n v="167"/>
    <x v="25"/>
    <x v="25"/>
    <x v="25"/>
    <x v="29"/>
    <x v="0"/>
    <x v="0"/>
    <x v="6"/>
    <x v="0"/>
    <x v="7"/>
    <x v="287"/>
    <x v="319"/>
    <x v="0"/>
    <x v="0"/>
    <x v="0"/>
    <x v="0"/>
    <x v="29"/>
    <x v="0"/>
  </r>
  <r>
    <n v="167"/>
    <x v="25"/>
    <x v="25"/>
    <x v="25"/>
    <x v="30"/>
    <x v="0"/>
    <x v="0"/>
    <x v="6"/>
    <x v="0"/>
    <x v="7"/>
    <x v="241"/>
    <x v="319"/>
    <x v="0"/>
    <x v="0"/>
    <x v="0"/>
    <x v="0"/>
    <x v="30"/>
    <x v="0"/>
  </r>
  <r>
    <n v="167"/>
    <x v="25"/>
    <x v="25"/>
    <x v="25"/>
    <x v="31"/>
    <x v="0"/>
    <x v="0"/>
    <x v="6"/>
    <x v="0"/>
    <x v="7"/>
    <x v="220"/>
    <x v="91"/>
    <x v="0"/>
    <x v="0"/>
    <x v="0"/>
    <x v="0"/>
    <x v="31"/>
    <x v="0"/>
  </r>
  <r>
    <n v="167"/>
    <x v="25"/>
    <x v="25"/>
    <x v="25"/>
    <x v="32"/>
    <x v="0"/>
    <x v="0"/>
    <x v="6"/>
    <x v="0"/>
    <x v="7"/>
    <x v="30"/>
    <x v="44"/>
    <x v="0"/>
    <x v="0"/>
    <x v="0"/>
    <x v="0"/>
    <x v="32"/>
    <x v="0"/>
  </r>
  <r>
    <n v="167"/>
    <x v="25"/>
    <x v="25"/>
    <x v="25"/>
    <x v="33"/>
    <x v="0"/>
    <x v="0"/>
    <x v="6"/>
    <x v="0"/>
    <x v="7"/>
    <x v="13"/>
    <x v="319"/>
    <x v="0"/>
    <x v="0"/>
    <x v="0"/>
    <x v="0"/>
    <x v="33"/>
    <x v="0"/>
  </r>
  <r>
    <n v="167"/>
    <x v="25"/>
    <x v="25"/>
    <x v="25"/>
    <x v="34"/>
    <x v="0"/>
    <x v="0"/>
    <x v="6"/>
    <x v="0"/>
    <x v="7"/>
    <x v="274"/>
    <x v="303"/>
    <x v="0"/>
    <x v="0"/>
    <x v="0"/>
    <x v="0"/>
    <x v="34"/>
    <x v="0"/>
  </r>
  <r>
    <n v="167"/>
    <x v="25"/>
    <x v="25"/>
    <x v="25"/>
    <x v="35"/>
    <x v="0"/>
    <x v="0"/>
    <x v="6"/>
    <x v="0"/>
    <x v="7"/>
    <x v="30"/>
    <x v="44"/>
    <x v="0"/>
    <x v="0"/>
    <x v="0"/>
    <x v="0"/>
    <x v="35"/>
    <x v="0"/>
  </r>
  <r>
    <n v="167"/>
    <x v="25"/>
    <x v="25"/>
    <x v="25"/>
    <x v="36"/>
    <x v="0"/>
    <x v="0"/>
    <x v="6"/>
    <x v="0"/>
    <x v="7"/>
    <x v="30"/>
    <x v="44"/>
    <x v="0"/>
    <x v="0"/>
    <x v="0"/>
    <x v="0"/>
    <x v="36"/>
    <x v="0"/>
  </r>
  <r>
    <n v="168"/>
    <x v="26"/>
    <x v="26"/>
    <x v="26"/>
    <x v="46"/>
    <x v="0"/>
    <x v="0"/>
    <x v="6"/>
    <x v="0"/>
    <x v="0"/>
    <x v="289"/>
    <x v="321"/>
    <x v="0"/>
    <x v="0"/>
    <x v="0"/>
    <x v="0"/>
    <x v="46"/>
    <x v="0"/>
  </r>
  <r>
    <n v="168"/>
    <x v="26"/>
    <x v="26"/>
    <x v="26"/>
    <x v="40"/>
    <x v="0"/>
    <x v="0"/>
    <x v="6"/>
    <x v="0"/>
    <x v="0"/>
    <x v="131"/>
    <x v="322"/>
    <x v="0"/>
    <x v="0"/>
    <x v="0"/>
    <x v="0"/>
    <x v="40"/>
    <x v="0"/>
  </r>
  <r>
    <n v="168"/>
    <x v="26"/>
    <x v="26"/>
    <x v="26"/>
    <x v="3"/>
    <x v="1"/>
    <x v="2"/>
    <x v="6"/>
    <x v="0"/>
    <x v="0"/>
    <x v="5"/>
    <x v="5"/>
    <x v="2"/>
    <x v="0"/>
    <x v="2"/>
    <x v="1"/>
    <x v="3"/>
    <x v="1"/>
  </r>
  <r>
    <n v="168"/>
    <x v="26"/>
    <x v="26"/>
    <x v="26"/>
    <x v="4"/>
    <x v="0"/>
    <x v="0"/>
    <x v="6"/>
    <x v="0"/>
    <x v="0"/>
    <x v="290"/>
    <x v="323"/>
    <x v="0"/>
    <x v="0"/>
    <x v="0"/>
    <x v="0"/>
    <x v="4"/>
    <x v="0"/>
  </r>
  <r>
    <n v="168"/>
    <x v="26"/>
    <x v="26"/>
    <x v="26"/>
    <x v="5"/>
    <x v="0"/>
    <x v="0"/>
    <x v="6"/>
    <x v="0"/>
    <x v="0"/>
    <x v="15"/>
    <x v="324"/>
    <x v="0"/>
    <x v="0"/>
    <x v="0"/>
    <x v="0"/>
    <x v="5"/>
    <x v="0"/>
  </r>
  <r>
    <n v="168"/>
    <x v="26"/>
    <x v="26"/>
    <x v="26"/>
    <x v="6"/>
    <x v="1"/>
    <x v="2"/>
    <x v="6"/>
    <x v="0"/>
    <x v="0"/>
    <x v="5"/>
    <x v="5"/>
    <x v="2"/>
    <x v="0"/>
    <x v="2"/>
    <x v="1"/>
    <x v="6"/>
    <x v="1"/>
  </r>
  <r>
    <n v="168"/>
    <x v="26"/>
    <x v="26"/>
    <x v="26"/>
    <x v="7"/>
    <x v="0"/>
    <x v="0"/>
    <x v="6"/>
    <x v="0"/>
    <x v="1"/>
    <x v="253"/>
    <x v="274"/>
    <x v="0"/>
    <x v="0"/>
    <x v="0"/>
    <x v="0"/>
    <x v="7"/>
    <x v="0"/>
  </r>
  <r>
    <n v="168"/>
    <x v="26"/>
    <x v="26"/>
    <x v="26"/>
    <x v="9"/>
    <x v="0"/>
    <x v="0"/>
    <x v="6"/>
    <x v="0"/>
    <x v="1"/>
    <x v="13"/>
    <x v="316"/>
    <x v="0"/>
    <x v="0"/>
    <x v="0"/>
    <x v="0"/>
    <x v="9"/>
    <x v="0"/>
  </r>
  <r>
    <n v="168"/>
    <x v="26"/>
    <x v="26"/>
    <x v="26"/>
    <x v="12"/>
    <x v="0"/>
    <x v="0"/>
    <x v="6"/>
    <x v="0"/>
    <x v="2"/>
    <x v="274"/>
    <x v="303"/>
    <x v="0"/>
    <x v="0"/>
    <x v="0"/>
    <x v="0"/>
    <x v="12"/>
    <x v="0"/>
  </r>
  <r>
    <n v="168"/>
    <x v="26"/>
    <x v="26"/>
    <x v="26"/>
    <x v="20"/>
    <x v="0"/>
    <x v="0"/>
    <x v="6"/>
    <x v="0"/>
    <x v="4"/>
    <x v="275"/>
    <x v="304"/>
    <x v="0"/>
    <x v="0"/>
    <x v="0"/>
    <x v="0"/>
    <x v="20"/>
    <x v="0"/>
  </r>
  <r>
    <n v="168"/>
    <x v="26"/>
    <x v="26"/>
    <x v="26"/>
    <x v="21"/>
    <x v="0"/>
    <x v="0"/>
    <x v="6"/>
    <x v="0"/>
    <x v="4"/>
    <x v="275"/>
    <x v="304"/>
    <x v="0"/>
    <x v="0"/>
    <x v="0"/>
    <x v="0"/>
    <x v="21"/>
    <x v="0"/>
  </r>
  <r>
    <n v="168"/>
    <x v="26"/>
    <x v="26"/>
    <x v="26"/>
    <x v="47"/>
    <x v="0"/>
    <x v="0"/>
    <x v="6"/>
    <x v="0"/>
    <x v="8"/>
    <x v="291"/>
    <x v="325"/>
    <x v="0"/>
    <x v="0"/>
    <x v="0"/>
    <x v="0"/>
    <x v="47"/>
    <x v="0"/>
  </r>
  <r>
    <n v="168"/>
    <x v="26"/>
    <x v="26"/>
    <x v="26"/>
    <x v="38"/>
    <x v="1"/>
    <x v="2"/>
    <x v="6"/>
    <x v="0"/>
    <x v="8"/>
    <x v="5"/>
    <x v="5"/>
    <x v="2"/>
    <x v="0"/>
    <x v="2"/>
    <x v="1"/>
    <x v="38"/>
    <x v="1"/>
  </r>
  <r>
    <n v="168"/>
    <x v="26"/>
    <x v="26"/>
    <x v="26"/>
    <x v="23"/>
    <x v="0"/>
    <x v="0"/>
    <x v="6"/>
    <x v="0"/>
    <x v="5"/>
    <x v="292"/>
    <x v="326"/>
    <x v="0"/>
    <x v="0"/>
    <x v="0"/>
    <x v="0"/>
    <x v="23"/>
    <x v="0"/>
  </r>
  <r>
    <n v="168"/>
    <x v="26"/>
    <x v="26"/>
    <x v="26"/>
    <x v="25"/>
    <x v="0"/>
    <x v="2"/>
    <x v="6"/>
    <x v="0"/>
    <x v="5"/>
    <x v="5"/>
    <x v="5"/>
    <x v="2"/>
    <x v="0"/>
    <x v="2"/>
    <x v="1"/>
    <x v="25"/>
    <x v="1"/>
  </r>
  <r>
    <n v="168"/>
    <x v="26"/>
    <x v="26"/>
    <x v="26"/>
    <x v="26"/>
    <x v="0"/>
    <x v="0"/>
    <x v="6"/>
    <x v="0"/>
    <x v="6"/>
    <x v="13"/>
    <x v="327"/>
    <x v="0"/>
    <x v="0"/>
    <x v="0"/>
    <x v="0"/>
    <x v="26"/>
    <x v="0"/>
  </r>
  <r>
    <n v="168"/>
    <x v="26"/>
    <x v="26"/>
    <x v="26"/>
    <x v="27"/>
    <x v="0"/>
    <x v="0"/>
    <x v="6"/>
    <x v="0"/>
    <x v="6"/>
    <x v="293"/>
    <x v="328"/>
    <x v="0"/>
    <x v="0"/>
    <x v="0"/>
    <x v="0"/>
    <x v="27"/>
    <x v="0"/>
  </r>
  <r>
    <n v="168"/>
    <x v="26"/>
    <x v="26"/>
    <x v="26"/>
    <x v="28"/>
    <x v="0"/>
    <x v="0"/>
    <x v="6"/>
    <x v="0"/>
    <x v="7"/>
    <x v="15"/>
    <x v="17"/>
    <x v="0"/>
    <x v="0"/>
    <x v="0"/>
    <x v="0"/>
    <x v="28"/>
    <x v="0"/>
  </r>
  <r>
    <n v="168"/>
    <x v="26"/>
    <x v="26"/>
    <x v="26"/>
    <x v="29"/>
    <x v="0"/>
    <x v="0"/>
    <x v="6"/>
    <x v="0"/>
    <x v="7"/>
    <x v="294"/>
    <x v="329"/>
    <x v="0"/>
    <x v="0"/>
    <x v="0"/>
    <x v="0"/>
    <x v="29"/>
    <x v="0"/>
  </r>
  <r>
    <n v="168"/>
    <x v="26"/>
    <x v="26"/>
    <x v="26"/>
    <x v="30"/>
    <x v="0"/>
    <x v="0"/>
    <x v="6"/>
    <x v="0"/>
    <x v="7"/>
    <x v="295"/>
    <x v="326"/>
    <x v="0"/>
    <x v="0"/>
    <x v="0"/>
    <x v="0"/>
    <x v="30"/>
    <x v="0"/>
  </r>
  <r>
    <n v="168"/>
    <x v="26"/>
    <x v="26"/>
    <x v="26"/>
    <x v="31"/>
    <x v="0"/>
    <x v="0"/>
    <x v="6"/>
    <x v="0"/>
    <x v="7"/>
    <x v="220"/>
    <x v="330"/>
    <x v="0"/>
    <x v="0"/>
    <x v="0"/>
    <x v="0"/>
    <x v="31"/>
    <x v="0"/>
  </r>
  <r>
    <n v="168"/>
    <x v="26"/>
    <x v="26"/>
    <x v="26"/>
    <x v="32"/>
    <x v="0"/>
    <x v="0"/>
    <x v="6"/>
    <x v="0"/>
    <x v="7"/>
    <x v="15"/>
    <x v="17"/>
    <x v="0"/>
    <x v="0"/>
    <x v="0"/>
    <x v="0"/>
    <x v="32"/>
    <x v="0"/>
  </r>
  <r>
    <n v="168"/>
    <x v="26"/>
    <x v="26"/>
    <x v="26"/>
    <x v="33"/>
    <x v="0"/>
    <x v="0"/>
    <x v="6"/>
    <x v="0"/>
    <x v="7"/>
    <x v="13"/>
    <x v="326"/>
    <x v="0"/>
    <x v="0"/>
    <x v="0"/>
    <x v="0"/>
    <x v="33"/>
    <x v="0"/>
  </r>
  <r>
    <n v="168"/>
    <x v="26"/>
    <x v="26"/>
    <x v="26"/>
    <x v="34"/>
    <x v="0"/>
    <x v="0"/>
    <x v="6"/>
    <x v="0"/>
    <x v="7"/>
    <x v="296"/>
    <x v="331"/>
    <x v="0"/>
    <x v="0"/>
    <x v="0"/>
    <x v="0"/>
    <x v="34"/>
    <x v="0"/>
  </r>
  <r>
    <n v="168"/>
    <x v="26"/>
    <x v="26"/>
    <x v="26"/>
    <x v="35"/>
    <x v="0"/>
    <x v="0"/>
    <x v="6"/>
    <x v="0"/>
    <x v="7"/>
    <x v="275"/>
    <x v="304"/>
    <x v="0"/>
    <x v="0"/>
    <x v="0"/>
    <x v="0"/>
    <x v="35"/>
    <x v="0"/>
  </r>
  <r>
    <n v="168"/>
    <x v="26"/>
    <x v="26"/>
    <x v="26"/>
    <x v="36"/>
    <x v="0"/>
    <x v="0"/>
    <x v="6"/>
    <x v="0"/>
    <x v="7"/>
    <x v="105"/>
    <x v="126"/>
    <x v="0"/>
    <x v="0"/>
    <x v="0"/>
    <x v="0"/>
    <x v="36"/>
    <x v="0"/>
  </r>
  <r>
    <n v="243"/>
    <x v="27"/>
    <x v="27"/>
    <x v="27"/>
    <x v="46"/>
    <x v="0"/>
    <x v="0"/>
    <x v="6"/>
    <x v="0"/>
    <x v="0"/>
    <x v="297"/>
    <x v="266"/>
    <x v="0"/>
    <x v="0"/>
    <x v="0"/>
    <x v="0"/>
    <x v="46"/>
    <x v="0"/>
  </r>
  <r>
    <n v="243"/>
    <x v="27"/>
    <x v="27"/>
    <x v="27"/>
    <x v="40"/>
    <x v="0"/>
    <x v="0"/>
    <x v="6"/>
    <x v="0"/>
    <x v="0"/>
    <x v="297"/>
    <x v="266"/>
    <x v="0"/>
    <x v="0"/>
    <x v="0"/>
    <x v="0"/>
    <x v="40"/>
    <x v="0"/>
  </r>
  <r>
    <n v="243"/>
    <x v="27"/>
    <x v="27"/>
    <x v="27"/>
    <x v="3"/>
    <x v="1"/>
    <x v="2"/>
    <x v="6"/>
    <x v="0"/>
    <x v="0"/>
    <x v="5"/>
    <x v="5"/>
    <x v="2"/>
    <x v="0"/>
    <x v="2"/>
    <x v="1"/>
    <x v="3"/>
    <x v="1"/>
  </r>
  <r>
    <n v="243"/>
    <x v="27"/>
    <x v="27"/>
    <x v="27"/>
    <x v="4"/>
    <x v="0"/>
    <x v="0"/>
    <x v="6"/>
    <x v="0"/>
    <x v="0"/>
    <x v="236"/>
    <x v="332"/>
    <x v="0"/>
    <x v="0"/>
    <x v="0"/>
    <x v="0"/>
    <x v="4"/>
    <x v="0"/>
  </r>
  <r>
    <n v="243"/>
    <x v="27"/>
    <x v="27"/>
    <x v="27"/>
    <x v="5"/>
    <x v="0"/>
    <x v="0"/>
    <x v="6"/>
    <x v="0"/>
    <x v="0"/>
    <x v="298"/>
    <x v="333"/>
    <x v="0"/>
    <x v="0"/>
    <x v="0"/>
    <x v="0"/>
    <x v="5"/>
    <x v="0"/>
  </r>
  <r>
    <n v="243"/>
    <x v="27"/>
    <x v="27"/>
    <x v="27"/>
    <x v="6"/>
    <x v="1"/>
    <x v="2"/>
    <x v="6"/>
    <x v="0"/>
    <x v="0"/>
    <x v="5"/>
    <x v="5"/>
    <x v="2"/>
    <x v="0"/>
    <x v="2"/>
    <x v="1"/>
    <x v="6"/>
    <x v="1"/>
  </r>
  <r>
    <n v="243"/>
    <x v="27"/>
    <x v="27"/>
    <x v="27"/>
    <x v="7"/>
    <x v="0"/>
    <x v="0"/>
    <x v="6"/>
    <x v="0"/>
    <x v="1"/>
    <x v="299"/>
    <x v="334"/>
    <x v="0"/>
    <x v="0"/>
    <x v="0"/>
    <x v="0"/>
    <x v="7"/>
    <x v="0"/>
  </r>
  <r>
    <n v="243"/>
    <x v="27"/>
    <x v="27"/>
    <x v="27"/>
    <x v="9"/>
    <x v="0"/>
    <x v="0"/>
    <x v="6"/>
    <x v="0"/>
    <x v="1"/>
    <x v="13"/>
    <x v="276"/>
    <x v="0"/>
    <x v="0"/>
    <x v="0"/>
    <x v="0"/>
    <x v="9"/>
    <x v="0"/>
  </r>
  <r>
    <n v="243"/>
    <x v="27"/>
    <x v="27"/>
    <x v="27"/>
    <x v="12"/>
    <x v="0"/>
    <x v="0"/>
    <x v="6"/>
    <x v="0"/>
    <x v="2"/>
    <x v="219"/>
    <x v="335"/>
    <x v="0"/>
    <x v="0"/>
    <x v="0"/>
    <x v="0"/>
    <x v="12"/>
    <x v="0"/>
  </r>
  <r>
    <n v="243"/>
    <x v="27"/>
    <x v="27"/>
    <x v="27"/>
    <x v="20"/>
    <x v="0"/>
    <x v="0"/>
    <x v="6"/>
    <x v="0"/>
    <x v="4"/>
    <x v="300"/>
    <x v="336"/>
    <x v="0"/>
    <x v="0"/>
    <x v="0"/>
    <x v="0"/>
    <x v="20"/>
    <x v="0"/>
  </r>
  <r>
    <n v="243"/>
    <x v="27"/>
    <x v="27"/>
    <x v="27"/>
    <x v="21"/>
    <x v="0"/>
    <x v="0"/>
    <x v="6"/>
    <x v="0"/>
    <x v="4"/>
    <x v="300"/>
    <x v="336"/>
    <x v="0"/>
    <x v="0"/>
    <x v="0"/>
    <x v="0"/>
    <x v="21"/>
    <x v="0"/>
  </r>
  <r>
    <n v="243"/>
    <x v="27"/>
    <x v="27"/>
    <x v="27"/>
    <x v="47"/>
    <x v="0"/>
    <x v="0"/>
    <x v="6"/>
    <x v="0"/>
    <x v="8"/>
    <x v="301"/>
    <x v="337"/>
    <x v="0"/>
    <x v="0"/>
    <x v="0"/>
    <x v="0"/>
    <x v="47"/>
    <x v="0"/>
  </r>
  <r>
    <n v="243"/>
    <x v="27"/>
    <x v="27"/>
    <x v="27"/>
    <x v="38"/>
    <x v="1"/>
    <x v="0"/>
    <x v="6"/>
    <x v="0"/>
    <x v="8"/>
    <x v="301"/>
    <x v="337"/>
    <x v="0"/>
    <x v="0"/>
    <x v="0"/>
    <x v="0"/>
    <x v="38"/>
    <x v="0"/>
  </r>
  <r>
    <n v="243"/>
    <x v="27"/>
    <x v="27"/>
    <x v="27"/>
    <x v="23"/>
    <x v="0"/>
    <x v="0"/>
    <x v="6"/>
    <x v="0"/>
    <x v="5"/>
    <x v="302"/>
    <x v="338"/>
    <x v="0"/>
    <x v="0"/>
    <x v="0"/>
    <x v="0"/>
    <x v="23"/>
    <x v="0"/>
  </r>
  <r>
    <n v="243"/>
    <x v="27"/>
    <x v="27"/>
    <x v="27"/>
    <x v="25"/>
    <x v="0"/>
    <x v="2"/>
    <x v="6"/>
    <x v="0"/>
    <x v="5"/>
    <x v="5"/>
    <x v="5"/>
    <x v="2"/>
    <x v="0"/>
    <x v="2"/>
    <x v="1"/>
    <x v="25"/>
    <x v="1"/>
  </r>
  <r>
    <n v="243"/>
    <x v="27"/>
    <x v="27"/>
    <x v="27"/>
    <x v="26"/>
    <x v="0"/>
    <x v="0"/>
    <x v="6"/>
    <x v="0"/>
    <x v="6"/>
    <x v="13"/>
    <x v="243"/>
    <x v="0"/>
    <x v="0"/>
    <x v="0"/>
    <x v="0"/>
    <x v="26"/>
    <x v="0"/>
  </r>
  <r>
    <n v="243"/>
    <x v="27"/>
    <x v="27"/>
    <x v="27"/>
    <x v="27"/>
    <x v="0"/>
    <x v="0"/>
    <x v="6"/>
    <x v="0"/>
    <x v="6"/>
    <x v="219"/>
    <x v="335"/>
    <x v="0"/>
    <x v="0"/>
    <x v="0"/>
    <x v="0"/>
    <x v="27"/>
    <x v="0"/>
  </r>
  <r>
    <n v="243"/>
    <x v="27"/>
    <x v="27"/>
    <x v="27"/>
    <x v="28"/>
    <x v="0"/>
    <x v="0"/>
    <x v="6"/>
    <x v="0"/>
    <x v="7"/>
    <x v="303"/>
    <x v="339"/>
    <x v="0"/>
    <x v="0"/>
    <x v="0"/>
    <x v="0"/>
    <x v="28"/>
    <x v="0"/>
  </r>
  <r>
    <n v="243"/>
    <x v="27"/>
    <x v="27"/>
    <x v="27"/>
    <x v="29"/>
    <x v="0"/>
    <x v="0"/>
    <x v="6"/>
    <x v="0"/>
    <x v="7"/>
    <x v="302"/>
    <x v="338"/>
    <x v="0"/>
    <x v="0"/>
    <x v="0"/>
    <x v="0"/>
    <x v="29"/>
    <x v="0"/>
  </r>
  <r>
    <n v="243"/>
    <x v="27"/>
    <x v="27"/>
    <x v="27"/>
    <x v="30"/>
    <x v="0"/>
    <x v="0"/>
    <x v="6"/>
    <x v="0"/>
    <x v="7"/>
    <x v="304"/>
    <x v="92"/>
    <x v="0"/>
    <x v="0"/>
    <x v="0"/>
    <x v="0"/>
    <x v="30"/>
    <x v="0"/>
  </r>
  <r>
    <n v="243"/>
    <x v="27"/>
    <x v="27"/>
    <x v="27"/>
    <x v="31"/>
    <x v="0"/>
    <x v="0"/>
    <x v="6"/>
    <x v="0"/>
    <x v="7"/>
    <x v="305"/>
    <x v="330"/>
    <x v="0"/>
    <x v="0"/>
    <x v="0"/>
    <x v="0"/>
    <x v="31"/>
    <x v="0"/>
  </r>
  <r>
    <n v="243"/>
    <x v="27"/>
    <x v="27"/>
    <x v="27"/>
    <x v="32"/>
    <x v="0"/>
    <x v="0"/>
    <x v="6"/>
    <x v="0"/>
    <x v="7"/>
    <x v="303"/>
    <x v="339"/>
    <x v="0"/>
    <x v="0"/>
    <x v="0"/>
    <x v="0"/>
    <x v="32"/>
    <x v="0"/>
  </r>
  <r>
    <n v="243"/>
    <x v="27"/>
    <x v="27"/>
    <x v="27"/>
    <x v="33"/>
    <x v="0"/>
    <x v="0"/>
    <x v="6"/>
    <x v="0"/>
    <x v="7"/>
    <x v="13"/>
    <x v="338"/>
    <x v="0"/>
    <x v="0"/>
    <x v="0"/>
    <x v="0"/>
    <x v="33"/>
    <x v="0"/>
  </r>
  <r>
    <n v="243"/>
    <x v="27"/>
    <x v="27"/>
    <x v="27"/>
    <x v="34"/>
    <x v="0"/>
    <x v="0"/>
    <x v="6"/>
    <x v="0"/>
    <x v="7"/>
    <x v="219"/>
    <x v="335"/>
    <x v="0"/>
    <x v="0"/>
    <x v="0"/>
    <x v="0"/>
    <x v="34"/>
    <x v="0"/>
  </r>
  <r>
    <n v="243"/>
    <x v="27"/>
    <x v="27"/>
    <x v="27"/>
    <x v="35"/>
    <x v="0"/>
    <x v="0"/>
    <x v="6"/>
    <x v="0"/>
    <x v="7"/>
    <x v="303"/>
    <x v="339"/>
    <x v="0"/>
    <x v="0"/>
    <x v="0"/>
    <x v="0"/>
    <x v="35"/>
    <x v="0"/>
  </r>
  <r>
    <n v="243"/>
    <x v="27"/>
    <x v="27"/>
    <x v="27"/>
    <x v="36"/>
    <x v="0"/>
    <x v="0"/>
    <x v="6"/>
    <x v="0"/>
    <x v="7"/>
    <x v="219"/>
    <x v="335"/>
    <x v="0"/>
    <x v="0"/>
    <x v="0"/>
    <x v="0"/>
    <x v="36"/>
    <x v="0"/>
  </r>
  <r>
    <n v="180"/>
    <x v="28"/>
    <x v="28"/>
    <x v="28"/>
    <x v="48"/>
    <x v="0"/>
    <x v="0"/>
    <x v="7"/>
    <x v="0"/>
    <x v="0"/>
    <x v="306"/>
    <x v="340"/>
    <x v="0"/>
    <x v="0"/>
    <x v="0"/>
    <x v="0"/>
    <x v="48"/>
    <x v="0"/>
  </r>
  <r>
    <n v="180"/>
    <x v="28"/>
    <x v="28"/>
    <x v="28"/>
    <x v="40"/>
    <x v="1"/>
    <x v="0"/>
    <x v="7"/>
    <x v="0"/>
    <x v="0"/>
    <x v="307"/>
    <x v="341"/>
    <x v="0"/>
    <x v="0"/>
    <x v="0"/>
    <x v="0"/>
    <x v="40"/>
    <x v="0"/>
  </r>
  <r>
    <n v="180"/>
    <x v="28"/>
    <x v="28"/>
    <x v="28"/>
    <x v="3"/>
    <x v="1"/>
    <x v="0"/>
    <x v="7"/>
    <x v="0"/>
    <x v="0"/>
    <x v="308"/>
    <x v="342"/>
    <x v="0"/>
    <x v="0"/>
    <x v="0"/>
    <x v="1"/>
    <x v="3"/>
    <x v="1"/>
  </r>
  <r>
    <n v="180"/>
    <x v="28"/>
    <x v="28"/>
    <x v="28"/>
    <x v="4"/>
    <x v="0"/>
    <x v="0"/>
    <x v="7"/>
    <x v="0"/>
    <x v="0"/>
    <x v="71"/>
    <x v="89"/>
    <x v="0"/>
    <x v="0"/>
    <x v="0"/>
    <x v="0"/>
    <x v="4"/>
    <x v="0"/>
  </r>
  <r>
    <n v="180"/>
    <x v="28"/>
    <x v="28"/>
    <x v="28"/>
    <x v="5"/>
    <x v="0"/>
    <x v="0"/>
    <x v="7"/>
    <x v="0"/>
    <x v="0"/>
    <x v="274"/>
    <x v="282"/>
    <x v="0"/>
    <x v="0"/>
    <x v="0"/>
    <x v="0"/>
    <x v="5"/>
    <x v="0"/>
  </r>
  <r>
    <n v="180"/>
    <x v="28"/>
    <x v="28"/>
    <x v="28"/>
    <x v="6"/>
    <x v="1"/>
    <x v="1"/>
    <x v="7"/>
    <x v="0"/>
    <x v="0"/>
    <x v="10"/>
    <x v="87"/>
    <x v="1"/>
    <x v="0"/>
    <x v="1"/>
    <x v="0"/>
    <x v="6"/>
    <x v="0"/>
  </r>
  <r>
    <n v="180"/>
    <x v="28"/>
    <x v="28"/>
    <x v="28"/>
    <x v="49"/>
    <x v="1"/>
    <x v="0"/>
    <x v="7"/>
    <x v="0"/>
    <x v="0"/>
    <x v="13"/>
    <x v="343"/>
    <x v="0"/>
    <x v="0"/>
    <x v="0"/>
    <x v="0"/>
    <x v="49"/>
    <x v="0"/>
  </r>
  <r>
    <n v="180"/>
    <x v="28"/>
    <x v="28"/>
    <x v="28"/>
    <x v="7"/>
    <x v="0"/>
    <x v="0"/>
    <x v="7"/>
    <x v="0"/>
    <x v="1"/>
    <x v="253"/>
    <x v="274"/>
    <x v="0"/>
    <x v="0"/>
    <x v="0"/>
    <x v="0"/>
    <x v="7"/>
    <x v="0"/>
  </r>
  <r>
    <n v="180"/>
    <x v="28"/>
    <x v="28"/>
    <x v="28"/>
    <x v="9"/>
    <x v="0"/>
    <x v="0"/>
    <x v="7"/>
    <x v="0"/>
    <x v="1"/>
    <x v="13"/>
    <x v="344"/>
    <x v="0"/>
    <x v="0"/>
    <x v="0"/>
    <x v="0"/>
    <x v="9"/>
    <x v="0"/>
  </r>
  <r>
    <n v="180"/>
    <x v="28"/>
    <x v="28"/>
    <x v="28"/>
    <x v="12"/>
    <x v="0"/>
    <x v="0"/>
    <x v="7"/>
    <x v="0"/>
    <x v="2"/>
    <x v="221"/>
    <x v="241"/>
    <x v="0"/>
    <x v="0"/>
    <x v="0"/>
    <x v="0"/>
    <x v="12"/>
    <x v="0"/>
  </r>
  <r>
    <n v="180"/>
    <x v="28"/>
    <x v="28"/>
    <x v="28"/>
    <x v="20"/>
    <x v="0"/>
    <x v="0"/>
    <x v="7"/>
    <x v="0"/>
    <x v="4"/>
    <x v="309"/>
    <x v="345"/>
    <x v="0"/>
    <x v="0"/>
    <x v="0"/>
    <x v="0"/>
    <x v="20"/>
    <x v="0"/>
  </r>
  <r>
    <n v="180"/>
    <x v="28"/>
    <x v="28"/>
    <x v="28"/>
    <x v="21"/>
    <x v="0"/>
    <x v="0"/>
    <x v="7"/>
    <x v="0"/>
    <x v="4"/>
    <x v="309"/>
    <x v="345"/>
    <x v="0"/>
    <x v="0"/>
    <x v="0"/>
    <x v="0"/>
    <x v="21"/>
    <x v="0"/>
  </r>
  <r>
    <n v="180"/>
    <x v="28"/>
    <x v="28"/>
    <x v="28"/>
    <x v="47"/>
    <x v="0"/>
    <x v="0"/>
    <x v="7"/>
    <x v="0"/>
    <x v="8"/>
    <x v="310"/>
    <x v="346"/>
    <x v="0"/>
    <x v="0"/>
    <x v="0"/>
    <x v="0"/>
    <x v="47"/>
    <x v="0"/>
  </r>
  <r>
    <n v="180"/>
    <x v="28"/>
    <x v="28"/>
    <x v="28"/>
    <x v="38"/>
    <x v="1"/>
    <x v="2"/>
    <x v="7"/>
    <x v="0"/>
    <x v="8"/>
    <x v="5"/>
    <x v="5"/>
    <x v="2"/>
    <x v="0"/>
    <x v="2"/>
    <x v="1"/>
    <x v="38"/>
    <x v="1"/>
  </r>
  <r>
    <n v="180"/>
    <x v="28"/>
    <x v="28"/>
    <x v="28"/>
    <x v="23"/>
    <x v="0"/>
    <x v="0"/>
    <x v="7"/>
    <x v="0"/>
    <x v="5"/>
    <x v="95"/>
    <x v="116"/>
    <x v="0"/>
    <x v="0"/>
    <x v="0"/>
    <x v="0"/>
    <x v="23"/>
    <x v="0"/>
  </r>
  <r>
    <n v="180"/>
    <x v="28"/>
    <x v="28"/>
    <x v="28"/>
    <x v="25"/>
    <x v="1"/>
    <x v="2"/>
    <x v="7"/>
    <x v="0"/>
    <x v="5"/>
    <x v="5"/>
    <x v="5"/>
    <x v="2"/>
    <x v="0"/>
    <x v="2"/>
    <x v="1"/>
    <x v="25"/>
    <x v="1"/>
  </r>
  <r>
    <n v="180"/>
    <x v="28"/>
    <x v="28"/>
    <x v="28"/>
    <x v="26"/>
    <x v="0"/>
    <x v="0"/>
    <x v="7"/>
    <x v="0"/>
    <x v="6"/>
    <x v="13"/>
    <x v="110"/>
    <x v="0"/>
    <x v="0"/>
    <x v="0"/>
    <x v="0"/>
    <x v="26"/>
    <x v="0"/>
  </r>
  <r>
    <n v="180"/>
    <x v="28"/>
    <x v="28"/>
    <x v="28"/>
    <x v="27"/>
    <x v="0"/>
    <x v="0"/>
    <x v="7"/>
    <x v="0"/>
    <x v="6"/>
    <x v="255"/>
    <x v="279"/>
    <x v="0"/>
    <x v="0"/>
    <x v="0"/>
    <x v="0"/>
    <x v="27"/>
    <x v="0"/>
  </r>
  <r>
    <n v="180"/>
    <x v="28"/>
    <x v="28"/>
    <x v="28"/>
    <x v="28"/>
    <x v="0"/>
    <x v="0"/>
    <x v="7"/>
    <x v="0"/>
    <x v="7"/>
    <x v="15"/>
    <x v="17"/>
    <x v="0"/>
    <x v="0"/>
    <x v="0"/>
    <x v="0"/>
    <x v="28"/>
    <x v="0"/>
  </r>
  <r>
    <n v="180"/>
    <x v="28"/>
    <x v="28"/>
    <x v="28"/>
    <x v="29"/>
    <x v="0"/>
    <x v="0"/>
    <x v="7"/>
    <x v="0"/>
    <x v="7"/>
    <x v="95"/>
    <x v="116"/>
    <x v="0"/>
    <x v="0"/>
    <x v="0"/>
    <x v="0"/>
    <x v="29"/>
    <x v="0"/>
  </r>
  <r>
    <n v="180"/>
    <x v="28"/>
    <x v="28"/>
    <x v="28"/>
    <x v="30"/>
    <x v="0"/>
    <x v="0"/>
    <x v="7"/>
    <x v="0"/>
    <x v="7"/>
    <x v="44"/>
    <x v="116"/>
    <x v="0"/>
    <x v="0"/>
    <x v="0"/>
    <x v="0"/>
    <x v="30"/>
    <x v="0"/>
  </r>
  <r>
    <n v="180"/>
    <x v="28"/>
    <x v="28"/>
    <x v="28"/>
    <x v="31"/>
    <x v="0"/>
    <x v="0"/>
    <x v="7"/>
    <x v="0"/>
    <x v="7"/>
    <x v="96"/>
    <x v="117"/>
    <x v="0"/>
    <x v="0"/>
    <x v="0"/>
    <x v="0"/>
    <x v="31"/>
    <x v="0"/>
  </r>
  <r>
    <n v="180"/>
    <x v="28"/>
    <x v="28"/>
    <x v="28"/>
    <x v="32"/>
    <x v="0"/>
    <x v="0"/>
    <x v="7"/>
    <x v="0"/>
    <x v="7"/>
    <x v="15"/>
    <x v="17"/>
    <x v="0"/>
    <x v="0"/>
    <x v="0"/>
    <x v="0"/>
    <x v="32"/>
    <x v="0"/>
  </r>
  <r>
    <n v="180"/>
    <x v="28"/>
    <x v="28"/>
    <x v="28"/>
    <x v="33"/>
    <x v="0"/>
    <x v="0"/>
    <x v="7"/>
    <x v="0"/>
    <x v="7"/>
    <x v="13"/>
    <x v="347"/>
    <x v="0"/>
    <x v="0"/>
    <x v="0"/>
    <x v="0"/>
    <x v="33"/>
    <x v="0"/>
  </r>
  <r>
    <n v="180"/>
    <x v="28"/>
    <x v="28"/>
    <x v="28"/>
    <x v="34"/>
    <x v="0"/>
    <x v="0"/>
    <x v="7"/>
    <x v="0"/>
    <x v="7"/>
    <x v="221"/>
    <x v="241"/>
    <x v="0"/>
    <x v="0"/>
    <x v="0"/>
    <x v="0"/>
    <x v="34"/>
    <x v="0"/>
  </r>
  <r>
    <n v="180"/>
    <x v="28"/>
    <x v="28"/>
    <x v="28"/>
    <x v="35"/>
    <x v="0"/>
    <x v="0"/>
    <x v="7"/>
    <x v="0"/>
    <x v="7"/>
    <x v="272"/>
    <x v="299"/>
    <x v="0"/>
    <x v="0"/>
    <x v="0"/>
    <x v="0"/>
    <x v="35"/>
    <x v="0"/>
  </r>
  <r>
    <n v="180"/>
    <x v="28"/>
    <x v="28"/>
    <x v="28"/>
    <x v="36"/>
    <x v="0"/>
    <x v="0"/>
    <x v="7"/>
    <x v="0"/>
    <x v="7"/>
    <x v="234"/>
    <x v="257"/>
    <x v="0"/>
    <x v="0"/>
    <x v="0"/>
    <x v="0"/>
    <x v="36"/>
    <x v="0"/>
  </r>
  <r>
    <n v="177"/>
    <x v="29"/>
    <x v="29"/>
    <x v="29"/>
    <x v="48"/>
    <x v="0"/>
    <x v="0"/>
    <x v="7"/>
    <x v="0"/>
    <x v="0"/>
    <x v="64"/>
    <x v="348"/>
    <x v="0"/>
    <x v="0"/>
    <x v="0"/>
    <x v="1"/>
    <x v="48"/>
    <x v="1"/>
  </r>
  <r>
    <n v="177"/>
    <x v="29"/>
    <x v="29"/>
    <x v="29"/>
    <x v="40"/>
    <x v="1"/>
    <x v="0"/>
    <x v="7"/>
    <x v="0"/>
    <x v="0"/>
    <x v="311"/>
    <x v="349"/>
    <x v="0"/>
    <x v="0"/>
    <x v="0"/>
    <x v="0"/>
    <x v="40"/>
    <x v="0"/>
  </r>
  <r>
    <n v="177"/>
    <x v="29"/>
    <x v="29"/>
    <x v="29"/>
    <x v="3"/>
    <x v="1"/>
    <x v="0"/>
    <x v="7"/>
    <x v="0"/>
    <x v="0"/>
    <x v="237"/>
    <x v="261"/>
    <x v="0"/>
    <x v="0"/>
    <x v="0"/>
    <x v="0"/>
    <x v="3"/>
    <x v="0"/>
  </r>
  <r>
    <n v="177"/>
    <x v="29"/>
    <x v="29"/>
    <x v="29"/>
    <x v="4"/>
    <x v="0"/>
    <x v="0"/>
    <x v="7"/>
    <x v="0"/>
    <x v="0"/>
    <x v="312"/>
    <x v="350"/>
    <x v="0"/>
    <x v="0"/>
    <x v="0"/>
    <x v="0"/>
    <x v="4"/>
    <x v="0"/>
  </r>
  <r>
    <n v="177"/>
    <x v="29"/>
    <x v="29"/>
    <x v="29"/>
    <x v="5"/>
    <x v="0"/>
    <x v="0"/>
    <x v="7"/>
    <x v="0"/>
    <x v="0"/>
    <x v="313"/>
    <x v="351"/>
    <x v="0"/>
    <x v="0"/>
    <x v="0"/>
    <x v="0"/>
    <x v="5"/>
    <x v="0"/>
  </r>
  <r>
    <n v="177"/>
    <x v="29"/>
    <x v="29"/>
    <x v="29"/>
    <x v="6"/>
    <x v="1"/>
    <x v="1"/>
    <x v="7"/>
    <x v="0"/>
    <x v="0"/>
    <x v="10"/>
    <x v="351"/>
    <x v="1"/>
    <x v="0"/>
    <x v="1"/>
    <x v="0"/>
    <x v="6"/>
    <x v="0"/>
  </r>
  <r>
    <n v="177"/>
    <x v="29"/>
    <x v="29"/>
    <x v="29"/>
    <x v="49"/>
    <x v="1"/>
    <x v="0"/>
    <x v="7"/>
    <x v="0"/>
    <x v="0"/>
    <x v="13"/>
    <x v="352"/>
    <x v="0"/>
    <x v="0"/>
    <x v="0"/>
    <x v="0"/>
    <x v="49"/>
    <x v="0"/>
  </r>
  <r>
    <n v="177"/>
    <x v="29"/>
    <x v="29"/>
    <x v="29"/>
    <x v="7"/>
    <x v="0"/>
    <x v="0"/>
    <x v="7"/>
    <x v="0"/>
    <x v="1"/>
    <x v="78"/>
    <x v="353"/>
    <x v="0"/>
    <x v="0"/>
    <x v="0"/>
    <x v="0"/>
    <x v="7"/>
    <x v="0"/>
  </r>
  <r>
    <n v="177"/>
    <x v="29"/>
    <x v="29"/>
    <x v="29"/>
    <x v="9"/>
    <x v="0"/>
    <x v="0"/>
    <x v="7"/>
    <x v="0"/>
    <x v="1"/>
    <x v="13"/>
    <x v="99"/>
    <x v="0"/>
    <x v="0"/>
    <x v="0"/>
    <x v="0"/>
    <x v="9"/>
    <x v="0"/>
  </r>
  <r>
    <n v="177"/>
    <x v="29"/>
    <x v="29"/>
    <x v="29"/>
    <x v="12"/>
    <x v="0"/>
    <x v="0"/>
    <x v="7"/>
    <x v="0"/>
    <x v="2"/>
    <x v="261"/>
    <x v="287"/>
    <x v="0"/>
    <x v="0"/>
    <x v="0"/>
    <x v="0"/>
    <x v="12"/>
    <x v="0"/>
  </r>
  <r>
    <n v="177"/>
    <x v="29"/>
    <x v="29"/>
    <x v="29"/>
    <x v="20"/>
    <x v="0"/>
    <x v="0"/>
    <x v="7"/>
    <x v="0"/>
    <x v="4"/>
    <x v="314"/>
    <x v="354"/>
    <x v="0"/>
    <x v="0"/>
    <x v="0"/>
    <x v="0"/>
    <x v="20"/>
    <x v="0"/>
  </r>
  <r>
    <n v="177"/>
    <x v="29"/>
    <x v="29"/>
    <x v="29"/>
    <x v="21"/>
    <x v="0"/>
    <x v="0"/>
    <x v="7"/>
    <x v="0"/>
    <x v="4"/>
    <x v="314"/>
    <x v="354"/>
    <x v="0"/>
    <x v="0"/>
    <x v="0"/>
    <x v="0"/>
    <x v="21"/>
    <x v="0"/>
  </r>
  <r>
    <n v="177"/>
    <x v="29"/>
    <x v="29"/>
    <x v="29"/>
    <x v="47"/>
    <x v="0"/>
    <x v="1"/>
    <x v="7"/>
    <x v="0"/>
    <x v="8"/>
    <x v="315"/>
    <x v="355"/>
    <x v="1"/>
    <x v="0"/>
    <x v="1"/>
    <x v="0"/>
    <x v="47"/>
    <x v="0"/>
  </r>
  <r>
    <n v="177"/>
    <x v="29"/>
    <x v="29"/>
    <x v="29"/>
    <x v="38"/>
    <x v="1"/>
    <x v="1"/>
    <x v="7"/>
    <x v="0"/>
    <x v="8"/>
    <x v="315"/>
    <x v="355"/>
    <x v="1"/>
    <x v="0"/>
    <x v="1"/>
    <x v="1"/>
    <x v="38"/>
    <x v="1"/>
  </r>
  <r>
    <n v="177"/>
    <x v="29"/>
    <x v="29"/>
    <x v="29"/>
    <x v="23"/>
    <x v="0"/>
    <x v="0"/>
    <x v="7"/>
    <x v="0"/>
    <x v="5"/>
    <x v="81"/>
    <x v="73"/>
    <x v="0"/>
    <x v="0"/>
    <x v="0"/>
    <x v="0"/>
    <x v="23"/>
    <x v="0"/>
  </r>
  <r>
    <n v="177"/>
    <x v="29"/>
    <x v="29"/>
    <x v="29"/>
    <x v="25"/>
    <x v="1"/>
    <x v="2"/>
    <x v="7"/>
    <x v="0"/>
    <x v="5"/>
    <x v="5"/>
    <x v="5"/>
    <x v="2"/>
    <x v="0"/>
    <x v="2"/>
    <x v="1"/>
    <x v="25"/>
    <x v="1"/>
  </r>
  <r>
    <n v="177"/>
    <x v="29"/>
    <x v="29"/>
    <x v="29"/>
    <x v="26"/>
    <x v="0"/>
    <x v="0"/>
    <x v="7"/>
    <x v="0"/>
    <x v="6"/>
    <x v="13"/>
    <x v="110"/>
    <x v="0"/>
    <x v="0"/>
    <x v="0"/>
    <x v="0"/>
    <x v="26"/>
    <x v="0"/>
  </r>
  <r>
    <n v="177"/>
    <x v="29"/>
    <x v="29"/>
    <x v="29"/>
    <x v="27"/>
    <x v="0"/>
    <x v="0"/>
    <x v="7"/>
    <x v="0"/>
    <x v="6"/>
    <x v="255"/>
    <x v="279"/>
    <x v="0"/>
    <x v="0"/>
    <x v="0"/>
    <x v="0"/>
    <x v="27"/>
    <x v="0"/>
  </r>
  <r>
    <n v="177"/>
    <x v="29"/>
    <x v="29"/>
    <x v="29"/>
    <x v="28"/>
    <x v="0"/>
    <x v="0"/>
    <x v="7"/>
    <x v="0"/>
    <x v="7"/>
    <x v="15"/>
    <x v="17"/>
    <x v="0"/>
    <x v="0"/>
    <x v="0"/>
    <x v="0"/>
    <x v="28"/>
    <x v="0"/>
  </r>
  <r>
    <n v="177"/>
    <x v="29"/>
    <x v="29"/>
    <x v="29"/>
    <x v="29"/>
    <x v="0"/>
    <x v="0"/>
    <x v="7"/>
    <x v="0"/>
    <x v="7"/>
    <x v="81"/>
    <x v="73"/>
    <x v="0"/>
    <x v="0"/>
    <x v="0"/>
    <x v="0"/>
    <x v="29"/>
    <x v="0"/>
  </r>
  <r>
    <n v="177"/>
    <x v="29"/>
    <x v="29"/>
    <x v="29"/>
    <x v="30"/>
    <x v="0"/>
    <x v="0"/>
    <x v="7"/>
    <x v="0"/>
    <x v="7"/>
    <x v="68"/>
    <x v="86"/>
    <x v="0"/>
    <x v="0"/>
    <x v="0"/>
    <x v="0"/>
    <x v="30"/>
    <x v="0"/>
  </r>
  <r>
    <n v="177"/>
    <x v="29"/>
    <x v="29"/>
    <x v="29"/>
    <x v="31"/>
    <x v="0"/>
    <x v="0"/>
    <x v="7"/>
    <x v="0"/>
    <x v="7"/>
    <x v="305"/>
    <x v="330"/>
    <x v="0"/>
    <x v="0"/>
    <x v="0"/>
    <x v="0"/>
    <x v="31"/>
    <x v="0"/>
  </r>
  <r>
    <n v="177"/>
    <x v="29"/>
    <x v="29"/>
    <x v="29"/>
    <x v="32"/>
    <x v="0"/>
    <x v="0"/>
    <x v="7"/>
    <x v="0"/>
    <x v="7"/>
    <x v="15"/>
    <x v="17"/>
    <x v="0"/>
    <x v="0"/>
    <x v="0"/>
    <x v="0"/>
    <x v="32"/>
    <x v="0"/>
  </r>
  <r>
    <n v="177"/>
    <x v="29"/>
    <x v="29"/>
    <x v="29"/>
    <x v="33"/>
    <x v="0"/>
    <x v="0"/>
    <x v="7"/>
    <x v="0"/>
    <x v="7"/>
    <x v="13"/>
    <x v="73"/>
    <x v="0"/>
    <x v="0"/>
    <x v="0"/>
    <x v="0"/>
    <x v="33"/>
    <x v="0"/>
  </r>
  <r>
    <n v="177"/>
    <x v="29"/>
    <x v="29"/>
    <x v="29"/>
    <x v="34"/>
    <x v="0"/>
    <x v="0"/>
    <x v="7"/>
    <x v="0"/>
    <x v="7"/>
    <x v="221"/>
    <x v="241"/>
    <x v="0"/>
    <x v="0"/>
    <x v="0"/>
    <x v="0"/>
    <x v="34"/>
    <x v="0"/>
  </r>
  <r>
    <n v="177"/>
    <x v="29"/>
    <x v="29"/>
    <x v="29"/>
    <x v="35"/>
    <x v="0"/>
    <x v="0"/>
    <x v="7"/>
    <x v="0"/>
    <x v="7"/>
    <x v="76"/>
    <x v="94"/>
    <x v="0"/>
    <x v="0"/>
    <x v="0"/>
    <x v="0"/>
    <x v="35"/>
    <x v="0"/>
  </r>
  <r>
    <n v="177"/>
    <x v="29"/>
    <x v="29"/>
    <x v="29"/>
    <x v="36"/>
    <x v="0"/>
    <x v="0"/>
    <x v="7"/>
    <x v="0"/>
    <x v="7"/>
    <x v="30"/>
    <x v="44"/>
    <x v="0"/>
    <x v="0"/>
    <x v="0"/>
    <x v="0"/>
    <x v="36"/>
    <x v="0"/>
  </r>
  <r>
    <n v="176"/>
    <x v="30"/>
    <x v="30"/>
    <x v="30"/>
    <x v="48"/>
    <x v="0"/>
    <x v="0"/>
    <x v="7"/>
    <x v="0"/>
    <x v="0"/>
    <x v="316"/>
    <x v="356"/>
    <x v="0"/>
    <x v="0"/>
    <x v="0"/>
    <x v="1"/>
    <x v="48"/>
    <x v="1"/>
  </r>
  <r>
    <n v="176"/>
    <x v="30"/>
    <x v="30"/>
    <x v="30"/>
    <x v="40"/>
    <x v="1"/>
    <x v="0"/>
    <x v="7"/>
    <x v="0"/>
    <x v="0"/>
    <x v="317"/>
    <x v="357"/>
    <x v="0"/>
    <x v="0"/>
    <x v="0"/>
    <x v="0"/>
    <x v="40"/>
    <x v="0"/>
  </r>
  <r>
    <n v="176"/>
    <x v="30"/>
    <x v="30"/>
    <x v="30"/>
    <x v="3"/>
    <x v="1"/>
    <x v="0"/>
    <x v="7"/>
    <x v="0"/>
    <x v="0"/>
    <x v="318"/>
    <x v="358"/>
    <x v="0"/>
    <x v="0"/>
    <x v="0"/>
    <x v="0"/>
    <x v="3"/>
    <x v="0"/>
  </r>
  <r>
    <n v="176"/>
    <x v="30"/>
    <x v="30"/>
    <x v="30"/>
    <x v="4"/>
    <x v="0"/>
    <x v="0"/>
    <x v="7"/>
    <x v="0"/>
    <x v="0"/>
    <x v="319"/>
    <x v="92"/>
    <x v="0"/>
    <x v="0"/>
    <x v="0"/>
    <x v="0"/>
    <x v="4"/>
    <x v="0"/>
  </r>
  <r>
    <n v="176"/>
    <x v="30"/>
    <x v="30"/>
    <x v="30"/>
    <x v="5"/>
    <x v="0"/>
    <x v="0"/>
    <x v="7"/>
    <x v="0"/>
    <x v="0"/>
    <x v="50"/>
    <x v="71"/>
    <x v="0"/>
    <x v="0"/>
    <x v="0"/>
    <x v="0"/>
    <x v="5"/>
    <x v="0"/>
  </r>
  <r>
    <n v="176"/>
    <x v="30"/>
    <x v="30"/>
    <x v="30"/>
    <x v="6"/>
    <x v="1"/>
    <x v="0"/>
    <x v="7"/>
    <x v="0"/>
    <x v="0"/>
    <x v="320"/>
    <x v="71"/>
    <x v="0"/>
    <x v="0"/>
    <x v="0"/>
    <x v="0"/>
    <x v="6"/>
    <x v="0"/>
  </r>
  <r>
    <n v="176"/>
    <x v="30"/>
    <x v="30"/>
    <x v="30"/>
    <x v="49"/>
    <x v="1"/>
    <x v="0"/>
    <x v="7"/>
    <x v="0"/>
    <x v="0"/>
    <x v="13"/>
    <x v="129"/>
    <x v="0"/>
    <x v="0"/>
    <x v="0"/>
    <x v="0"/>
    <x v="49"/>
    <x v="0"/>
  </r>
  <r>
    <n v="176"/>
    <x v="30"/>
    <x v="30"/>
    <x v="30"/>
    <x v="7"/>
    <x v="0"/>
    <x v="0"/>
    <x v="7"/>
    <x v="0"/>
    <x v="1"/>
    <x v="12"/>
    <x v="11"/>
    <x v="0"/>
    <x v="0"/>
    <x v="0"/>
    <x v="0"/>
    <x v="7"/>
    <x v="0"/>
  </r>
  <r>
    <n v="176"/>
    <x v="30"/>
    <x v="30"/>
    <x v="30"/>
    <x v="9"/>
    <x v="0"/>
    <x v="0"/>
    <x v="7"/>
    <x v="0"/>
    <x v="1"/>
    <x v="13"/>
    <x v="99"/>
    <x v="0"/>
    <x v="0"/>
    <x v="0"/>
    <x v="0"/>
    <x v="9"/>
    <x v="0"/>
  </r>
  <r>
    <n v="176"/>
    <x v="30"/>
    <x v="30"/>
    <x v="30"/>
    <x v="12"/>
    <x v="0"/>
    <x v="0"/>
    <x v="7"/>
    <x v="0"/>
    <x v="2"/>
    <x v="231"/>
    <x v="251"/>
    <x v="0"/>
    <x v="0"/>
    <x v="0"/>
    <x v="0"/>
    <x v="12"/>
    <x v="0"/>
  </r>
  <r>
    <n v="176"/>
    <x v="30"/>
    <x v="30"/>
    <x v="30"/>
    <x v="20"/>
    <x v="0"/>
    <x v="0"/>
    <x v="7"/>
    <x v="0"/>
    <x v="4"/>
    <x v="214"/>
    <x v="234"/>
    <x v="0"/>
    <x v="0"/>
    <x v="0"/>
    <x v="0"/>
    <x v="20"/>
    <x v="0"/>
  </r>
  <r>
    <n v="176"/>
    <x v="30"/>
    <x v="30"/>
    <x v="30"/>
    <x v="21"/>
    <x v="0"/>
    <x v="0"/>
    <x v="7"/>
    <x v="0"/>
    <x v="4"/>
    <x v="321"/>
    <x v="359"/>
    <x v="0"/>
    <x v="0"/>
    <x v="0"/>
    <x v="0"/>
    <x v="21"/>
    <x v="0"/>
  </r>
  <r>
    <n v="176"/>
    <x v="30"/>
    <x v="30"/>
    <x v="30"/>
    <x v="47"/>
    <x v="0"/>
    <x v="0"/>
    <x v="7"/>
    <x v="0"/>
    <x v="8"/>
    <x v="322"/>
    <x v="360"/>
    <x v="0"/>
    <x v="0"/>
    <x v="0"/>
    <x v="1"/>
    <x v="47"/>
    <x v="1"/>
  </r>
  <r>
    <n v="176"/>
    <x v="30"/>
    <x v="30"/>
    <x v="30"/>
    <x v="38"/>
    <x v="1"/>
    <x v="0"/>
    <x v="7"/>
    <x v="0"/>
    <x v="8"/>
    <x v="322"/>
    <x v="360"/>
    <x v="0"/>
    <x v="0"/>
    <x v="0"/>
    <x v="1"/>
    <x v="38"/>
    <x v="1"/>
  </r>
  <r>
    <n v="176"/>
    <x v="30"/>
    <x v="30"/>
    <x v="30"/>
    <x v="23"/>
    <x v="0"/>
    <x v="0"/>
    <x v="7"/>
    <x v="0"/>
    <x v="5"/>
    <x v="47"/>
    <x v="56"/>
    <x v="0"/>
    <x v="0"/>
    <x v="0"/>
    <x v="0"/>
    <x v="23"/>
    <x v="0"/>
  </r>
  <r>
    <n v="176"/>
    <x v="30"/>
    <x v="30"/>
    <x v="30"/>
    <x v="25"/>
    <x v="1"/>
    <x v="0"/>
    <x v="7"/>
    <x v="0"/>
    <x v="5"/>
    <x v="283"/>
    <x v="117"/>
    <x v="0"/>
    <x v="0"/>
    <x v="0"/>
    <x v="0"/>
    <x v="25"/>
    <x v="0"/>
  </r>
  <r>
    <n v="176"/>
    <x v="30"/>
    <x v="30"/>
    <x v="30"/>
    <x v="26"/>
    <x v="0"/>
    <x v="0"/>
    <x v="7"/>
    <x v="0"/>
    <x v="6"/>
    <x v="13"/>
    <x v="110"/>
    <x v="0"/>
    <x v="0"/>
    <x v="0"/>
    <x v="0"/>
    <x v="26"/>
    <x v="0"/>
  </r>
  <r>
    <n v="176"/>
    <x v="30"/>
    <x v="30"/>
    <x v="30"/>
    <x v="27"/>
    <x v="0"/>
    <x v="0"/>
    <x v="7"/>
    <x v="0"/>
    <x v="6"/>
    <x v="255"/>
    <x v="279"/>
    <x v="0"/>
    <x v="0"/>
    <x v="0"/>
    <x v="0"/>
    <x v="27"/>
    <x v="0"/>
  </r>
  <r>
    <n v="176"/>
    <x v="30"/>
    <x v="30"/>
    <x v="30"/>
    <x v="28"/>
    <x v="0"/>
    <x v="0"/>
    <x v="7"/>
    <x v="0"/>
    <x v="7"/>
    <x v="15"/>
    <x v="17"/>
    <x v="0"/>
    <x v="0"/>
    <x v="0"/>
    <x v="0"/>
    <x v="28"/>
    <x v="0"/>
  </r>
  <r>
    <n v="176"/>
    <x v="30"/>
    <x v="30"/>
    <x v="30"/>
    <x v="29"/>
    <x v="0"/>
    <x v="0"/>
    <x v="7"/>
    <x v="0"/>
    <x v="7"/>
    <x v="47"/>
    <x v="56"/>
    <x v="0"/>
    <x v="0"/>
    <x v="0"/>
    <x v="0"/>
    <x v="29"/>
    <x v="0"/>
  </r>
  <r>
    <n v="176"/>
    <x v="30"/>
    <x v="30"/>
    <x v="30"/>
    <x v="30"/>
    <x v="0"/>
    <x v="0"/>
    <x v="7"/>
    <x v="0"/>
    <x v="7"/>
    <x v="49"/>
    <x v="56"/>
    <x v="0"/>
    <x v="0"/>
    <x v="0"/>
    <x v="0"/>
    <x v="30"/>
    <x v="0"/>
  </r>
  <r>
    <n v="176"/>
    <x v="30"/>
    <x v="30"/>
    <x v="30"/>
    <x v="31"/>
    <x v="0"/>
    <x v="0"/>
    <x v="7"/>
    <x v="0"/>
    <x v="7"/>
    <x v="305"/>
    <x v="330"/>
    <x v="0"/>
    <x v="0"/>
    <x v="0"/>
    <x v="0"/>
    <x v="31"/>
    <x v="0"/>
  </r>
  <r>
    <n v="176"/>
    <x v="30"/>
    <x v="30"/>
    <x v="30"/>
    <x v="32"/>
    <x v="0"/>
    <x v="0"/>
    <x v="7"/>
    <x v="0"/>
    <x v="7"/>
    <x v="15"/>
    <x v="17"/>
    <x v="0"/>
    <x v="0"/>
    <x v="0"/>
    <x v="0"/>
    <x v="32"/>
    <x v="0"/>
  </r>
  <r>
    <n v="176"/>
    <x v="30"/>
    <x v="30"/>
    <x v="30"/>
    <x v="33"/>
    <x v="0"/>
    <x v="0"/>
    <x v="7"/>
    <x v="0"/>
    <x v="7"/>
    <x v="13"/>
    <x v="56"/>
    <x v="0"/>
    <x v="0"/>
    <x v="0"/>
    <x v="0"/>
    <x v="33"/>
    <x v="0"/>
  </r>
  <r>
    <n v="176"/>
    <x v="30"/>
    <x v="30"/>
    <x v="30"/>
    <x v="34"/>
    <x v="0"/>
    <x v="0"/>
    <x v="7"/>
    <x v="0"/>
    <x v="7"/>
    <x v="229"/>
    <x v="246"/>
    <x v="0"/>
    <x v="0"/>
    <x v="0"/>
    <x v="0"/>
    <x v="34"/>
    <x v="0"/>
  </r>
  <r>
    <n v="176"/>
    <x v="30"/>
    <x v="30"/>
    <x v="30"/>
    <x v="35"/>
    <x v="0"/>
    <x v="0"/>
    <x v="7"/>
    <x v="0"/>
    <x v="7"/>
    <x v="214"/>
    <x v="234"/>
    <x v="0"/>
    <x v="0"/>
    <x v="0"/>
    <x v="0"/>
    <x v="35"/>
    <x v="0"/>
  </r>
  <r>
    <n v="176"/>
    <x v="30"/>
    <x v="30"/>
    <x v="30"/>
    <x v="36"/>
    <x v="0"/>
    <x v="0"/>
    <x v="7"/>
    <x v="0"/>
    <x v="7"/>
    <x v="30"/>
    <x v="44"/>
    <x v="0"/>
    <x v="0"/>
    <x v="0"/>
    <x v="0"/>
    <x v="36"/>
    <x v="0"/>
  </r>
  <r>
    <n v="181"/>
    <x v="31"/>
    <x v="31"/>
    <x v="31"/>
    <x v="48"/>
    <x v="0"/>
    <x v="0"/>
    <x v="7"/>
    <x v="0"/>
    <x v="0"/>
    <x v="313"/>
    <x v="361"/>
    <x v="0"/>
    <x v="0"/>
    <x v="0"/>
    <x v="1"/>
    <x v="48"/>
    <x v="1"/>
  </r>
  <r>
    <n v="181"/>
    <x v="31"/>
    <x v="31"/>
    <x v="31"/>
    <x v="40"/>
    <x v="1"/>
    <x v="0"/>
    <x v="7"/>
    <x v="0"/>
    <x v="0"/>
    <x v="323"/>
    <x v="362"/>
    <x v="0"/>
    <x v="0"/>
    <x v="0"/>
    <x v="0"/>
    <x v="40"/>
    <x v="0"/>
  </r>
  <r>
    <n v="181"/>
    <x v="31"/>
    <x v="31"/>
    <x v="31"/>
    <x v="3"/>
    <x v="1"/>
    <x v="0"/>
    <x v="7"/>
    <x v="0"/>
    <x v="0"/>
    <x v="115"/>
    <x v="139"/>
    <x v="0"/>
    <x v="0"/>
    <x v="0"/>
    <x v="0"/>
    <x v="3"/>
    <x v="0"/>
  </r>
  <r>
    <n v="181"/>
    <x v="31"/>
    <x v="31"/>
    <x v="31"/>
    <x v="4"/>
    <x v="0"/>
    <x v="0"/>
    <x v="7"/>
    <x v="0"/>
    <x v="0"/>
    <x v="324"/>
    <x v="363"/>
    <x v="0"/>
    <x v="0"/>
    <x v="0"/>
    <x v="0"/>
    <x v="4"/>
    <x v="0"/>
  </r>
  <r>
    <n v="181"/>
    <x v="31"/>
    <x v="31"/>
    <x v="31"/>
    <x v="5"/>
    <x v="0"/>
    <x v="0"/>
    <x v="7"/>
    <x v="0"/>
    <x v="0"/>
    <x v="291"/>
    <x v="87"/>
    <x v="0"/>
    <x v="0"/>
    <x v="0"/>
    <x v="0"/>
    <x v="5"/>
    <x v="0"/>
  </r>
  <r>
    <n v="181"/>
    <x v="31"/>
    <x v="31"/>
    <x v="31"/>
    <x v="6"/>
    <x v="1"/>
    <x v="1"/>
    <x v="7"/>
    <x v="0"/>
    <x v="0"/>
    <x v="10"/>
    <x v="87"/>
    <x v="1"/>
    <x v="0"/>
    <x v="1"/>
    <x v="0"/>
    <x v="6"/>
    <x v="0"/>
  </r>
  <r>
    <n v="181"/>
    <x v="31"/>
    <x v="31"/>
    <x v="31"/>
    <x v="49"/>
    <x v="1"/>
    <x v="0"/>
    <x v="7"/>
    <x v="0"/>
    <x v="0"/>
    <x v="13"/>
    <x v="79"/>
    <x v="0"/>
    <x v="0"/>
    <x v="0"/>
    <x v="0"/>
    <x v="49"/>
    <x v="0"/>
  </r>
  <r>
    <n v="181"/>
    <x v="31"/>
    <x v="31"/>
    <x v="31"/>
    <x v="7"/>
    <x v="0"/>
    <x v="0"/>
    <x v="7"/>
    <x v="0"/>
    <x v="1"/>
    <x v="325"/>
    <x v="128"/>
    <x v="0"/>
    <x v="0"/>
    <x v="0"/>
    <x v="0"/>
    <x v="7"/>
    <x v="0"/>
  </r>
  <r>
    <n v="181"/>
    <x v="31"/>
    <x v="31"/>
    <x v="31"/>
    <x v="9"/>
    <x v="0"/>
    <x v="0"/>
    <x v="7"/>
    <x v="0"/>
    <x v="1"/>
    <x v="13"/>
    <x v="15"/>
    <x v="0"/>
    <x v="0"/>
    <x v="0"/>
    <x v="0"/>
    <x v="9"/>
    <x v="0"/>
  </r>
  <r>
    <n v="181"/>
    <x v="31"/>
    <x v="31"/>
    <x v="31"/>
    <x v="12"/>
    <x v="0"/>
    <x v="0"/>
    <x v="7"/>
    <x v="0"/>
    <x v="2"/>
    <x v="221"/>
    <x v="241"/>
    <x v="0"/>
    <x v="0"/>
    <x v="0"/>
    <x v="0"/>
    <x v="12"/>
    <x v="0"/>
  </r>
  <r>
    <n v="181"/>
    <x v="31"/>
    <x v="31"/>
    <x v="31"/>
    <x v="20"/>
    <x v="0"/>
    <x v="0"/>
    <x v="7"/>
    <x v="0"/>
    <x v="4"/>
    <x v="326"/>
    <x v="364"/>
    <x v="0"/>
    <x v="0"/>
    <x v="0"/>
    <x v="0"/>
    <x v="20"/>
    <x v="0"/>
  </r>
  <r>
    <n v="181"/>
    <x v="31"/>
    <x v="31"/>
    <x v="31"/>
    <x v="21"/>
    <x v="0"/>
    <x v="0"/>
    <x v="7"/>
    <x v="0"/>
    <x v="4"/>
    <x v="326"/>
    <x v="364"/>
    <x v="0"/>
    <x v="0"/>
    <x v="0"/>
    <x v="0"/>
    <x v="21"/>
    <x v="0"/>
  </r>
  <r>
    <n v="181"/>
    <x v="31"/>
    <x v="31"/>
    <x v="31"/>
    <x v="47"/>
    <x v="0"/>
    <x v="0"/>
    <x v="7"/>
    <x v="0"/>
    <x v="8"/>
    <x v="327"/>
    <x v="287"/>
    <x v="0"/>
    <x v="0"/>
    <x v="0"/>
    <x v="1"/>
    <x v="47"/>
    <x v="1"/>
  </r>
  <r>
    <n v="181"/>
    <x v="31"/>
    <x v="31"/>
    <x v="31"/>
    <x v="38"/>
    <x v="1"/>
    <x v="0"/>
    <x v="7"/>
    <x v="0"/>
    <x v="8"/>
    <x v="327"/>
    <x v="287"/>
    <x v="0"/>
    <x v="0"/>
    <x v="0"/>
    <x v="1"/>
    <x v="38"/>
    <x v="1"/>
  </r>
  <r>
    <n v="181"/>
    <x v="31"/>
    <x v="31"/>
    <x v="31"/>
    <x v="23"/>
    <x v="0"/>
    <x v="0"/>
    <x v="7"/>
    <x v="0"/>
    <x v="5"/>
    <x v="192"/>
    <x v="347"/>
    <x v="0"/>
    <x v="0"/>
    <x v="0"/>
    <x v="0"/>
    <x v="23"/>
    <x v="0"/>
  </r>
  <r>
    <n v="181"/>
    <x v="31"/>
    <x v="31"/>
    <x v="31"/>
    <x v="25"/>
    <x v="1"/>
    <x v="2"/>
    <x v="7"/>
    <x v="0"/>
    <x v="5"/>
    <x v="5"/>
    <x v="5"/>
    <x v="2"/>
    <x v="0"/>
    <x v="2"/>
    <x v="1"/>
    <x v="25"/>
    <x v="1"/>
  </r>
  <r>
    <n v="181"/>
    <x v="31"/>
    <x v="31"/>
    <x v="31"/>
    <x v="26"/>
    <x v="0"/>
    <x v="0"/>
    <x v="7"/>
    <x v="0"/>
    <x v="6"/>
    <x v="13"/>
    <x v="110"/>
    <x v="0"/>
    <x v="0"/>
    <x v="0"/>
    <x v="0"/>
    <x v="26"/>
    <x v="0"/>
  </r>
  <r>
    <n v="181"/>
    <x v="31"/>
    <x v="31"/>
    <x v="31"/>
    <x v="27"/>
    <x v="0"/>
    <x v="0"/>
    <x v="7"/>
    <x v="0"/>
    <x v="6"/>
    <x v="66"/>
    <x v="87"/>
    <x v="0"/>
    <x v="0"/>
    <x v="0"/>
    <x v="0"/>
    <x v="27"/>
    <x v="0"/>
  </r>
  <r>
    <n v="181"/>
    <x v="31"/>
    <x v="31"/>
    <x v="31"/>
    <x v="28"/>
    <x v="0"/>
    <x v="0"/>
    <x v="7"/>
    <x v="0"/>
    <x v="7"/>
    <x v="15"/>
    <x v="17"/>
    <x v="0"/>
    <x v="0"/>
    <x v="0"/>
    <x v="0"/>
    <x v="28"/>
    <x v="0"/>
  </r>
  <r>
    <n v="181"/>
    <x v="31"/>
    <x v="31"/>
    <x v="31"/>
    <x v="29"/>
    <x v="0"/>
    <x v="0"/>
    <x v="7"/>
    <x v="0"/>
    <x v="7"/>
    <x v="95"/>
    <x v="116"/>
    <x v="0"/>
    <x v="0"/>
    <x v="0"/>
    <x v="0"/>
    <x v="29"/>
    <x v="0"/>
  </r>
  <r>
    <n v="181"/>
    <x v="31"/>
    <x v="31"/>
    <x v="31"/>
    <x v="30"/>
    <x v="0"/>
    <x v="0"/>
    <x v="7"/>
    <x v="0"/>
    <x v="7"/>
    <x v="328"/>
    <x v="161"/>
    <x v="0"/>
    <x v="0"/>
    <x v="0"/>
    <x v="0"/>
    <x v="30"/>
    <x v="0"/>
  </r>
  <r>
    <n v="181"/>
    <x v="31"/>
    <x v="31"/>
    <x v="31"/>
    <x v="31"/>
    <x v="0"/>
    <x v="0"/>
    <x v="7"/>
    <x v="0"/>
    <x v="7"/>
    <x v="329"/>
    <x v="365"/>
    <x v="0"/>
    <x v="0"/>
    <x v="0"/>
    <x v="0"/>
    <x v="31"/>
    <x v="0"/>
  </r>
  <r>
    <n v="181"/>
    <x v="31"/>
    <x v="31"/>
    <x v="31"/>
    <x v="32"/>
    <x v="0"/>
    <x v="0"/>
    <x v="7"/>
    <x v="0"/>
    <x v="7"/>
    <x v="15"/>
    <x v="17"/>
    <x v="0"/>
    <x v="0"/>
    <x v="0"/>
    <x v="0"/>
    <x v="32"/>
    <x v="0"/>
  </r>
  <r>
    <n v="181"/>
    <x v="31"/>
    <x v="31"/>
    <x v="31"/>
    <x v="33"/>
    <x v="0"/>
    <x v="0"/>
    <x v="7"/>
    <x v="0"/>
    <x v="7"/>
    <x v="13"/>
    <x v="116"/>
    <x v="0"/>
    <x v="0"/>
    <x v="0"/>
    <x v="0"/>
    <x v="33"/>
    <x v="0"/>
  </r>
  <r>
    <n v="181"/>
    <x v="31"/>
    <x v="31"/>
    <x v="31"/>
    <x v="34"/>
    <x v="0"/>
    <x v="0"/>
    <x v="7"/>
    <x v="0"/>
    <x v="7"/>
    <x v="235"/>
    <x v="258"/>
    <x v="0"/>
    <x v="0"/>
    <x v="0"/>
    <x v="0"/>
    <x v="34"/>
    <x v="0"/>
  </r>
  <r>
    <n v="181"/>
    <x v="31"/>
    <x v="31"/>
    <x v="31"/>
    <x v="35"/>
    <x v="0"/>
    <x v="0"/>
    <x v="7"/>
    <x v="0"/>
    <x v="7"/>
    <x v="330"/>
    <x v="366"/>
    <x v="0"/>
    <x v="0"/>
    <x v="0"/>
    <x v="0"/>
    <x v="35"/>
    <x v="0"/>
  </r>
  <r>
    <n v="181"/>
    <x v="31"/>
    <x v="31"/>
    <x v="31"/>
    <x v="36"/>
    <x v="0"/>
    <x v="0"/>
    <x v="7"/>
    <x v="0"/>
    <x v="7"/>
    <x v="234"/>
    <x v="257"/>
    <x v="0"/>
    <x v="0"/>
    <x v="0"/>
    <x v="0"/>
    <x v="36"/>
    <x v="0"/>
  </r>
  <r>
    <n v="179"/>
    <x v="32"/>
    <x v="32"/>
    <x v="32"/>
    <x v="48"/>
    <x v="0"/>
    <x v="0"/>
    <x v="7"/>
    <x v="0"/>
    <x v="0"/>
    <x v="331"/>
    <x v="367"/>
    <x v="0"/>
    <x v="0"/>
    <x v="0"/>
    <x v="1"/>
    <x v="48"/>
    <x v="1"/>
  </r>
  <r>
    <n v="179"/>
    <x v="32"/>
    <x v="32"/>
    <x v="32"/>
    <x v="40"/>
    <x v="1"/>
    <x v="0"/>
    <x v="7"/>
    <x v="0"/>
    <x v="0"/>
    <x v="332"/>
    <x v="368"/>
    <x v="0"/>
    <x v="0"/>
    <x v="0"/>
    <x v="0"/>
    <x v="40"/>
    <x v="0"/>
  </r>
  <r>
    <n v="179"/>
    <x v="32"/>
    <x v="32"/>
    <x v="32"/>
    <x v="3"/>
    <x v="1"/>
    <x v="2"/>
    <x v="7"/>
    <x v="0"/>
    <x v="0"/>
    <x v="5"/>
    <x v="5"/>
    <x v="2"/>
    <x v="0"/>
    <x v="2"/>
    <x v="1"/>
    <x v="3"/>
    <x v="1"/>
  </r>
  <r>
    <n v="179"/>
    <x v="32"/>
    <x v="32"/>
    <x v="32"/>
    <x v="4"/>
    <x v="0"/>
    <x v="0"/>
    <x v="7"/>
    <x v="0"/>
    <x v="0"/>
    <x v="319"/>
    <x v="92"/>
    <x v="0"/>
    <x v="0"/>
    <x v="0"/>
    <x v="0"/>
    <x v="4"/>
    <x v="0"/>
  </r>
  <r>
    <n v="179"/>
    <x v="32"/>
    <x v="32"/>
    <x v="32"/>
    <x v="5"/>
    <x v="0"/>
    <x v="0"/>
    <x v="7"/>
    <x v="0"/>
    <x v="0"/>
    <x v="333"/>
    <x v="32"/>
    <x v="0"/>
    <x v="0"/>
    <x v="0"/>
    <x v="0"/>
    <x v="5"/>
    <x v="0"/>
  </r>
  <r>
    <n v="179"/>
    <x v="32"/>
    <x v="32"/>
    <x v="32"/>
    <x v="6"/>
    <x v="1"/>
    <x v="2"/>
    <x v="7"/>
    <x v="0"/>
    <x v="0"/>
    <x v="5"/>
    <x v="5"/>
    <x v="2"/>
    <x v="0"/>
    <x v="2"/>
    <x v="1"/>
    <x v="6"/>
    <x v="1"/>
  </r>
  <r>
    <n v="179"/>
    <x v="32"/>
    <x v="32"/>
    <x v="32"/>
    <x v="49"/>
    <x v="1"/>
    <x v="2"/>
    <x v="7"/>
    <x v="0"/>
    <x v="0"/>
    <x v="5"/>
    <x v="5"/>
    <x v="2"/>
    <x v="0"/>
    <x v="2"/>
    <x v="1"/>
    <x v="49"/>
    <x v="1"/>
  </r>
  <r>
    <n v="179"/>
    <x v="32"/>
    <x v="32"/>
    <x v="32"/>
    <x v="7"/>
    <x v="0"/>
    <x v="0"/>
    <x v="7"/>
    <x v="0"/>
    <x v="1"/>
    <x v="61"/>
    <x v="369"/>
    <x v="0"/>
    <x v="0"/>
    <x v="0"/>
    <x v="0"/>
    <x v="7"/>
    <x v="0"/>
  </r>
  <r>
    <n v="179"/>
    <x v="32"/>
    <x v="32"/>
    <x v="32"/>
    <x v="9"/>
    <x v="0"/>
    <x v="0"/>
    <x v="7"/>
    <x v="0"/>
    <x v="1"/>
    <x v="13"/>
    <x v="15"/>
    <x v="0"/>
    <x v="0"/>
    <x v="0"/>
    <x v="0"/>
    <x v="9"/>
    <x v="0"/>
  </r>
  <r>
    <n v="179"/>
    <x v="32"/>
    <x v="32"/>
    <x v="32"/>
    <x v="12"/>
    <x v="0"/>
    <x v="0"/>
    <x v="7"/>
    <x v="0"/>
    <x v="2"/>
    <x v="285"/>
    <x v="317"/>
    <x v="0"/>
    <x v="0"/>
    <x v="0"/>
    <x v="0"/>
    <x v="12"/>
    <x v="0"/>
  </r>
  <r>
    <n v="179"/>
    <x v="32"/>
    <x v="32"/>
    <x v="32"/>
    <x v="20"/>
    <x v="0"/>
    <x v="0"/>
    <x v="7"/>
    <x v="0"/>
    <x v="4"/>
    <x v="263"/>
    <x v="249"/>
    <x v="0"/>
    <x v="0"/>
    <x v="0"/>
    <x v="0"/>
    <x v="20"/>
    <x v="0"/>
  </r>
  <r>
    <n v="179"/>
    <x v="32"/>
    <x v="32"/>
    <x v="32"/>
    <x v="21"/>
    <x v="0"/>
    <x v="0"/>
    <x v="7"/>
    <x v="0"/>
    <x v="4"/>
    <x v="263"/>
    <x v="249"/>
    <x v="0"/>
    <x v="0"/>
    <x v="0"/>
    <x v="0"/>
    <x v="21"/>
    <x v="0"/>
  </r>
  <r>
    <n v="179"/>
    <x v="32"/>
    <x v="32"/>
    <x v="32"/>
    <x v="47"/>
    <x v="0"/>
    <x v="0"/>
    <x v="7"/>
    <x v="0"/>
    <x v="8"/>
    <x v="258"/>
    <x v="370"/>
    <x v="0"/>
    <x v="0"/>
    <x v="0"/>
    <x v="1"/>
    <x v="47"/>
    <x v="1"/>
  </r>
  <r>
    <n v="179"/>
    <x v="32"/>
    <x v="32"/>
    <x v="32"/>
    <x v="38"/>
    <x v="1"/>
    <x v="0"/>
    <x v="7"/>
    <x v="0"/>
    <x v="8"/>
    <x v="78"/>
    <x v="371"/>
    <x v="0"/>
    <x v="0"/>
    <x v="0"/>
    <x v="0"/>
    <x v="38"/>
    <x v="0"/>
  </r>
  <r>
    <n v="179"/>
    <x v="32"/>
    <x v="32"/>
    <x v="32"/>
    <x v="23"/>
    <x v="0"/>
    <x v="0"/>
    <x v="7"/>
    <x v="0"/>
    <x v="5"/>
    <x v="334"/>
    <x v="300"/>
    <x v="0"/>
    <x v="0"/>
    <x v="0"/>
    <x v="0"/>
    <x v="23"/>
    <x v="0"/>
  </r>
  <r>
    <n v="179"/>
    <x v="32"/>
    <x v="32"/>
    <x v="32"/>
    <x v="25"/>
    <x v="1"/>
    <x v="2"/>
    <x v="7"/>
    <x v="0"/>
    <x v="5"/>
    <x v="5"/>
    <x v="5"/>
    <x v="2"/>
    <x v="0"/>
    <x v="2"/>
    <x v="1"/>
    <x v="25"/>
    <x v="1"/>
  </r>
  <r>
    <n v="179"/>
    <x v="32"/>
    <x v="32"/>
    <x v="32"/>
    <x v="26"/>
    <x v="0"/>
    <x v="0"/>
    <x v="7"/>
    <x v="0"/>
    <x v="6"/>
    <x v="13"/>
    <x v="300"/>
    <x v="0"/>
    <x v="0"/>
    <x v="0"/>
    <x v="0"/>
    <x v="26"/>
    <x v="0"/>
  </r>
  <r>
    <n v="179"/>
    <x v="32"/>
    <x v="32"/>
    <x v="32"/>
    <x v="27"/>
    <x v="0"/>
    <x v="0"/>
    <x v="7"/>
    <x v="0"/>
    <x v="6"/>
    <x v="85"/>
    <x v="104"/>
    <x v="0"/>
    <x v="0"/>
    <x v="0"/>
    <x v="0"/>
    <x v="27"/>
    <x v="0"/>
  </r>
  <r>
    <n v="179"/>
    <x v="32"/>
    <x v="32"/>
    <x v="32"/>
    <x v="28"/>
    <x v="0"/>
    <x v="0"/>
    <x v="7"/>
    <x v="0"/>
    <x v="7"/>
    <x v="335"/>
    <x v="325"/>
    <x v="0"/>
    <x v="0"/>
    <x v="0"/>
    <x v="0"/>
    <x v="28"/>
    <x v="0"/>
  </r>
  <r>
    <n v="179"/>
    <x v="32"/>
    <x v="32"/>
    <x v="32"/>
    <x v="29"/>
    <x v="0"/>
    <x v="0"/>
    <x v="7"/>
    <x v="0"/>
    <x v="7"/>
    <x v="336"/>
    <x v="372"/>
    <x v="0"/>
    <x v="0"/>
    <x v="0"/>
    <x v="0"/>
    <x v="29"/>
    <x v="0"/>
  </r>
  <r>
    <n v="179"/>
    <x v="32"/>
    <x v="32"/>
    <x v="32"/>
    <x v="30"/>
    <x v="0"/>
    <x v="0"/>
    <x v="7"/>
    <x v="0"/>
    <x v="7"/>
    <x v="337"/>
    <x v="300"/>
    <x v="0"/>
    <x v="0"/>
    <x v="0"/>
    <x v="0"/>
    <x v="30"/>
    <x v="0"/>
  </r>
  <r>
    <n v="179"/>
    <x v="32"/>
    <x v="32"/>
    <x v="32"/>
    <x v="31"/>
    <x v="0"/>
    <x v="1"/>
    <x v="7"/>
    <x v="0"/>
    <x v="7"/>
    <x v="6"/>
    <x v="83"/>
    <x v="1"/>
    <x v="0"/>
    <x v="1"/>
    <x v="0"/>
    <x v="31"/>
    <x v="0"/>
  </r>
  <r>
    <n v="179"/>
    <x v="32"/>
    <x v="32"/>
    <x v="32"/>
    <x v="32"/>
    <x v="0"/>
    <x v="0"/>
    <x v="7"/>
    <x v="0"/>
    <x v="7"/>
    <x v="335"/>
    <x v="325"/>
    <x v="0"/>
    <x v="0"/>
    <x v="0"/>
    <x v="0"/>
    <x v="32"/>
    <x v="0"/>
  </r>
  <r>
    <n v="179"/>
    <x v="32"/>
    <x v="32"/>
    <x v="32"/>
    <x v="33"/>
    <x v="0"/>
    <x v="0"/>
    <x v="7"/>
    <x v="0"/>
    <x v="7"/>
    <x v="13"/>
    <x v="347"/>
    <x v="0"/>
    <x v="0"/>
    <x v="0"/>
    <x v="0"/>
    <x v="33"/>
    <x v="0"/>
  </r>
  <r>
    <n v="179"/>
    <x v="32"/>
    <x v="32"/>
    <x v="32"/>
    <x v="34"/>
    <x v="0"/>
    <x v="0"/>
    <x v="7"/>
    <x v="0"/>
    <x v="7"/>
    <x v="30"/>
    <x v="44"/>
    <x v="0"/>
    <x v="0"/>
    <x v="0"/>
    <x v="0"/>
    <x v="34"/>
    <x v="0"/>
  </r>
  <r>
    <n v="179"/>
    <x v="32"/>
    <x v="32"/>
    <x v="32"/>
    <x v="35"/>
    <x v="0"/>
    <x v="0"/>
    <x v="7"/>
    <x v="0"/>
    <x v="7"/>
    <x v="30"/>
    <x v="44"/>
    <x v="0"/>
    <x v="0"/>
    <x v="0"/>
    <x v="0"/>
    <x v="35"/>
    <x v="0"/>
  </r>
  <r>
    <n v="179"/>
    <x v="32"/>
    <x v="32"/>
    <x v="32"/>
    <x v="36"/>
    <x v="0"/>
    <x v="0"/>
    <x v="7"/>
    <x v="0"/>
    <x v="7"/>
    <x v="30"/>
    <x v="44"/>
    <x v="0"/>
    <x v="0"/>
    <x v="0"/>
    <x v="0"/>
    <x v="36"/>
    <x v="0"/>
  </r>
  <r>
    <n v="183"/>
    <x v="33"/>
    <x v="33"/>
    <x v="33"/>
    <x v="50"/>
    <x v="0"/>
    <x v="0"/>
    <x v="8"/>
    <x v="0"/>
    <x v="0"/>
    <x v="338"/>
    <x v="161"/>
    <x v="0"/>
    <x v="0"/>
    <x v="0"/>
    <x v="0"/>
    <x v="50"/>
    <x v="0"/>
  </r>
  <r>
    <n v="183"/>
    <x v="33"/>
    <x v="33"/>
    <x v="33"/>
    <x v="40"/>
    <x v="0"/>
    <x v="0"/>
    <x v="8"/>
    <x v="0"/>
    <x v="0"/>
    <x v="338"/>
    <x v="161"/>
    <x v="0"/>
    <x v="0"/>
    <x v="0"/>
    <x v="0"/>
    <x v="40"/>
    <x v="0"/>
  </r>
  <r>
    <n v="183"/>
    <x v="33"/>
    <x v="33"/>
    <x v="33"/>
    <x v="3"/>
    <x v="1"/>
    <x v="2"/>
    <x v="8"/>
    <x v="0"/>
    <x v="0"/>
    <x v="5"/>
    <x v="5"/>
    <x v="2"/>
    <x v="0"/>
    <x v="2"/>
    <x v="1"/>
    <x v="3"/>
    <x v="1"/>
  </r>
  <r>
    <n v="183"/>
    <x v="33"/>
    <x v="33"/>
    <x v="33"/>
    <x v="4"/>
    <x v="0"/>
    <x v="0"/>
    <x v="8"/>
    <x v="0"/>
    <x v="0"/>
    <x v="339"/>
    <x v="373"/>
    <x v="0"/>
    <x v="0"/>
    <x v="0"/>
    <x v="0"/>
    <x v="4"/>
    <x v="0"/>
  </r>
  <r>
    <n v="183"/>
    <x v="33"/>
    <x v="33"/>
    <x v="33"/>
    <x v="5"/>
    <x v="0"/>
    <x v="0"/>
    <x v="8"/>
    <x v="0"/>
    <x v="0"/>
    <x v="10"/>
    <x v="361"/>
    <x v="0"/>
    <x v="0"/>
    <x v="0"/>
    <x v="0"/>
    <x v="5"/>
    <x v="0"/>
  </r>
  <r>
    <n v="183"/>
    <x v="33"/>
    <x v="33"/>
    <x v="33"/>
    <x v="6"/>
    <x v="1"/>
    <x v="2"/>
    <x v="8"/>
    <x v="0"/>
    <x v="0"/>
    <x v="5"/>
    <x v="5"/>
    <x v="2"/>
    <x v="0"/>
    <x v="2"/>
    <x v="1"/>
    <x v="6"/>
    <x v="1"/>
  </r>
  <r>
    <n v="183"/>
    <x v="33"/>
    <x v="33"/>
    <x v="33"/>
    <x v="7"/>
    <x v="0"/>
    <x v="0"/>
    <x v="8"/>
    <x v="0"/>
    <x v="1"/>
    <x v="11"/>
    <x v="10"/>
    <x v="0"/>
    <x v="0"/>
    <x v="0"/>
    <x v="0"/>
    <x v="7"/>
    <x v="0"/>
  </r>
  <r>
    <n v="183"/>
    <x v="33"/>
    <x v="33"/>
    <x v="33"/>
    <x v="23"/>
    <x v="0"/>
    <x v="0"/>
    <x v="8"/>
    <x v="0"/>
    <x v="5"/>
    <x v="32"/>
    <x v="49"/>
    <x v="0"/>
    <x v="0"/>
    <x v="0"/>
    <x v="0"/>
    <x v="23"/>
    <x v="0"/>
  </r>
  <r>
    <n v="183"/>
    <x v="33"/>
    <x v="33"/>
    <x v="33"/>
    <x v="26"/>
    <x v="0"/>
    <x v="0"/>
    <x v="8"/>
    <x v="0"/>
    <x v="6"/>
    <x v="13"/>
    <x v="51"/>
    <x v="0"/>
    <x v="0"/>
    <x v="0"/>
    <x v="0"/>
    <x v="26"/>
    <x v="0"/>
  </r>
  <r>
    <n v="183"/>
    <x v="33"/>
    <x v="33"/>
    <x v="33"/>
    <x v="27"/>
    <x v="0"/>
    <x v="0"/>
    <x v="8"/>
    <x v="0"/>
    <x v="6"/>
    <x v="340"/>
    <x v="374"/>
    <x v="0"/>
    <x v="0"/>
    <x v="0"/>
    <x v="0"/>
    <x v="27"/>
    <x v="0"/>
  </r>
  <r>
    <n v="183"/>
    <x v="33"/>
    <x v="33"/>
    <x v="33"/>
    <x v="28"/>
    <x v="0"/>
    <x v="0"/>
    <x v="8"/>
    <x v="0"/>
    <x v="7"/>
    <x v="30"/>
    <x v="44"/>
    <x v="0"/>
    <x v="0"/>
    <x v="0"/>
    <x v="0"/>
    <x v="28"/>
    <x v="0"/>
  </r>
  <r>
    <n v="183"/>
    <x v="33"/>
    <x v="33"/>
    <x v="33"/>
    <x v="29"/>
    <x v="0"/>
    <x v="0"/>
    <x v="8"/>
    <x v="0"/>
    <x v="7"/>
    <x v="65"/>
    <x v="86"/>
    <x v="0"/>
    <x v="0"/>
    <x v="0"/>
    <x v="0"/>
    <x v="29"/>
    <x v="0"/>
  </r>
  <r>
    <n v="183"/>
    <x v="33"/>
    <x v="33"/>
    <x v="33"/>
    <x v="30"/>
    <x v="0"/>
    <x v="0"/>
    <x v="8"/>
    <x v="0"/>
    <x v="7"/>
    <x v="36"/>
    <x v="49"/>
    <x v="0"/>
    <x v="0"/>
    <x v="0"/>
    <x v="0"/>
    <x v="30"/>
    <x v="0"/>
  </r>
  <r>
    <n v="183"/>
    <x v="33"/>
    <x v="33"/>
    <x v="33"/>
    <x v="31"/>
    <x v="0"/>
    <x v="0"/>
    <x v="8"/>
    <x v="0"/>
    <x v="7"/>
    <x v="115"/>
    <x v="375"/>
    <x v="0"/>
    <x v="0"/>
    <x v="0"/>
    <x v="0"/>
    <x v="31"/>
    <x v="0"/>
  </r>
  <r>
    <n v="183"/>
    <x v="33"/>
    <x v="33"/>
    <x v="33"/>
    <x v="32"/>
    <x v="0"/>
    <x v="0"/>
    <x v="8"/>
    <x v="0"/>
    <x v="7"/>
    <x v="30"/>
    <x v="44"/>
    <x v="0"/>
    <x v="0"/>
    <x v="0"/>
    <x v="0"/>
    <x v="32"/>
    <x v="0"/>
  </r>
  <r>
    <n v="183"/>
    <x v="33"/>
    <x v="33"/>
    <x v="33"/>
    <x v="33"/>
    <x v="0"/>
    <x v="0"/>
    <x v="8"/>
    <x v="0"/>
    <x v="7"/>
    <x v="13"/>
    <x v="49"/>
    <x v="0"/>
    <x v="0"/>
    <x v="0"/>
    <x v="0"/>
    <x v="33"/>
    <x v="0"/>
  </r>
  <r>
    <n v="183"/>
    <x v="33"/>
    <x v="33"/>
    <x v="33"/>
    <x v="34"/>
    <x v="0"/>
    <x v="0"/>
    <x v="8"/>
    <x v="0"/>
    <x v="7"/>
    <x v="30"/>
    <x v="44"/>
    <x v="0"/>
    <x v="0"/>
    <x v="0"/>
    <x v="0"/>
    <x v="34"/>
    <x v="0"/>
  </r>
  <r>
    <n v="183"/>
    <x v="33"/>
    <x v="33"/>
    <x v="33"/>
    <x v="35"/>
    <x v="0"/>
    <x v="0"/>
    <x v="8"/>
    <x v="0"/>
    <x v="7"/>
    <x v="30"/>
    <x v="44"/>
    <x v="0"/>
    <x v="0"/>
    <x v="0"/>
    <x v="0"/>
    <x v="35"/>
    <x v="0"/>
  </r>
  <r>
    <n v="183"/>
    <x v="33"/>
    <x v="33"/>
    <x v="33"/>
    <x v="36"/>
    <x v="0"/>
    <x v="0"/>
    <x v="8"/>
    <x v="0"/>
    <x v="7"/>
    <x v="30"/>
    <x v="44"/>
    <x v="0"/>
    <x v="0"/>
    <x v="0"/>
    <x v="0"/>
    <x v="36"/>
    <x v="0"/>
  </r>
  <r>
    <n v="151"/>
    <x v="34"/>
    <x v="34"/>
    <x v="34"/>
    <x v="0"/>
    <x v="0"/>
    <x v="0"/>
    <x v="0"/>
    <x v="0"/>
    <x v="0"/>
    <x v="158"/>
    <x v="343"/>
    <x v="0"/>
    <x v="0"/>
    <x v="0"/>
    <x v="0"/>
    <x v="0"/>
    <x v="0"/>
  </r>
  <r>
    <n v="151"/>
    <x v="34"/>
    <x v="34"/>
    <x v="34"/>
    <x v="1"/>
    <x v="0"/>
    <x v="0"/>
    <x v="0"/>
    <x v="0"/>
    <x v="0"/>
    <x v="158"/>
    <x v="343"/>
    <x v="0"/>
    <x v="0"/>
    <x v="0"/>
    <x v="1"/>
    <x v="1"/>
    <x v="1"/>
  </r>
  <r>
    <n v="151"/>
    <x v="34"/>
    <x v="34"/>
    <x v="34"/>
    <x v="2"/>
    <x v="0"/>
    <x v="0"/>
    <x v="0"/>
    <x v="0"/>
    <x v="0"/>
    <x v="88"/>
    <x v="108"/>
    <x v="0"/>
    <x v="0"/>
    <x v="0"/>
    <x v="0"/>
    <x v="2"/>
    <x v="0"/>
  </r>
  <r>
    <n v="151"/>
    <x v="34"/>
    <x v="34"/>
    <x v="34"/>
    <x v="3"/>
    <x v="1"/>
    <x v="2"/>
    <x v="0"/>
    <x v="0"/>
    <x v="0"/>
    <x v="5"/>
    <x v="5"/>
    <x v="2"/>
    <x v="0"/>
    <x v="2"/>
    <x v="1"/>
    <x v="3"/>
    <x v="1"/>
  </r>
  <r>
    <n v="151"/>
    <x v="34"/>
    <x v="34"/>
    <x v="34"/>
    <x v="4"/>
    <x v="0"/>
    <x v="0"/>
    <x v="0"/>
    <x v="0"/>
    <x v="0"/>
    <x v="341"/>
    <x v="296"/>
    <x v="0"/>
    <x v="0"/>
    <x v="0"/>
    <x v="0"/>
    <x v="4"/>
    <x v="0"/>
  </r>
  <r>
    <n v="151"/>
    <x v="34"/>
    <x v="34"/>
    <x v="34"/>
    <x v="5"/>
    <x v="0"/>
    <x v="0"/>
    <x v="0"/>
    <x v="0"/>
    <x v="0"/>
    <x v="10"/>
    <x v="376"/>
    <x v="0"/>
    <x v="0"/>
    <x v="0"/>
    <x v="0"/>
    <x v="5"/>
    <x v="0"/>
  </r>
  <r>
    <n v="151"/>
    <x v="34"/>
    <x v="34"/>
    <x v="34"/>
    <x v="6"/>
    <x v="1"/>
    <x v="2"/>
    <x v="0"/>
    <x v="0"/>
    <x v="0"/>
    <x v="5"/>
    <x v="5"/>
    <x v="2"/>
    <x v="0"/>
    <x v="2"/>
    <x v="1"/>
    <x v="6"/>
    <x v="1"/>
  </r>
  <r>
    <n v="151"/>
    <x v="34"/>
    <x v="34"/>
    <x v="34"/>
    <x v="7"/>
    <x v="0"/>
    <x v="0"/>
    <x v="0"/>
    <x v="0"/>
    <x v="1"/>
    <x v="11"/>
    <x v="10"/>
    <x v="0"/>
    <x v="0"/>
    <x v="0"/>
    <x v="0"/>
    <x v="7"/>
    <x v="0"/>
  </r>
  <r>
    <n v="151"/>
    <x v="34"/>
    <x v="34"/>
    <x v="34"/>
    <x v="8"/>
    <x v="0"/>
    <x v="0"/>
    <x v="0"/>
    <x v="0"/>
    <x v="1"/>
    <x v="13"/>
    <x v="158"/>
    <x v="0"/>
    <x v="0"/>
    <x v="0"/>
    <x v="0"/>
    <x v="8"/>
    <x v="0"/>
  </r>
  <r>
    <n v="151"/>
    <x v="34"/>
    <x v="34"/>
    <x v="34"/>
    <x v="9"/>
    <x v="0"/>
    <x v="0"/>
    <x v="0"/>
    <x v="0"/>
    <x v="1"/>
    <x v="13"/>
    <x v="377"/>
    <x v="0"/>
    <x v="0"/>
    <x v="0"/>
    <x v="0"/>
    <x v="9"/>
    <x v="0"/>
  </r>
  <r>
    <n v="151"/>
    <x v="34"/>
    <x v="34"/>
    <x v="34"/>
    <x v="10"/>
    <x v="0"/>
    <x v="0"/>
    <x v="0"/>
    <x v="0"/>
    <x v="1"/>
    <x v="39"/>
    <x v="66"/>
    <x v="0"/>
    <x v="0"/>
    <x v="0"/>
    <x v="0"/>
    <x v="10"/>
    <x v="0"/>
  </r>
  <r>
    <n v="151"/>
    <x v="34"/>
    <x v="34"/>
    <x v="34"/>
    <x v="11"/>
    <x v="0"/>
    <x v="0"/>
    <x v="0"/>
    <x v="0"/>
    <x v="2"/>
    <x v="39"/>
    <x v="66"/>
    <x v="0"/>
    <x v="0"/>
    <x v="0"/>
    <x v="0"/>
    <x v="11"/>
    <x v="0"/>
  </r>
  <r>
    <n v="151"/>
    <x v="34"/>
    <x v="34"/>
    <x v="34"/>
    <x v="12"/>
    <x v="0"/>
    <x v="0"/>
    <x v="0"/>
    <x v="0"/>
    <x v="2"/>
    <x v="92"/>
    <x v="114"/>
    <x v="0"/>
    <x v="0"/>
    <x v="0"/>
    <x v="0"/>
    <x v="12"/>
    <x v="0"/>
  </r>
  <r>
    <n v="151"/>
    <x v="34"/>
    <x v="34"/>
    <x v="34"/>
    <x v="13"/>
    <x v="0"/>
    <x v="0"/>
    <x v="0"/>
    <x v="0"/>
    <x v="3"/>
    <x v="13"/>
    <x v="378"/>
    <x v="0"/>
    <x v="0"/>
    <x v="0"/>
    <x v="1"/>
    <x v="13"/>
    <x v="1"/>
  </r>
  <r>
    <n v="151"/>
    <x v="34"/>
    <x v="34"/>
    <x v="34"/>
    <x v="14"/>
    <x v="0"/>
    <x v="0"/>
    <x v="0"/>
    <x v="0"/>
    <x v="3"/>
    <x v="13"/>
    <x v="379"/>
    <x v="0"/>
    <x v="0"/>
    <x v="0"/>
    <x v="0"/>
    <x v="14"/>
    <x v="0"/>
  </r>
  <r>
    <n v="151"/>
    <x v="34"/>
    <x v="34"/>
    <x v="34"/>
    <x v="15"/>
    <x v="0"/>
    <x v="0"/>
    <x v="0"/>
    <x v="0"/>
    <x v="3"/>
    <x v="13"/>
    <x v="380"/>
    <x v="0"/>
    <x v="0"/>
    <x v="0"/>
    <x v="0"/>
    <x v="15"/>
    <x v="0"/>
  </r>
  <r>
    <n v="151"/>
    <x v="34"/>
    <x v="34"/>
    <x v="34"/>
    <x v="16"/>
    <x v="0"/>
    <x v="0"/>
    <x v="0"/>
    <x v="0"/>
    <x v="3"/>
    <x v="13"/>
    <x v="381"/>
    <x v="0"/>
    <x v="0"/>
    <x v="0"/>
    <x v="0"/>
    <x v="16"/>
    <x v="0"/>
  </r>
  <r>
    <n v="151"/>
    <x v="34"/>
    <x v="34"/>
    <x v="34"/>
    <x v="17"/>
    <x v="0"/>
    <x v="0"/>
    <x v="0"/>
    <x v="0"/>
    <x v="3"/>
    <x v="13"/>
    <x v="381"/>
    <x v="0"/>
    <x v="0"/>
    <x v="0"/>
    <x v="0"/>
    <x v="17"/>
    <x v="0"/>
  </r>
  <r>
    <n v="151"/>
    <x v="34"/>
    <x v="34"/>
    <x v="34"/>
    <x v="18"/>
    <x v="0"/>
    <x v="0"/>
    <x v="0"/>
    <x v="0"/>
    <x v="3"/>
    <x v="13"/>
    <x v="382"/>
    <x v="0"/>
    <x v="0"/>
    <x v="0"/>
    <x v="0"/>
    <x v="18"/>
    <x v="0"/>
  </r>
  <r>
    <n v="151"/>
    <x v="34"/>
    <x v="34"/>
    <x v="34"/>
    <x v="19"/>
    <x v="0"/>
    <x v="0"/>
    <x v="0"/>
    <x v="0"/>
    <x v="3"/>
    <x v="342"/>
    <x v="383"/>
    <x v="0"/>
    <x v="0"/>
    <x v="0"/>
    <x v="0"/>
    <x v="19"/>
    <x v="0"/>
  </r>
  <r>
    <n v="151"/>
    <x v="34"/>
    <x v="34"/>
    <x v="34"/>
    <x v="20"/>
    <x v="0"/>
    <x v="0"/>
    <x v="0"/>
    <x v="0"/>
    <x v="4"/>
    <x v="63"/>
    <x v="83"/>
    <x v="0"/>
    <x v="0"/>
    <x v="0"/>
    <x v="0"/>
    <x v="20"/>
    <x v="0"/>
  </r>
  <r>
    <n v="151"/>
    <x v="34"/>
    <x v="34"/>
    <x v="34"/>
    <x v="21"/>
    <x v="0"/>
    <x v="0"/>
    <x v="0"/>
    <x v="0"/>
    <x v="4"/>
    <x v="63"/>
    <x v="83"/>
    <x v="0"/>
    <x v="0"/>
    <x v="0"/>
    <x v="0"/>
    <x v="21"/>
    <x v="0"/>
  </r>
  <r>
    <n v="151"/>
    <x v="34"/>
    <x v="34"/>
    <x v="34"/>
    <x v="22"/>
    <x v="0"/>
    <x v="0"/>
    <x v="0"/>
    <x v="0"/>
    <x v="4"/>
    <x v="13"/>
    <x v="199"/>
    <x v="0"/>
    <x v="0"/>
    <x v="0"/>
    <x v="0"/>
    <x v="22"/>
    <x v="0"/>
  </r>
  <r>
    <n v="151"/>
    <x v="34"/>
    <x v="34"/>
    <x v="34"/>
    <x v="23"/>
    <x v="0"/>
    <x v="0"/>
    <x v="0"/>
    <x v="0"/>
    <x v="5"/>
    <x v="343"/>
    <x v="378"/>
    <x v="0"/>
    <x v="0"/>
    <x v="0"/>
    <x v="0"/>
    <x v="23"/>
    <x v="0"/>
  </r>
  <r>
    <n v="151"/>
    <x v="34"/>
    <x v="34"/>
    <x v="34"/>
    <x v="24"/>
    <x v="0"/>
    <x v="0"/>
    <x v="0"/>
    <x v="0"/>
    <x v="5"/>
    <x v="344"/>
    <x v="384"/>
    <x v="0"/>
    <x v="0"/>
    <x v="0"/>
    <x v="0"/>
    <x v="24"/>
    <x v="0"/>
  </r>
  <r>
    <n v="151"/>
    <x v="34"/>
    <x v="34"/>
    <x v="34"/>
    <x v="25"/>
    <x v="0"/>
    <x v="0"/>
    <x v="0"/>
    <x v="0"/>
    <x v="5"/>
    <x v="344"/>
    <x v="384"/>
    <x v="0"/>
    <x v="0"/>
    <x v="0"/>
    <x v="0"/>
    <x v="25"/>
    <x v="0"/>
  </r>
  <r>
    <n v="151"/>
    <x v="34"/>
    <x v="34"/>
    <x v="34"/>
    <x v="26"/>
    <x v="0"/>
    <x v="0"/>
    <x v="0"/>
    <x v="0"/>
    <x v="6"/>
    <x v="13"/>
    <x v="69"/>
    <x v="0"/>
    <x v="0"/>
    <x v="0"/>
    <x v="0"/>
    <x v="26"/>
    <x v="0"/>
  </r>
  <r>
    <n v="151"/>
    <x v="34"/>
    <x v="34"/>
    <x v="34"/>
    <x v="27"/>
    <x v="0"/>
    <x v="0"/>
    <x v="0"/>
    <x v="0"/>
    <x v="6"/>
    <x v="117"/>
    <x v="148"/>
    <x v="0"/>
    <x v="0"/>
    <x v="0"/>
    <x v="0"/>
    <x v="27"/>
    <x v="0"/>
  </r>
  <r>
    <n v="151"/>
    <x v="34"/>
    <x v="34"/>
    <x v="34"/>
    <x v="28"/>
    <x v="0"/>
    <x v="0"/>
    <x v="0"/>
    <x v="0"/>
    <x v="7"/>
    <x v="63"/>
    <x v="83"/>
    <x v="0"/>
    <x v="0"/>
    <x v="0"/>
    <x v="0"/>
    <x v="28"/>
    <x v="0"/>
  </r>
  <r>
    <n v="151"/>
    <x v="34"/>
    <x v="34"/>
    <x v="34"/>
    <x v="29"/>
    <x v="0"/>
    <x v="0"/>
    <x v="0"/>
    <x v="0"/>
    <x v="7"/>
    <x v="343"/>
    <x v="378"/>
    <x v="0"/>
    <x v="0"/>
    <x v="0"/>
    <x v="0"/>
    <x v="29"/>
    <x v="0"/>
  </r>
  <r>
    <n v="151"/>
    <x v="34"/>
    <x v="34"/>
    <x v="34"/>
    <x v="30"/>
    <x v="0"/>
    <x v="0"/>
    <x v="0"/>
    <x v="0"/>
    <x v="7"/>
    <x v="345"/>
    <x v="378"/>
    <x v="0"/>
    <x v="0"/>
    <x v="0"/>
    <x v="0"/>
    <x v="30"/>
    <x v="0"/>
  </r>
  <r>
    <n v="151"/>
    <x v="34"/>
    <x v="34"/>
    <x v="34"/>
    <x v="31"/>
    <x v="0"/>
    <x v="1"/>
    <x v="0"/>
    <x v="0"/>
    <x v="7"/>
    <x v="346"/>
    <x v="385"/>
    <x v="1"/>
    <x v="0"/>
    <x v="1"/>
    <x v="0"/>
    <x v="31"/>
    <x v="0"/>
  </r>
  <r>
    <n v="151"/>
    <x v="34"/>
    <x v="34"/>
    <x v="34"/>
    <x v="32"/>
    <x v="0"/>
    <x v="0"/>
    <x v="0"/>
    <x v="0"/>
    <x v="7"/>
    <x v="63"/>
    <x v="83"/>
    <x v="0"/>
    <x v="0"/>
    <x v="0"/>
    <x v="0"/>
    <x v="32"/>
    <x v="0"/>
  </r>
  <r>
    <n v="151"/>
    <x v="34"/>
    <x v="34"/>
    <x v="34"/>
    <x v="33"/>
    <x v="0"/>
    <x v="0"/>
    <x v="0"/>
    <x v="0"/>
    <x v="7"/>
    <x v="13"/>
    <x v="378"/>
    <x v="0"/>
    <x v="0"/>
    <x v="0"/>
    <x v="0"/>
    <x v="33"/>
    <x v="0"/>
  </r>
  <r>
    <n v="151"/>
    <x v="34"/>
    <x v="34"/>
    <x v="34"/>
    <x v="34"/>
    <x v="0"/>
    <x v="0"/>
    <x v="0"/>
    <x v="0"/>
    <x v="7"/>
    <x v="63"/>
    <x v="83"/>
    <x v="0"/>
    <x v="0"/>
    <x v="0"/>
    <x v="0"/>
    <x v="34"/>
    <x v="0"/>
  </r>
  <r>
    <n v="151"/>
    <x v="34"/>
    <x v="34"/>
    <x v="34"/>
    <x v="35"/>
    <x v="0"/>
    <x v="0"/>
    <x v="0"/>
    <x v="0"/>
    <x v="7"/>
    <x v="154"/>
    <x v="185"/>
    <x v="0"/>
    <x v="0"/>
    <x v="0"/>
    <x v="0"/>
    <x v="35"/>
    <x v="0"/>
  </r>
  <r>
    <n v="151"/>
    <x v="34"/>
    <x v="34"/>
    <x v="34"/>
    <x v="36"/>
    <x v="0"/>
    <x v="0"/>
    <x v="0"/>
    <x v="0"/>
    <x v="7"/>
    <x v="39"/>
    <x v="66"/>
    <x v="0"/>
    <x v="0"/>
    <x v="0"/>
    <x v="0"/>
    <x v="36"/>
    <x v="0"/>
  </r>
  <r>
    <n v="246"/>
    <x v="35"/>
    <x v="35"/>
    <x v="35"/>
    <x v="37"/>
    <x v="0"/>
    <x v="0"/>
    <x v="1"/>
    <x v="0"/>
    <x v="0"/>
    <x v="347"/>
    <x v="386"/>
    <x v="0"/>
    <x v="0"/>
    <x v="0"/>
    <x v="0"/>
    <x v="37"/>
    <x v="0"/>
  </r>
  <r>
    <n v="246"/>
    <x v="35"/>
    <x v="35"/>
    <x v="35"/>
    <x v="1"/>
    <x v="0"/>
    <x v="0"/>
    <x v="1"/>
    <x v="0"/>
    <x v="0"/>
    <x v="347"/>
    <x v="386"/>
    <x v="0"/>
    <x v="0"/>
    <x v="0"/>
    <x v="1"/>
    <x v="1"/>
    <x v="1"/>
  </r>
  <r>
    <n v="246"/>
    <x v="35"/>
    <x v="35"/>
    <x v="35"/>
    <x v="2"/>
    <x v="0"/>
    <x v="3"/>
    <x v="1"/>
    <x v="0"/>
    <x v="0"/>
    <x v="348"/>
    <x v="387"/>
    <x v="3"/>
    <x v="0"/>
    <x v="3"/>
    <x v="0"/>
    <x v="2"/>
    <x v="0"/>
  </r>
  <r>
    <n v="246"/>
    <x v="35"/>
    <x v="35"/>
    <x v="35"/>
    <x v="3"/>
    <x v="1"/>
    <x v="2"/>
    <x v="1"/>
    <x v="0"/>
    <x v="0"/>
    <x v="5"/>
    <x v="5"/>
    <x v="2"/>
    <x v="0"/>
    <x v="2"/>
    <x v="1"/>
    <x v="3"/>
    <x v="1"/>
  </r>
  <r>
    <n v="246"/>
    <x v="35"/>
    <x v="35"/>
    <x v="35"/>
    <x v="4"/>
    <x v="0"/>
    <x v="3"/>
    <x v="1"/>
    <x v="0"/>
    <x v="0"/>
    <x v="349"/>
    <x v="26"/>
    <x v="3"/>
    <x v="0"/>
    <x v="3"/>
    <x v="0"/>
    <x v="4"/>
    <x v="0"/>
  </r>
  <r>
    <n v="246"/>
    <x v="35"/>
    <x v="35"/>
    <x v="35"/>
    <x v="5"/>
    <x v="0"/>
    <x v="0"/>
    <x v="1"/>
    <x v="0"/>
    <x v="0"/>
    <x v="284"/>
    <x v="177"/>
    <x v="0"/>
    <x v="0"/>
    <x v="0"/>
    <x v="0"/>
    <x v="5"/>
    <x v="0"/>
  </r>
  <r>
    <n v="246"/>
    <x v="35"/>
    <x v="35"/>
    <x v="35"/>
    <x v="6"/>
    <x v="1"/>
    <x v="2"/>
    <x v="1"/>
    <x v="0"/>
    <x v="0"/>
    <x v="5"/>
    <x v="5"/>
    <x v="2"/>
    <x v="0"/>
    <x v="2"/>
    <x v="1"/>
    <x v="6"/>
    <x v="1"/>
  </r>
  <r>
    <n v="246"/>
    <x v="35"/>
    <x v="35"/>
    <x v="35"/>
    <x v="7"/>
    <x v="0"/>
    <x v="0"/>
    <x v="1"/>
    <x v="0"/>
    <x v="1"/>
    <x v="350"/>
    <x v="388"/>
    <x v="0"/>
    <x v="0"/>
    <x v="0"/>
    <x v="0"/>
    <x v="7"/>
    <x v="0"/>
  </r>
  <r>
    <n v="246"/>
    <x v="35"/>
    <x v="35"/>
    <x v="35"/>
    <x v="8"/>
    <x v="0"/>
    <x v="0"/>
    <x v="1"/>
    <x v="0"/>
    <x v="1"/>
    <x v="13"/>
    <x v="389"/>
    <x v="0"/>
    <x v="0"/>
    <x v="0"/>
    <x v="0"/>
    <x v="8"/>
    <x v="0"/>
  </r>
  <r>
    <n v="246"/>
    <x v="35"/>
    <x v="35"/>
    <x v="35"/>
    <x v="9"/>
    <x v="0"/>
    <x v="0"/>
    <x v="1"/>
    <x v="0"/>
    <x v="1"/>
    <x v="13"/>
    <x v="336"/>
    <x v="0"/>
    <x v="0"/>
    <x v="0"/>
    <x v="0"/>
    <x v="9"/>
    <x v="0"/>
  </r>
  <r>
    <n v="246"/>
    <x v="35"/>
    <x v="35"/>
    <x v="35"/>
    <x v="10"/>
    <x v="0"/>
    <x v="0"/>
    <x v="1"/>
    <x v="0"/>
    <x v="1"/>
    <x v="300"/>
    <x v="336"/>
    <x v="0"/>
    <x v="0"/>
    <x v="0"/>
    <x v="0"/>
    <x v="10"/>
    <x v="0"/>
  </r>
  <r>
    <n v="246"/>
    <x v="35"/>
    <x v="35"/>
    <x v="35"/>
    <x v="11"/>
    <x v="0"/>
    <x v="0"/>
    <x v="1"/>
    <x v="0"/>
    <x v="2"/>
    <x v="300"/>
    <x v="336"/>
    <x v="0"/>
    <x v="0"/>
    <x v="0"/>
    <x v="0"/>
    <x v="11"/>
    <x v="0"/>
  </r>
  <r>
    <n v="246"/>
    <x v="35"/>
    <x v="35"/>
    <x v="35"/>
    <x v="12"/>
    <x v="0"/>
    <x v="0"/>
    <x v="1"/>
    <x v="0"/>
    <x v="2"/>
    <x v="351"/>
    <x v="390"/>
    <x v="0"/>
    <x v="0"/>
    <x v="0"/>
    <x v="0"/>
    <x v="12"/>
    <x v="0"/>
  </r>
  <r>
    <n v="246"/>
    <x v="35"/>
    <x v="35"/>
    <x v="35"/>
    <x v="18"/>
    <x v="0"/>
    <x v="2"/>
    <x v="1"/>
    <x v="0"/>
    <x v="3"/>
    <x v="5"/>
    <x v="5"/>
    <x v="2"/>
    <x v="0"/>
    <x v="2"/>
    <x v="1"/>
    <x v="18"/>
    <x v="1"/>
  </r>
  <r>
    <n v="246"/>
    <x v="35"/>
    <x v="35"/>
    <x v="35"/>
    <x v="20"/>
    <x v="0"/>
    <x v="0"/>
    <x v="1"/>
    <x v="0"/>
    <x v="4"/>
    <x v="351"/>
    <x v="390"/>
    <x v="0"/>
    <x v="0"/>
    <x v="0"/>
    <x v="0"/>
    <x v="20"/>
    <x v="0"/>
  </r>
  <r>
    <n v="246"/>
    <x v="35"/>
    <x v="35"/>
    <x v="35"/>
    <x v="21"/>
    <x v="0"/>
    <x v="0"/>
    <x v="1"/>
    <x v="0"/>
    <x v="4"/>
    <x v="351"/>
    <x v="390"/>
    <x v="0"/>
    <x v="0"/>
    <x v="0"/>
    <x v="0"/>
    <x v="21"/>
    <x v="0"/>
  </r>
  <r>
    <n v="246"/>
    <x v="35"/>
    <x v="35"/>
    <x v="35"/>
    <x v="22"/>
    <x v="0"/>
    <x v="0"/>
    <x v="1"/>
    <x v="0"/>
    <x v="4"/>
    <x v="13"/>
    <x v="391"/>
    <x v="0"/>
    <x v="0"/>
    <x v="0"/>
    <x v="0"/>
    <x v="22"/>
    <x v="0"/>
  </r>
  <r>
    <n v="246"/>
    <x v="35"/>
    <x v="35"/>
    <x v="35"/>
    <x v="38"/>
    <x v="1"/>
    <x v="2"/>
    <x v="1"/>
    <x v="0"/>
    <x v="8"/>
    <x v="5"/>
    <x v="5"/>
    <x v="2"/>
    <x v="0"/>
    <x v="2"/>
    <x v="1"/>
    <x v="38"/>
    <x v="1"/>
  </r>
  <r>
    <n v="246"/>
    <x v="35"/>
    <x v="35"/>
    <x v="35"/>
    <x v="23"/>
    <x v="0"/>
    <x v="0"/>
    <x v="1"/>
    <x v="0"/>
    <x v="5"/>
    <x v="352"/>
    <x v="390"/>
    <x v="0"/>
    <x v="0"/>
    <x v="0"/>
    <x v="0"/>
    <x v="23"/>
    <x v="0"/>
  </r>
  <r>
    <n v="246"/>
    <x v="35"/>
    <x v="35"/>
    <x v="35"/>
    <x v="26"/>
    <x v="0"/>
    <x v="2"/>
    <x v="1"/>
    <x v="0"/>
    <x v="6"/>
    <x v="5"/>
    <x v="5"/>
    <x v="2"/>
    <x v="0"/>
    <x v="2"/>
    <x v="1"/>
    <x v="26"/>
    <x v="1"/>
  </r>
  <r>
    <n v="246"/>
    <x v="35"/>
    <x v="35"/>
    <x v="35"/>
    <x v="27"/>
    <x v="0"/>
    <x v="0"/>
    <x v="1"/>
    <x v="0"/>
    <x v="6"/>
    <x v="351"/>
    <x v="390"/>
    <x v="0"/>
    <x v="0"/>
    <x v="0"/>
    <x v="0"/>
    <x v="27"/>
    <x v="0"/>
  </r>
  <r>
    <n v="246"/>
    <x v="35"/>
    <x v="35"/>
    <x v="35"/>
    <x v="28"/>
    <x v="0"/>
    <x v="0"/>
    <x v="1"/>
    <x v="0"/>
    <x v="7"/>
    <x v="351"/>
    <x v="390"/>
    <x v="0"/>
    <x v="0"/>
    <x v="0"/>
    <x v="0"/>
    <x v="28"/>
    <x v="0"/>
  </r>
  <r>
    <n v="246"/>
    <x v="35"/>
    <x v="35"/>
    <x v="35"/>
    <x v="29"/>
    <x v="0"/>
    <x v="0"/>
    <x v="1"/>
    <x v="0"/>
    <x v="7"/>
    <x v="352"/>
    <x v="390"/>
    <x v="0"/>
    <x v="0"/>
    <x v="0"/>
    <x v="0"/>
    <x v="29"/>
    <x v="0"/>
  </r>
  <r>
    <n v="246"/>
    <x v="35"/>
    <x v="35"/>
    <x v="35"/>
    <x v="30"/>
    <x v="0"/>
    <x v="0"/>
    <x v="1"/>
    <x v="0"/>
    <x v="7"/>
    <x v="353"/>
    <x v="390"/>
    <x v="0"/>
    <x v="0"/>
    <x v="0"/>
    <x v="0"/>
    <x v="30"/>
    <x v="0"/>
  </r>
  <r>
    <n v="246"/>
    <x v="35"/>
    <x v="35"/>
    <x v="35"/>
    <x v="31"/>
    <x v="0"/>
    <x v="1"/>
    <x v="1"/>
    <x v="0"/>
    <x v="7"/>
    <x v="6"/>
    <x v="390"/>
    <x v="1"/>
    <x v="0"/>
    <x v="1"/>
    <x v="0"/>
    <x v="31"/>
    <x v="0"/>
  </r>
  <r>
    <n v="246"/>
    <x v="35"/>
    <x v="35"/>
    <x v="35"/>
    <x v="32"/>
    <x v="0"/>
    <x v="0"/>
    <x v="1"/>
    <x v="0"/>
    <x v="7"/>
    <x v="351"/>
    <x v="390"/>
    <x v="0"/>
    <x v="0"/>
    <x v="0"/>
    <x v="0"/>
    <x v="32"/>
    <x v="0"/>
  </r>
  <r>
    <n v="246"/>
    <x v="35"/>
    <x v="35"/>
    <x v="35"/>
    <x v="33"/>
    <x v="0"/>
    <x v="0"/>
    <x v="1"/>
    <x v="0"/>
    <x v="7"/>
    <x v="13"/>
    <x v="390"/>
    <x v="0"/>
    <x v="0"/>
    <x v="0"/>
    <x v="0"/>
    <x v="33"/>
    <x v="0"/>
  </r>
  <r>
    <n v="246"/>
    <x v="35"/>
    <x v="35"/>
    <x v="35"/>
    <x v="34"/>
    <x v="0"/>
    <x v="0"/>
    <x v="1"/>
    <x v="0"/>
    <x v="7"/>
    <x v="351"/>
    <x v="390"/>
    <x v="0"/>
    <x v="0"/>
    <x v="0"/>
    <x v="0"/>
    <x v="34"/>
    <x v="0"/>
  </r>
  <r>
    <n v="246"/>
    <x v="35"/>
    <x v="35"/>
    <x v="35"/>
    <x v="35"/>
    <x v="0"/>
    <x v="0"/>
    <x v="1"/>
    <x v="0"/>
    <x v="7"/>
    <x v="351"/>
    <x v="390"/>
    <x v="0"/>
    <x v="0"/>
    <x v="0"/>
    <x v="0"/>
    <x v="35"/>
    <x v="0"/>
  </r>
  <r>
    <n v="246"/>
    <x v="35"/>
    <x v="35"/>
    <x v="35"/>
    <x v="36"/>
    <x v="0"/>
    <x v="0"/>
    <x v="1"/>
    <x v="0"/>
    <x v="7"/>
    <x v="351"/>
    <x v="390"/>
    <x v="0"/>
    <x v="0"/>
    <x v="0"/>
    <x v="0"/>
    <x v="36"/>
    <x v="0"/>
  </r>
  <r>
    <n v="114"/>
    <x v="36"/>
    <x v="36"/>
    <x v="36"/>
    <x v="39"/>
    <x v="0"/>
    <x v="0"/>
    <x v="2"/>
    <x v="1"/>
    <x v="0"/>
    <x v="354"/>
    <x v="392"/>
    <x v="0"/>
    <x v="0"/>
    <x v="0"/>
    <x v="1"/>
    <x v="39"/>
    <x v="1"/>
  </r>
  <r>
    <n v="114"/>
    <x v="36"/>
    <x v="36"/>
    <x v="36"/>
    <x v="40"/>
    <x v="0"/>
    <x v="0"/>
    <x v="2"/>
    <x v="1"/>
    <x v="0"/>
    <x v="354"/>
    <x v="392"/>
    <x v="0"/>
    <x v="0"/>
    <x v="0"/>
    <x v="0"/>
    <x v="40"/>
    <x v="0"/>
  </r>
  <r>
    <n v="114"/>
    <x v="36"/>
    <x v="36"/>
    <x v="36"/>
    <x v="1"/>
    <x v="0"/>
    <x v="0"/>
    <x v="2"/>
    <x v="1"/>
    <x v="0"/>
    <x v="354"/>
    <x v="392"/>
    <x v="0"/>
    <x v="0"/>
    <x v="0"/>
    <x v="1"/>
    <x v="1"/>
    <x v="1"/>
  </r>
  <r>
    <n v="114"/>
    <x v="36"/>
    <x v="36"/>
    <x v="36"/>
    <x v="2"/>
    <x v="0"/>
    <x v="0"/>
    <x v="2"/>
    <x v="1"/>
    <x v="0"/>
    <x v="355"/>
    <x v="393"/>
    <x v="0"/>
    <x v="0"/>
    <x v="0"/>
    <x v="0"/>
    <x v="2"/>
    <x v="0"/>
  </r>
  <r>
    <n v="114"/>
    <x v="36"/>
    <x v="36"/>
    <x v="36"/>
    <x v="41"/>
    <x v="0"/>
    <x v="0"/>
    <x v="2"/>
    <x v="1"/>
    <x v="0"/>
    <x v="355"/>
    <x v="393"/>
    <x v="0"/>
    <x v="0"/>
    <x v="0"/>
    <x v="1"/>
    <x v="41"/>
    <x v="1"/>
  </r>
  <r>
    <n v="114"/>
    <x v="36"/>
    <x v="36"/>
    <x v="36"/>
    <x v="3"/>
    <x v="1"/>
    <x v="2"/>
    <x v="2"/>
    <x v="1"/>
    <x v="0"/>
    <x v="5"/>
    <x v="5"/>
    <x v="2"/>
    <x v="0"/>
    <x v="2"/>
    <x v="1"/>
    <x v="3"/>
    <x v="1"/>
  </r>
  <r>
    <n v="114"/>
    <x v="36"/>
    <x v="36"/>
    <x v="36"/>
    <x v="4"/>
    <x v="0"/>
    <x v="0"/>
    <x v="2"/>
    <x v="1"/>
    <x v="0"/>
    <x v="182"/>
    <x v="394"/>
    <x v="0"/>
    <x v="0"/>
    <x v="0"/>
    <x v="0"/>
    <x v="4"/>
    <x v="0"/>
  </r>
  <r>
    <n v="114"/>
    <x v="36"/>
    <x v="36"/>
    <x v="36"/>
    <x v="5"/>
    <x v="0"/>
    <x v="0"/>
    <x v="2"/>
    <x v="1"/>
    <x v="0"/>
    <x v="10"/>
    <x v="119"/>
    <x v="0"/>
    <x v="0"/>
    <x v="0"/>
    <x v="0"/>
    <x v="5"/>
    <x v="0"/>
  </r>
  <r>
    <n v="114"/>
    <x v="36"/>
    <x v="36"/>
    <x v="36"/>
    <x v="6"/>
    <x v="1"/>
    <x v="1"/>
    <x v="2"/>
    <x v="1"/>
    <x v="0"/>
    <x v="10"/>
    <x v="193"/>
    <x v="1"/>
    <x v="0"/>
    <x v="1"/>
    <x v="0"/>
    <x v="6"/>
    <x v="0"/>
  </r>
  <r>
    <n v="114"/>
    <x v="36"/>
    <x v="36"/>
    <x v="36"/>
    <x v="7"/>
    <x v="0"/>
    <x v="0"/>
    <x v="2"/>
    <x v="1"/>
    <x v="1"/>
    <x v="284"/>
    <x v="315"/>
    <x v="0"/>
    <x v="0"/>
    <x v="0"/>
    <x v="0"/>
    <x v="7"/>
    <x v="0"/>
  </r>
  <r>
    <n v="114"/>
    <x v="36"/>
    <x v="36"/>
    <x v="36"/>
    <x v="8"/>
    <x v="0"/>
    <x v="0"/>
    <x v="2"/>
    <x v="1"/>
    <x v="1"/>
    <x v="13"/>
    <x v="395"/>
    <x v="0"/>
    <x v="0"/>
    <x v="0"/>
    <x v="0"/>
    <x v="8"/>
    <x v="0"/>
  </r>
  <r>
    <n v="114"/>
    <x v="36"/>
    <x v="36"/>
    <x v="36"/>
    <x v="9"/>
    <x v="0"/>
    <x v="0"/>
    <x v="2"/>
    <x v="1"/>
    <x v="1"/>
    <x v="13"/>
    <x v="391"/>
    <x v="0"/>
    <x v="0"/>
    <x v="0"/>
    <x v="0"/>
    <x v="9"/>
    <x v="0"/>
  </r>
  <r>
    <n v="114"/>
    <x v="36"/>
    <x v="36"/>
    <x v="36"/>
    <x v="10"/>
    <x v="0"/>
    <x v="0"/>
    <x v="2"/>
    <x v="1"/>
    <x v="1"/>
    <x v="356"/>
    <x v="396"/>
    <x v="0"/>
    <x v="0"/>
    <x v="0"/>
    <x v="0"/>
    <x v="10"/>
    <x v="0"/>
  </r>
  <r>
    <n v="114"/>
    <x v="36"/>
    <x v="36"/>
    <x v="36"/>
    <x v="11"/>
    <x v="0"/>
    <x v="0"/>
    <x v="2"/>
    <x v="1"/>
    <x v="2"/>
    <x v="38"/>
    <x v="55"/>
    <x v="0"/>
    <x v="0"/>
    <x v="0"/>
    <x v="0"/>
    <x v="11"/>
    <x v="0"/>
  </r>
  <r>
    <n v="114"/>
    <x v="36"/>
    <x v="36"/>
    <x v="36"/>
    <x v="12"/>
    <x v="0"/>
    <x v="0"/>
    <x v="2"/>
    <x v="1"/>
    <x v="2"/>
    <x v="261"/>
    <x v="287"/>
    <x v="0"/>
    <x v="0"/>
    <x v="0"/>
    <x v="0"/>
    <x v="12"/>
    <x v="0"/>
  </r>
  <r>
    <n v="114"/>
    <x v="36"/>
    <x v="36"/>
    <x v="36"/>
    <x v="18"/>
    <x v="0"/>
    <x v="0"/>
    <x v="2"/>
    <x v="1"/>
    <x v="3"/>
    <x v="13"/>
    <x v="397"/>
    <x v="0"/>
    <x v="0"/>
    <x v="0"/>
    <x v="0"/>
    <x v="18"/>
    <x v="0"/>
  </r>
  <r>
    <n v="114"/>
    <x v="36"/>
    <x v="36"/>
    <x v="36"/>
    <x v="20"/>
    <x v="0"/>
    <x v="0"/>
    <x v="2"/>
    <x v="1"/>
    <x v="4"/>
    <x v="357"/>
    <x v="398"/>
    <x v="0"/>
    <x v="0"/>
    <x v="0"/>
    <x v="0"/>
    <x v="20"/>
    <x v="0"/>
  </r>
  <r>
    <n v="114"/>
    <x v="36"/>
    <x v="36"/>
    <x v="36"/>
    <x v="21"/>
    <x v="0"/>
    <x v="0"/>
    <x v="2"/>
    <x v="1"/>
    <x v="4"/>
    <x v="357"/>
    <x v="398"/>
    <x v="0"/>
    <x v="0"/>
    <x v="0"/>
    <x v="0"/>
    <x v="21"/>
    <x v="0"/>
  </r>
  <r>
    <n v="114"/>
    <x v="36"/>
    <x v="36"/>
    <x v="36"/>
    <x v="22"/>
    <x v="0"/>
    <x v="0"/>
    <x v="2"/>
    <x v="1"/>
    <x v="4"/>
    <x v="13"/>
    <x v="399"/>
    <x v="0"/>
    <x v="0"/>
    <x v="0"/>
    <x v="0"/>
    <x v="22"/>
    <x v="0"/>
  </r>
  <r>
    <n v="114"/>
    <x v="36"/>
    <x v="36"/>
    <x v="36"/>
    <x v="42"/>
    <x v="0"/>
    <x v="2"/>
    <x v="2"/>
    <x v="1"/>
    <x v="4"/>
    <x v="5"/>
    <x v="5"/>
    <x v="2"/>
    <x v="0"/>
    <x v="2"/>
    <x v="1"/>
    <x v="42"/>
    <x v="1"/>
  </r>
  <r>
    <n v="114"/>
    <x v="36"/>
    <x v="36"/>
    <x v="36"/>
    <x v="38"/>
    <x v="1"/>
    <x v="2"/>
    <x v="2"/>
    <x v="1"/>
    <x v="8"/>
    <x v="5"/>
    <x v="5"/>
    <x v="2"/>
    <x v="0"/>
    <x v="2"/>
    <x v="1"/>
    <x v="38"/>
    <x v="1"/>
  </r>
  <r>
    <n v="114"/>
    <x v="36"/>
    <x v="36"/>
    <x v="36"/>
    <x v="23"/>
    <x v="0"/>
    <x v="0"/>
    <x v="2"/>
    <x v="1"/>
    <x v="5"/>
    <x v="358"/>
    <x v="284"/>
    <x v="0"/>
    <x v="0"/>
    <x v="0"/>
    <x v="0"/>
    <x v="23"/>
    <x v="0"/>
  </r>
  <r>
    <n v="114"/>
    <x v="36"/>
    <x v="36"/>
    <x v="36"/>
    <x v="26"/>
    <x v="0"/>
    <x v="0"/>
    <x v="2"/>
    <x v="1"/>
    <x v="6"/>
    <x v="13"/>
    <x v="400"/>
    <x v="0"/>
    <x v="0"/>
    <x v="0"/>
    <x v="0"/>
    <x v="26"/>
    <x v="0"/>
  </r>
  <r>
    <n v="114"/>
    <x v="36"/>
    <x v="36"/>
    <x v="36"/>
    <x v="27"/>
    <x v="0"/>
    <x v="0"/>
    <x v="2"/>
    <x v="1"/>
    <x v="6"/>
    <x v="38"/>
    <x v="55"/>
    <x v="0"/>
    <x v="0"/>
    <x v="0"/>
    <x v="0"/>
    <x v="27"/>
    <x v="0"/>
  </r>
  <r>
    <n v="114"/>
    <x v="36"/>
    <x v="36"/>
    <x v="36"/>
    <x v="28"/>
    <x v="0"/>
    <x v="0"/>
    <x v="2"/>
    <x v="1"/>
    <x v="7"/>
    <x v="359"/>
    <x v="401"/>
    <x v="0"/>
    <x v="0"/>
    <x v="0"/>
    <x v="0"/>
    <x v="28"/>
    <x v="0"/>
  </r>
  <r>
    <n v="114"/>
    <x v="36"/>
    <x v="36"/>
    <x v="36"/>
    <x v="29"/>
    <x v="0"/>
    <x v="0"/>
    <x v="2"/>
    <x v="1"/>
    <x v="7"/>
    <x v="358"/>
    <x v="284"/>
    <x v="0"/>
    <x v="0"/>
    <x v="0"/>
    <x v="0"/>
    <x v="29"/>
    <x v="0"/>
  </r>
  <r>
    <n v="114"/>
    <x v="36"/>
    <x v="36"/>
    <x v="36"/>
    <x v="30"/>
    <x v="0"/>
    <x v="0"/>
    <x v="2"/>
    <x v="1"/>
    <x v="7"/>
    <x v="260"/>
    <x v="284"/>
    <x v="0"/>
    <x v="0"/>
    <x v="0"/>
    <x v="0"/>
    <x v="30"/>
    <x v="0"/>
  </r>
  <r>
    <n v="114"/>
    <x v="36"/>
    <x v="36"/>
    <x v="36"/>
    <x v="31"/>
    <x v="0"/>
    <x v="0"/>
    <x v="2"/>
    <x v="1"/>
    <x v="7"/>
    <x v="360"/>
    <x v="402"/>
    <x v="0"/>
    <x v="0"/>
    <x v="0"/>
    <x v="0"/>
    <x v="31"/>
    <x v="0"/>
  </r>
  <r>
    <n v="114"/>
    <x v="36"/>
    <x v="36"/>
    <x v="36"/>
    <x v="32"/>
    <x v="0"/>
    <x v="0"/>
    <x v="2"/>
    <x v="1"/>
    <x v="7"/>
    <x v="361"/>
    <x v="403"/>
    <x v="0"/>
    <x v="0"/>
    <x v="0"/>
    <x v="0"/>
    <x v="32"/>
    <x v="0"/>
  </r>
  <r>
    <n v="114"/>
    <x v="36"/>
    <x v="36"/>
    <x v="36"/>
    <x v="33"/>
    <x v="0"/>
    <x v="0"/>
    <x v="2"/>
    <x v="1"/>
    <x v="7"/>
    <x v="13"/>
    <x v="284"/>
    <x v="0"/>
    <x v="0"/>
    <x v="0"/>
    <x v="0"/>
    <x v="33"/>
    <x v="0"/>
  </r>
  <r>
    <n v="114"/>
    <x v="36"/>
    <x v="36"/>
    <x v="36"/>
    <x v="34"/>
    <x v="0"/>
    <x v="0"/>
    <x v="2"/>
    <x v="1"/>
    <x v="7"/>
    <x v="359"/>
    <x v="401"/>
    <x v="0"/>
    <x v="0"/>
    <x v="0"/>
    <x v="0"/>
    <x v="34"/>
    <x v="0"/>
  </r>
  <r>
    <n v="114"/>
    <x v="36"/>
    <x v="36"/>
    <x v="36"/>
    <x v="35"/>
    <x v="0"/>
    <x v="0"/>
    <x v="2"/>
    <x v="1"/>
    <x v="7"/>
    <x v="362"/>
    <x v="404"/>
    <x v="0"/>
    <x v="0"/>
    <x v="0"/>
    <x v="0"/>
    <x v="35"/>
    <x v="0"/>
  </r>
  <r>
    <n v="114"/>
    <x v="36"/>
    <x v="36"/>
    <x v="36"/>
    <x v="36"/>
    <x v="0"/>
    <x v="0"/>
    <x v="2"/>
    <x v="1"/>
    <x v="7"/>
    <x v="356"/>
    <x v="396"/>
    <x v="0"/>
    <x v="0"/>
    <x v="0"/>
    <x v="0"/>
    <x v="36"/>
    <x v="0"/>
  </r>
  <r>
    <n v="242"/>
    <x v="37"/>
    <x v="37"/>
    <x v="37"/>
    <x v="43"/>
    <x v="0"/>
    <x v="0"/>
    <x v="3"/>
    <x v="0"/>
    <x v="0"/>
    <x v="363"/>
    <x v="405"/>
    <x v="0"/>
    <x v="0"/>
    <x v="0"/>
    <x v="0"/>
    <x v="43"/>
    <x v="0"/>
  </r>
  <r>
    <n v="242"/>
    <x v="37"/>
    <x v="37"/>
    <x v="37"/>
    <x v="40"/>
    <x v="0"/>
    <x v="0"/>
    <x v="3"/>
    <x v="0"/>
    <x v="0"/>
    <x v="364"/>
    <x v="406"/>
    <x v="0"/>
    <x v="0"/>
    <x v="0"/>
    <x v="0"/>
    <x v="40"/>
    <x v="0"/>
  </r>
  <r>
    <n v="242"/>
    <x v="37"/>
    <x v="37"/>
    <x v="37"/>
    <x v="1"/>
    <x v="0"/>
    <x v="0"/>
    <x v="3"/>
    <x v="0"/>
    <x v="0"/>
    <x v="40"/>
    <x v="171"/>
    <x v="0"/>
    <x v="0"/>
    <x v="0"/>
    <x v="0"/>
    <x v="1"/>
    <x v="0"/>
  </r>
  <r>
    <n v="242"/>
    <x v="37"/>
    <x v="37"/>
    <x v="37"/>
    <x v="41"/>
    <x v="0"/>
    <x v="0"/>
    <x v="3"/>
    <x v="0"/>
    <x v="0"/>
    <x v="365"/>
    <x v="407"/>
    <x v="0"/>
    <x v="0"/>
    <x v="0"/>
    <x v="1"/>
    <x v="41"/>
    <x v="1"/>
  </r>
  <r>
    <n v="242"/>
    <x v="37"/>
    <x v="37"/>
    <x v="37"/>
    <x v="3"/>
    <x v="1"/>
    <x v="2"/>
    <x v="3"/>
    <x v="0"/>
    <x v="0"/>
    <x v="5"/>
    <x v="5"/>
    <x v="2"/>
    <x v="0"/>
    <x v="2"/>
    <x v="1"/>
    <x v="3"/>
    <x v="1"/>
  </r>
  <r>
    <n v="242"/>
    <x v="37"/>
    <x v="37"/>
    <x v="37"/>
    <x v="4"/>
    <x v="0"/>
    <x v="0"/>
    <x v="3"/>
    <x v="0"/>
    <x v="0"/>
    <x v="319"/>
    <x v="92"/>
    <x v="0"/>
    <x v="0"/>
    <x v="0"/>
    <x v="0"/>
    <x v="4"/>
    <x v="0"/>
  </r>
  <r>
    <n v="242"/>
    <x v="37"/>
    <x v="37"/>
    <x v="37"/>
    <x v="5"/>
    <x v="0"/>
    <x v="0"/>
    <x v="3"/>
    <x v="0"/>
    <x v="0"/>
    <x v="10"/>
    <x v="408"/>
    <x v="0"/>
    <x v="0"/>
    <x v="0"/>
    <x v="0"/>
    <x v="5"/>
    <x v="0"/>
  </r>
  <r>
    <n v="242"/>
    <x v="37"/>
    <x v="37"/>
    <x v="37"/>
    <x v="6"/>
    <x v="1"/>
    <x v="2"/>
    <x v="3"/>
    <x v="0"/>
    <x v="0"/>
    <x v="5"/>
    <x v="5"/>
    <x v="2"/>
    <x v="0"/>
    <x v="2"/>
    <x v="1"/>
    <x v="6"/>
    <x v="1"/>
  </r>
  <r>
    <n v="242"/>
    <x v="37"/>
    <x v="37"/>
    <x v="37"/>
    <x v="7"/>
    <x v="0"/>
    <x v="0"/>
    <x v="3"/>
    <x v="0"/>
    <x v="1"/>
    <x v="169"/>
    <x v="34"/>
    <x v="0"/>
    <x v="0"/>
    <x v="0"/>
    <x v="0"/>
    <x v="7"/>
    <x v="0"/>
  </r>
  <r>
    <n v="242"/>
    <x v="37"/>
    <x v="37"/>
    <x v="37"/>
    <x v="8"/>
    <x v="0"/>
    <x v="0"/>
    <x v="3"/>
    <x v="0"/>
    <x v="1"/>
    <x v="13"/>
    <x v="409"/>
    <x v="0"/>
    <x v="0"/>
    <x v="0"/>
    <x v="0"/>
    <x v="8"/>
    <x v="0"/>
  </r>
  <r>
    <n v="242"/>
    <x v="37"/>
    <x v="37"/>
    <x v="37"/>
    <x v="9"/>
    <x v="0"/>
    <x v="0"/>
    <x v="3"/>
    <x v="0"/>
    <x v="1"/>
    <x v="13"/>
    <x v="114"/>
    <x v="0"/>
    <x v="0"/>
    <x v="0"/>
    <x v="0"/>
    <x v="9"/>
    <x v="0"/>
  </r>
  <r>
    <n v="242"/>
    <x v="37"/>
    <x v="37"/>
    <x v="37"/>
    <x v="10"/>
    <x v="0"/>
    <x v="0"/>
    <x v="3"/>
    <x v="0"/>
    <x v="1"/>
    <x v="366"/>
    <x v="410"/>
    <x v="0"/>
    <x v="0"/>
    <x v="0"/>
    <x v="0"/>
    <x v="10"/>
    <x v="0"/>
  </r>
  <r>
    <n v="242"/>
    <x v="37"/>
    <x v="37"/>
    <x v="37"/>
    <x v="11"/>
    <x v="0"/>
    <x v="0"/>
    <x v="3"/>
    <x v="0"/>
    <x v="2"/>
    <x v="79"/>
    <x v="100"/>
    <x v="0"/>
    <x v="0"/>
    <x v="0"/>
    <x v="0"/>
    <x v="11"/>
    <x v="0"/>
  </r>
  <r>
    <n v="242"/>
    <x v="37"/>
    <x v="37"/>
    <x v="37"/>
    <x v="12"/>
    <x v="0"/>
    <x v="0"/>
    <x v="3"/>
    <x v="0"/>
    <x v="2"/>
    <x v="117"/>
    <x v="148"/>
    <x v="0"/>
    <x v="0"/>
    <x v="0"/>
    <x v="0"/>
    <x v="12"/>
    <x v="0"/>
  </r>
  <r>
    <n v="242"/>
    <x v="37"/>
    <x v="37"/>
    <x v="37"/>
    <x v="20"/>
    <x v="0"/>
    <x v="0"/>
    <x v="3"/>
    <x v="0"/>
    <x v="4"/>
    <x v="367"/>
    <x v="411"/>
    <x v="0"/>
    <x v="0"/>
    <x v="0"/>
    <x v="0"/>
    <x v="20"/>
    <x v="0"/>
  </r>
  <r>
    <n v="242"/>
    <x v="37"/>
    <x v="37"/>
    <x v="37"/>
    <x v="21"/>
    <x v="0"/>
    <x v="0"/>
    <x v="3"/>
    <x v="0"/>
    <x v="4"/>
    <x v="367"/>
    <x v="411"/>
    <x v="0"/>
    <x v="0"/>
    <x v="0"/>
    <x v="0"/>
    <x v="21"/>
    <x v="0"/>
  </r>
  <r>
    <n v="242"/>
    <x v="37"/>
    <x v="37"/>
    <x v="37"/>
    <x v="22"/>
    <x v="0"/>
    <x v="0"/>
    <x v="3"/>
    <x v="0"/>
    <x v="4"/>
    <x v="13"/>
    <x v="188"/>
    <x v="0"/>
    <x v="0"/>
    <x v="0"/>
    <x v="0"/>
    <x v="22"/>
    <x v="0"/>
  </r>
  <r>
    <n v="242"/>
    <x v="37"/>
    <x v="37"/>
    <x v="37"/>
    <x v="38"/>
    <x v="1"/>
    <x v="2"/>
    <x v="3"/>
    <x v="0"/>
    <x v="8"/>
    <x v="5"/>
    <x v="5"/>
    <x v="2"/>
    <x v="0"/>
    <x v="2"/>
    <x v="1"/>
    <x v="38"/>
    <x v="1"/>
  </r>
  <r>
    <n v="242"/>
    <x v="37"/>
    <x v="37"/>
    <x v="37"/>
    <x v="23"/>
    <x v="0"/>
    <x v="0"/>
    <x v="3"/>
    <x v="0"/>
    <x v="5"/>
    <x v="368"/>
    <x v="412"/>
    <x v="0"/>
    <x v="0"/>
    <x v="0"/>
    <x v="0"/>
    <x v="23"/>
    <x v="0"/>
  </r>
  <r>
    <n v="242"/>
    <x v="37"/>
    <x v="37"/>
    <x v="37"/>
    <x v="26"/>
    <x v="0"/>
    <x v="0"/>
    <x v="3"/>
    <x v="0"/>
    <x v="6"/>
    <x v="13"/>
    <x v="413"/>
    <x v="0"/>
    <x v="0"/>
    <x v="0"/>
    <x v="0"/>
    <x v="26"/>
    <x v="0"/>
  </r>
  <r>
    <n v="242"/>
    <x v="37"/>
    <x v="37"/>
    <x v="37"/>
    <x v="27"/>
    <x v="0"/>
    <x v="0"/>
    <x v="3"/>
    <x v="0"/>
    <x v="6"/>
    <x v="198"/>
    <x v="213"/>
    <x v="0"/>
    <x v="0"/>
    <x v="0"/>
    <x v="0"/>
    <x v="27"/>
    <x v="0"/>
  </r>
  <r>
    <n v="242"/>
    <x v="37"/>
    <x v="37"/>
    <x v="37"/>
    <x v="28"/>
    <x v="0"/>
    <x v="0"/>
    <x v="3"/>
    <x v="0"/>
    <x v="7"/>
    <x v="117"/>
    <x v="148"/>
    <x v="0"/>
    <x v="0"/>
    <x v="0"/>
    <x v="0"/>
    <x v="28"/>
    <x v="0"/>
  </r>
  <r>
    <n v="242"/>
    <x v="37"/>
    <x v="37"/>
    <x v="37"/>
    <x v="29"/>
    <x v="0"/>
    <x v="0"/>
    <x v="3"/>
    <x v="0"/>
    <x v="7"/>
    <x v="368"/>
    <x v="412"/>
    <x v="0"/>
    <x v="0"/>
    <x v="0"/>
    <x v="0"/>
    <x v="29"/>
    <x v="0"/>
  </r>
  <r>
    <n v="242"/>
    <x v="37"/>
    <x v="37"/>
    <x v="37"/>
    <x v="30"/>
    <x v="0"/>
    <x v="0"/>
    <x v="3"/>
    <x v="0"/>
    <x v="7"/>
    <x v="369"/>
    <x v="412"/>
    <x v="0"/>
    <x v="0"/>
    <x v="0"/>
    <x v="0"/>
    <x v="30"/>
    <x v="0"/>
  </r>
  <r>
    <n v="242"/>
    <x v="37"/>
    <x v="37"/>
    <x v="37"/>
    <x v="31"/>
    <x v="0"/>
    <x v="1"/>
    <x v="3"/>
    <x v="0"/>
    <x v="7"/>
    <x v="6"/>
    <x v="414"/>
    <x v="1"/>
    <x v="0"/>
    <x v="1"/>
    <x v="0"/>
    <x v="31"/>
    <x v="0"/>
  </r>
  <r>
    <n v="242"/>
    <x v="37"/>
    <x v="37"/>
    <x v="37"/>
    <x v="32"/>
    <x v="0"/>
    <x v="0"/>
    <x v="3"/>
    <x v="0"/>
    <x v="7"/>
    <x v="117"/>
    <x v="148"/>
    <x v="0"/>
    <x v="0"/>
    <x v="0"/>
    <x v="0"/>
    <x v="32"/>
    <x v="0"/>
  </r>
  <r>
    <n v="242"/>
    <x v="37"/>
    <x v="37"/>
    <x v="37"/>
    <x v="33"/>
    <x v="0"/>
    <x v="0"/>
    <x v="3"/>
    <x v="0"/>
    <x v="7"/>
    <x v="13"/>
    <x v="415"/>
    <x v="0"/>
    <x v="0"/>
    <x v="0"/>
    <x v="0"/>
    <x v="33"/>
    <x v="0"/>
  </r>
  <r>
    <n v="242"/>
    <x v="37"/>
    <x v="37"/>
    <x v="37"/>
    <x v="34"/>
    <x v="0"/>
    <x v="0"/>
    <x v="3"/>
    <x v="0"/>
    <x v="7"/>
    <x v="39"/>
    <x v="66"/>
    <x v="0"/>
    <x v="0"/>
    <x v="0"/>
    <x v="0"/>
    <x v="34"/>
    <x v="0"/>
  </r>
  <r>
    <n v="242"/>
    <x v="37"/>
    <x v="37"/>
    <x v="37"/>
    <x v="35"/>
    <x v="0"/>
    <x v="0"/>
    <x v="3"/>
    <x v="0"/>
    <x v="7"/>
    <x v="370"/>
    <x v="416"/>
    <x v="0"/>
    <x v="0"/>
    <x v="0"/>
    <x v="0"/>
    <x v="35"/>
    <x v="0"/>
  </r>
  <r>
    <n v="242"/>
    <x v="37"/>
    <x v="37"/>
    <x v="37"/>
    <x v="36"/>
    <x v="0"/>
    <x v="0"/>
    <x v="3"/>
    <x v="0"/>
    <x v="7"/>
    <x v="366"/>
    <x v="410"/>
    <x v="0"/>
    <x v="0"/>
    <x v="0"/>
    <x v="0"/>
    <x v="36"/>
    <x v="0"/>
  </r>
  <r>
    <n v="166"/>
    <x v="38"/>
    <x v="38"/>
    <x v="38"/>
    <x v="46"/>
    <x v="0"/>
    <x v="0"/>
    <x v="6"/>
    <x v="0"/>
    <x v="0"/>
    <x v="41"/>
    <x v="417"/>
    <x v="0"/>
    <x v="0"/>
    <x v="0"/>
    <x v="1"/>
    <x v="46"/>
    <x v="1"/>
  </r>
  <r>
    <n v="166"/>
    <x v="38"/>
    <x v="38"/>
    <x v="38"/>
    <x v="40"/>
    <x v="0"/>
    <x v="0"/>
    <x v="6"/>
    <x v="0"/>
    <x v="0"/>
    <x v="41"/>
    <x v="417"/>
    <x v="0"/>
    <x v="0"/>
    <x v="0"/>
    <x v="1"/>
    <x v="40"/>
    <x v="1"/>
  </r>
  <r>
    <n v="166"/>
    <x v="38"/>
    <x v="38"/>
    <x v="38"/>
    <x v="3"/>
    <x v="1"/>
    <x v="2"/>
    <x v="6"/>
    <x v="0"/>
    <x v="0"/>
    <x v="5"/>
    <x v="5"/>
    <x v="2"/>
    <x v="0"/>
    <x v="2"/>
    <x v="1"/>
    <x v="3"/>
    <x v="1"/>
  </r>
  <r>
    <n v="166"/>
    <x v="38"/>
    <x v="38"/>
    <x v="38"/>
    <x v="4"/>
    <x v="0"/>
    <x v="0"/>
    <x v="6"/>
    <x v="0"/>
    <x v="0"/>
    <x v="371"/>
    <x v="58"/>
    <x v="0"/>
    <x v="0"/>
    <x v="0"/>
    <x v="0"/>
    <x v="4"/>
    <x v="0"/>
  </r>
  <r>
    <n v="166"/>
    <x v="38"/>
    <x v="38"/>
    <x v="38"/>
    <x v="5"/>
    <x v="0"/>
    <x v="0"/>
    <x v="6"/>
    <x v="0"/>
    <x v="0"/>
    <x v="372"/>
    <x v="180"/>
    <x v="0"/>
    <x v="0"/>
    <x v="0"/>
    <x v="0"/>
    <x v="5"/>
    <x v="0"/>
  </r>
  <r>
    <n v="166"/>
    <x v="38"/>
    <x v="38"/>
    <x v="38"/>
    <x v="6"/>
    <x v="1"/>
    <x v="2"/>
    <x v="6"/>
    <x v="0"/>
    <x v="0"/>
    <x v="5"/>
    <x v="5"/>
    <x v="2"/>
    <x v="0"/>
    <x v="2"/>
    <x v="1"/>
    <x v="6"/>
    <x v="1"/>
  </r>
  <r>
    <n v="166"/>
    <x v="38"/>
    <x v="38"/>
    <x v="38"/>
    <x v="7"/>
    <x v="0"/>
    <x v="0"/>
    <x v="6"/>
    <x v="0"/>
    <x v="1"/>
    <x v="25"/>
    <x v="418"/>
    <x v="0"/>
    <x v="0"/>
    <x v="0"/>
    <x v="0"/>
    <x v="7"/>
    <x v="0"/>
  </r>
  <r>
    <n v="166"/>
    <x v="38"/>
    <x v="38"/>
    <x v="38"/>
    <x v="9"/>
    <x v="0"/>
    <x v="0"/>
    <x v="6"/>
    <x v="0"/>
    <x v="1"/>
    <x v="13"/>
    <x v="21"/>
    <x v="0"/>
    <x v="0"/>
    <x v="0"/>
    <x v="0"/>
    <x v="9"/>
    <x v="0"/>
  </r>
  <r>
    <n v="166"/>
    <x v="38"/>
    <x v="38"/>
    <x v="38"/>
    <x v="12"/>
    <x v="0"/>
    <x v="0"/>
    <x v="6"/>
    <x v="0"/>
    <x v="2"/>
    <x v="80"/>
    <x v="101"/>
    <x v="0"/>
    <x v="0"/>
    <x v="0"/>
    <x v="0"/>
    <x v="12"/>
    <x v="0"/>
  </r>
  <r>
    <n v="166"/>
    <x v="38"/>
    <x v="38"/>
    <x v="38"/>
    <x v="20"/>
    <x v="0"/>
    <x v="0"/>
    <x v="6"/>
    <x v="0"/>
    <x v="4"/>
    <x v="373"/>
    <x v="419"/>
    <x v="0"/>
    <x v="0"/>
    <x v="0"/>
    <x v="0"/>
    <x v="20"/>
    <x v="0"/>
  </r>
  <r>
    <n v="166"/>
    <x v="38"/>
    <x v="38"/>
    <x v="38"/>
    <x v="21"/>
    <x v="0"/>
    <x v="0"/>
    <x v="6"/>
    <x v="0"/>
    <x v="4"/>
    <x v="373"/>
    <x v="419"/>
    <x v="0"/>
    <x v="0"/>
    <x v="0"/>
    <x v="0"/>
    <x v="21"/>
    <x v="0"/>
  </r>
  <r>
    <n v="166"/>
    <x v="38"/>
    <x v="38"/>
    <x v="38"/>
    <x v="47"/>
    <x v="0"/>
    <x v="2"/>
    <x v="6"/>
    <x v="0"/>
    <x v="8"/>
    <x v="5"/>
    <x v="5"/>
    <x v="2"/>
    <x v="0"/>
    <x v="2"/>
    <x v="1"/>
    <x v="47"/>
    <x v="1"/>
  </r>
  <r>
    <n v="166"/>
    <x v="38"/>
    <x v="38"/>
    <x v="38"/>
    <x v="38"/>
    <x v="1"/>
    <x v="2"/>
    <x v="6"/>
    <x v="0"/>
    <x v="8"/>
    <x v="5"/>
    <x v="5"/>
    <x v="2"/>
    <x v="0"/>
    <x v="2"/>
    <x v="1"/>
    <x v="38"/>
    <x v="1"/>
  </r>
  <r>
    <n v="166"/>
    <x v="38"/>
    <x v="38"/>
    <x v="38"/>
    <x v="23"/>
    <x v="0"/>
    <x v="0"/>
    <x v="6"/>
    <x v="0"/>
    <x v="5"/>
    <x v="374"/>
    <x v="241"/>
    <x v="0"/>
    <x v="0"/>
    <x v="0"/>
    <x v="0"/>
    <x v="23"/>
    <x v="0"/>
  </r>
  <r>
    <n v="166"/>
    <x v="38"/>
    <x v="38"/>
    <x v="38"/>
    <x v="25"/>
    <x v="0"/>
    <x v="0"/>
    <x v="6"/>
    <x v="0"/>
    <x v="5"/>
    <x v="375"/>
    <x v="420"/>
    <x v="0"/>
    <x v="0"/>
    <x v="0"/>
    <x v="0"/>
    <x v="25"/>
    <x v="0"/>
  </r>
  <r>
    <n v="166"/>
    <x v="38"/>
    <x v="38"/>
    <x v="38"/>
    <x v="26"/>
    <x v="0"/>
    <x v="0"/>
    <x v="6"/>
    <x v="0"/>
    <x v="6"/>
    <x v="13"/>
    <x v="50"/>
    <x v="0"/>
    <x v="0"/>
    <x v="0"/>
    <x v="0"/>
    <x v="26"/>
    <x v="0"/>
  </r>
  <r>
    <n v="166"/>
    <x v="38"/>
    <x v="38"/>
    <x v="38"/>
    <x v="27"/>
    <x v="0"/>
    <x v="0"/>
    <x v="6"/>
    <x v="0"/>
    <x v="6"/>
    <x v="235"/>
    <x v="258"/>
    <x v="0"/>
    <x v="0"/>
    <x v="0"/>
    <x v="0"/>
    <x v="27"/>
    <x v="0"/>
  </r>
  <r>
    <n v="166"/>
    <x v="38"/>
    <x v="38"/>
    <x v="38"/>
    <x v="28"/>
    <x v="0"/>
    <x v="0"/>
    <x v="6"/>
    <x v="0"/>
    <x v="7"/>
    <x v="373"/>
    <x v="419"/>
    <x v="0"/>
    <x v="0"/>
    <x v="0"/>
    <x v="0"/>
    <x v="28"/>
    <x v="0"/>
  </r>
  <r>
    <n v="166"/>
    <x v="38"/>
    <x v="38"/>
    <x v="38"/>
    <x v="29"/>
    <x v="0"/>
    <x v="0"/>
    <x v="6"/>
    <x v="0"/>
    <x v="7"/>
    <x v="374"/>
    <x v="241"/>
    <x v="0"/>
    <x v="0"/>
    <x v="0"/>
    <x v="0"/>
    <x v="29"/>
    <x v="0"/>
  </r>
  <r>
    <n v="166"/>
    <x v="38"/>
    <x v="38"/>
    <x v="38"/>
    <x v="30"/>
    <x v="0"/>
    <x v="0"/>
    <x v="6"/>
    <x v="0"/>
    <x v="7"/>
    <x v="376"/>
    <x v="241"/>
    <x v="0"/>
    <x v="0"/>
    <x v="0"/>
    <x v="0"/>
    <x v="30"/>
    <x v="0"/>
  </r>
  <r>
    <n v="166"/>
    <x v="38"/>
    <x v="38"/>
    <x v="38"/>
    <x v="31"/>
    <x v="0"/>
    <x v="1"/>
    <x v="6"/>
    <x v="0"/>
    <x v="7"/>
    <x v="6"/>
    <x v="241"/>
    <x v="1"/>
    <x v="0"/>
    <x v="1"/>
    <x v="0"/>
    <x v="31"/>
    <x v="0"/>
  </r>
  <r>
    <n v="166"/>
    <x v="38"/>
    <x v="38"/>
    <x v="38"/>
    <x v="32"/>
    <x v="0"/>
    <x v="0"/>
    <x v="6"/>
    <x v="0"/>
    <x v="7"/>
    <x v="373"/>
    <x v="419"/>
    <x v="0"/>
    <x v="0"/>
    <x v="0"/>
    <x v="0"/>
    <x v="32"/>
    <x v="0"/>
  </r>
  <r>
    <n v="166"/>
    <x v="38"/>
    <x v="38"/>
    <x v="38"/>
    <x v="33"/>
    <x v="0"/>
    <x v="0"/>
    <x v="6"/>
    <x v="0"/>
    <x v="7"/>
    <x v="13"/>
    <x v="419"/>
    <x v="0"/>
    <x v="0"/>
    <x v="0"/>
    <x v="0"/>
    <x v="33"/>
    <x v="0"/>
  </r>
  <r>
    <n v="166"/>
    <x v="38"/>
    <x v="38"/>
    <x v="38"/>
    <x v="34"/>
    <x v="0"/>
    <x v="0"/>
    <x v="6"/>
    <x v="0"/>
    <x v="7"/>
    <x v="235"/>
    <x v="258"/>
    <x v="0"/>
    <x v="0"/>
    <x v="0"/>
    <x v="0"/>
    <x v="34"/>
    <x v="0"/>
  </r>
  <r>
    <n v="166"/>
    <x v="38"/>
    <x v="38"/>
    <x v="38"/>
    <x v="35"/>
    <x v="0"/>
    <x v="0"/>
    <x v="6"/>
    <x v="0"/>
    <x v="7"/>
    <x v="373"/>
    <x v="419"/>
    <x v="0"/>
    <x v="0"/>
    <x v="0"/>
    <x v="0"/>
    <x v="35"/>
    <x v="0"/>
  </r>
  <r>
    <n v="166"/>
    <x v="38"/>
    <x v="38"/>
    <x v="38"/>
    <x v="36"/>
    <x v="0"/>
    <x v="0"/>
    <x v="6"/>
    <x v="0"/>
    <x v="7"/>
    <x v="235"/>
    <x v="258"/>
    <x v="0"/>
    <x v="0"/>
    <x v="0"/>
    <x v="0"/>
    <x v="36"/>
    <x v="0"/>
  </r>
  <r>
    <n v="247"/>
    <x v="39"/>
    <x v="39"/>
    <x v="39"/>
    <x v="48"/>
    <x v="0"/>
    <x v="0"/>
    <x v="7"/>
    <x v="0"/>
    <x v="0"/>
    <x v="377"/>
    <x v="421"/>
    <x v="0"/>
    <x v="0"/>
    <x v="0"/>
    <x v="1"/>
    <x v="48"/>
    <x v="1"/>
  </r>
  <r>
    <n v="247"/>
    <x v="39"/>
    <x v="39"/>
    <x v="39"/>
    <x v="40"/>
    <x v="1"/>
    <x v="0"/>
    <x v="7"/>
    <x v="0"/>
    <x v="0"/>
    <x v="378"/>
    <x v="350"/>
    <x v="0"/>
    <x v="0"/>
    <x v="0"/>
    <x v="0"/>
    <x v="40"/>
    <x v="0"/>
  </r>
  <r>
    <n v="247"/>
    <x v="39"/>
    <x v="39"/>
    <x v="39"/>
    <x v="3"/>
    <x v="1"/>
    <x v="0"/>
    <x v="7"/>
    <x v="0"/>
    <x v="0"/>
    <x v="379"/>
    <x v="198"/>
    <x v="0"/>
    <x v="0"/>
    <x v="0"/>
    <x v="0"/>
    <x v="3"/>
    <x v="0"/>
  </r>
  <r>
    <n v="247"/>
    <x v="39"/>
    <x v="39"/>
    <x v="39"/>
    <x v="4"/>
    <x v="0"/>
    <x v="0"/>
    <x v="7"/>
    <x v="0"/>
    <x v="0"/>
    <x v="19"/>
    <x v="21"/>
    <x v="0"/>
    <x v="0"/>
    <x v="0"/>
    <x v="0"/>
    <x v="4"/>
    <x v="0"/>
  </r>
  <r>
    <n v="247"/>
    <x v="39"/>
    <x v="39"/>
    <x v="39"/>
    <x v="5"/>
    <x v="0"/>
    <x v="0"/>
    <x v="7"/>
    <x v="0"/>
    <x v="0"/>
    <x v="380"/>
    <x v="422"/>
    <x v="0"/>
    <x v="0"/>
    <x v="0"/>
    <x v="0"/>
    <x v="5"/>
    <x v="0"/>
  </r>
  <r>
    <n v="247"/>
    <x v="39"/>
    <x v="39"/>
    <x v="39"/>
    <x v="6"/>
    <x v="1"/>
    <x v="1"/>
    <x v="7"/>
    <x v="0"/>
    <x v="0"/>
    <x v="10"/>
    <x v="132"/>
    <x v="1"/>
    <x v="0"/>
    <x v="1"/>
    <x v="0"/>
    <x v="6"/>
    <x v="0"/>
  </r>
  <r>
    <n v="247"/>
    <x v="39"/>
    <x v="39"/>
    <x v="39"/>
    <x v="49"/>
    <x v="1"/>
    <x v="2"/>
    <x v="7"/>
    <x v="0"/>
    <x v="0"/>
    <x v="5"/>
    <x v="5"/>
    <x v="2"/>
    <x v="0"/>
    <x v="2"/>
    <x v="1"/>
    <x v="49"/>
    <x v="1"/>
  </r>
  <r>
    <n v="247"/>
    <x v="39"/>
    <x v="39"/>
    <x v="39"/>
    <x v="7"/>
    <x v="0"/>
    <x v="0"/>
    <x v="7"/>
    <x v="0"/>
    <x v="1"/>
    <x v="63"/>
    <x v="130"/>
    <x v="0"/>
    <x v="0"/>
    <x v="0"/>
    <x v="0"/>
    <x v="7"/>
    <x v="0"/>
  </r>
  <r>
    <n v="247"/>
    <x v="39"/>
    <x v="39"/>
    <x v="39"/>
    <x v="9"/>
    <x v="0"/>
    <x v="0"/>
    <x v="7"/>
    <x v="0"/>
    <x v="1"/>
    <x v="13"/>
    <x v="423"/>
    <x v="0"/>
    <x v="0"/>
    <x v="0"/>
    <x v="0"/>
    <x v="9"/>
    <x v="0"/>
  </r>
  <r>
    <n v="247"/>
    <x v="39"/>
    <x v="39"/>
    <x v="39"/>
    <x v="12"/>
    <x v="0"/>
    <x v="0"/>
    <x v="7"/>
    <x v="0"/>
    <x v="2"/>
    <x v="381"/>
    <x v="424"/>
    <x v="0"/>
    <x v="0"/>
    <x v="0"/>
    <x v="0"/>
    <x v="12"/>
    <x v="0"/>
  </r>
  <r>
    <n v="247"/>
    <x v="39"/>
    <x v="39"/>
    <x v="39"/>
    <x v="20"/>
    <x v="0"/>
    <x v="0"/>
    <x v="7"/>
    <x v="0"/>
    <x v="4"/>
    <x v="382"/>
    <x v="423"/>
    <x v="0"/>
    <x v="0"/>
    <x v="0"/>
    <x v="0"/>
    <x v="20"/>
    <x v="0"/>
  </r>
  <r>
    <n v="247"/>
    <x v="39"/>
    <x v="39"/>
    <x v="39"/>
    <x v="21"/>
    <x v="0"/>
    <x v="0"/>
    <x v="7"/>
    <x v="0"/>
    <x v="4"/>
    <x v="382"/>
    <x v="423"/>
    <x v="0"/>
    <x v="0"/>
    <x v="0"/>
    <x v="0"/>
    <x v="21"/>
    <x v="0"/>
  </r>
  <r>
    <n v="247"/>
    <x v="39"/>
    <x v="39"/>
    <x v="39"/>
    <x v="47"/>
    <x v="0"/>
    <x v="0"/>
    <x v="7"/>
    <x v="0"/>
    <x v="8"/>
    <x v="383"/>
    <x v="265"/>
    <x v="0"/>
    <x v="0"/>
    <x v="0"/>
    <x v="1"/>
    <x v="47"/>
    <x v="1"/>
  </r>
  <r>
    <n v="247"/>
    <x v="39"/>
    <x v="39"/>
    <x v="39"/>
    <x v="38"/>
    <x v="1"/>
    <x v="0"/>
    <x v="7"/>
    <x v="0"/>
    <x v="8"/>
    <x v="383"/>
    <x v="265"/>
    <x v="0"/>
    <x v="0"/>
    <x v="0"/>
    <x v="1"/>
    <x v="38"/>
    <x v="1"/>
  </r>
  <r>
    <n v="247"/>
    <x v="39"/>
    <x v="39"/>
    <x v="39"/>
    <x v="23"/>
    <x v="0"/>
    <x v="0"/>
    <x v="7"/>
    <x v="0"/>
    <x v="5"/>
    <x v="384"/>
    <x v="325"/>
    <x v="0"/>
    <x v="0"/>
    <x v="0"/>
    <x v="0"/>
    <x v="23"/>
    <x v="0"/>
  </r>
  <r>
    <n v="247"/>
    <x v="39"/>
    <x v="39"/>
    <x v="39"/>
    <x v="25"/>
    <x v="1"/>
    <x v="2"/>
    <x v="7"/>
    <x v="0"/>
    <x v="5"/>
    <x v="5"/>
    <x v="5"/>
    <x v="2"/>
    <x v="0"/>
    <x v="2"/>
    <x v="1"/>
    <x v="25"/>
    <x v="1"/>
  </r>
  <r>
    <n v="247"/>
    <x v="39"/>
    <x v="39"/>
    <x v="39"/>
    <x v="26"/>
    <x v="0"/>
    <x v="0"/>
    <x v="7"/>
    <x v="0"/>
    <x v="6"/>
    <x v="13"/>
    <x v="154"/>
    <x v="0"/>
    <x v="0"/>
    <x v="0"/>
    <x v="0"/>
    <x v="26"/>
    <x v="0"/>
  </r>
  <r>
    <n v="247"/>
    <x v="39"/>
    <x v="39"/>
    <x v="39"/>
    <x v="27"/>
    <x v="0"/>
    <x v="0"/>
    <x v="7"/>
    <x v="0"/>
    <x v="6"/>
    <x v="381"/>
    <x v="424"/>
    <x v="0"/>
    <x v="0"/>
    <x v="0"/>
    <x v="0"/>
    <x v="27"/>
    <x v="0"/>
  </r>
  <r>
    <n v="247"/>
    <x v="39"/>
    <x v="39"/>
    <x v="39"/>
    <x v="28"/>
    <x v="0"/>
    <x v="0"/>
    <x v="7"/>
    <x v="0"/>
    <x v="7"/>
    <x v="300"/>
    <x v="336"/>
    <x v="0"/>
    <x v="0"/>
    <x v="0"/>
    <x v="0"/>
    <x v="28"/>
    <x v="0"/>
  </r>
  <r>
    <n v="247"/>
    <x v="39"/>
    <x v="39"/>
    <x v="39"/>
    <x v="29"/>
    <x v="0"/>
    <x v="0"/>
    <x v="7"/>
    <x v="0"/>
    <x v="7"/>
    <x v="384"/>
    <x v="325"/>
    <x v="0"/>
    <x v="0"/>
    <x v="0"/>
    <x v="0"/>
    <x v="29"/>
    <x v="0"/>
  </r>
  <r>
    <n v="247"/>
    <x v="39"/>
    <x v="39"/>
    <x v="39"/>
    <x v="30"/>
    <x v="0"/>
    <x v="0"/>
    <x v="7"/>
    <x v="0"/>
    <x v="7"/>
    <x v="385"/>
    <x v="325"/>
    <x v="0"/>
    <x v="0"/>
    <x v="0"/>
    <x v="0"/>
    <x v="30"/>
    <x v="0"/>
  </r>
  <r>
    <n v="247"/>
    <x v="39"/>
    <x v="39"/>
    <x v="39"/>
    <x v="31"/>
    <x v="0"/>
    <x v="0"/>
    <x v="7"/>
    <x v="0"/>
    <x v="7"/>
    <x v="96"/>
    <x v="117"/>
    <x v="0"/>
    <x v="0"/>
    <x v="0"/>
    <x v="0"/>
    <x v="31"/>
    <x v="0"/>
  </r>
  <r>
    <n v="247"/>
    <x v="39"/>
    <x v="39"/>
    <x v="39"/>
    <x v="32"/>
    <x v="0"/>
    <x v="0"/>
    <x v="7"/>
    <x v="0"/>
    <x v="7"/>
    <x v="300"/>
    <x v="336"/>
    <x v="0"/>
    <x v="0"/>
    <x v="0"/>
    <x v="0"/>
    <x v="32"/>
    <x v="0"/>
  </r>
  <r>
    <n v="247"/>
    <x v="39"/>
    <x v="39"/>
    <x v="39"/>
    <x v="33"/>
    <x v="0"/>
    <x v="0"/>
    <x v="7"/>
    <x v="0"/>
    <x v="7"/>
    <x v="13"/>
    <x v="336"/>
    <x v="0"/>
    <x v="0"/>
    <x v="0"/>
    <x v="0"/>
    <x v="33"/>
    <x v="0"/>
  </r>
  <r>
    <n v="247"/>
    <x v="39"/>
    <x v="39"/>
    <x v="39"/>
    <x v="34"/>
    <x v="0"/>
    <x v="0"/>
    <x v="7"/>
    <x v="0"/>
    <x v="7"/>
    <x v="381"/>
    <x v="424"/>
    <x v="0"/>
    <x v="0"/>
    <x v="0"/>
    <x v="0"/>
    <x v="34"/>
    <x v="0"/>
  </r>
  <r>
    <n v="247"/>
    <x v="39"/>
    <x v="39"/>
    <x v="39"/>
    <x v="35"/>
    <x v="0"/>
    <x v="0"/>
    <x v="7"/>
    <x v="0"/>
    <x v="7"/>
    <x v="335"/>
    <x v="325"/>
    <x v="0"/>
    <x v="0"/>
    <x v="0"/>
    <x v="0"/>
    <x v="35"/>
    <x v="0"/>
  </r>
  <r>
    <n v="247"/>
    <x v="39"/>
    <x v="39"/>
    <x v="39"/>
    <x v="36"/>
    <x v="0"/>
    <x v="0"/>
    <x v="7"/>
    <x v="0"/>
    <x v="7"/>
    <x v="386"/>
    <x v="263"/>
    <x v="0"/>
    <x v="0"/>
    <x v="0"/>
    <x v="0"/>
    <x v="36"/>
    <x v="0"/>
  </r>
  <r>
    <n v="173"/>
    <x v="40"/>
    <x v="40"/>
    <x v="40"/>
    <x v="48"/>
    <x v="0"/>
    <x v="0"/>
    <x v="7"/>
    <x v="0"/>
    <x v="0"/>
    <x v="387"/>
    <x v="425"/>
    <x v="0"/>
    <x v="0"/>
    <x v="0"/>
    <x v="1"/>
    <x v="48"/>
    <x v="1"/>
  </r>
  <r>
    <n v="173"/>
    <x v="40"/>
    <x v="40"/>
    <x v="40"/>
    <x v="40"/>
    <x v="1"/>
    <x v="0"/>
    <x v="7"/>
    <x v="0"/>
    <x v="0"/>
    <x v="388"/>
    <x v="426"/>
    <x v="0"/>
    <x v="0"/>
    <x v="0"/>
    <x v="0"/>
    <x v="40"/>
    <x v="0"/>
  </r>
  <r>
    <n v="173"/>
    <x v="40"/>
    <x v="40"/>
    <x v="40"/>
    <x v="3"/>
    <x v="1"/>
    <x v="2"/>
    <x v="7"/>
    <x v="0"/>
    <x v="0"/>
    <x v="5"/>
    <x v="5"/>
    <x v="2"/>
    <x v="0"/>
    <x v="2"/>
    <x v="1"/>
    <x v="3"/>
    <x v="1"/>
  </r>
  <r>
    <n v="173"/>
    <x v="40"/>
    <x v="40"/>
    <x v="40"/>
    <x v="4"/>
    <x v="0"/>
    <x v="0"/>
    <x v="7"/>
    <x v="0"/>
    <x v="0"/>
    <x v="256"/>
    <x v="280"/>
    <x v="0"/>
    <x v="0"/>
    <x v="0"/>
    <x v="0"/>
    <x v="4"/>
    <x v="0"/>
  </r>
  <r>
    <n v="173"/>
    <x v="40"/>
    <x v="40"/>
    <x v="40"/>
    <x v="5"/>
    <x v="0"/>
    <x v="0"/>
    <x v="7"/>
    <x v="0"/>
    <x v="0"/>
    <x v="26"/>
    <x v="427"/>
    <x v="0"/>
    <x v="0"/>
    <x v="0"/>
    <x v="0"/>
    <x v="5"/>
    <x v="0"/>
  </r>
  <r>
    <n v="173"/>
    <x v="40"/>
    <x v="40"/>
    <x v="40"/>
    <x v="6"/>
    <x v="1"/>
    <x v="2"/>
    <x v="7"/>
    <x v="0"/>
    <x v="0"/>
    <x v="5"/>
    <x v="5"/>
    <x v="2"/>
    <x v="0"/>
    <x v="2"/>
    <x v="1"/>
    <x v="6"/>
    <x v="1"/>
  </r>
  <r>
    <n v="173"/>
    <x v="40"/>
    <x v="40"/>
    <x v="40"/>
    <x v="49"/>
    <x v="1"/>
    <x v="2"/>
    <x v="7"/>
    <x v="0"/>
    <x v="0"/>
    <x v="5"/>
    <x v="5"/>
    <x v="2"/>
    <x v="0"/>
    <x v="2"/>
    <x v="1"/>
    <x v="49"/>
    <x v="1"/>
  </r>
  <r>
    <n v="173"/>
    <x v="40"/>
    <x v="40"/>
    <x v="40"/>
    <x v="7"/>
    <x v="0"/>
    <x v="0"/>
    <x v="7"/>
    <x v="0"/>
    <x v="1"/>
    <x v="389"/>
    <x v="168"/>
    <x v="0"/>
    <x v="0"/>
    <x v="0"/>
    <x v="0"/>
    <x v="7"/>
    <x v="0"/>
  </r>
  <r>
    <n v="173"/>
    <x v="40"/>
    <x v="40"/>
    <x v="40"/>
    <x v="9"/>
    <x v="0"/>
    <x v="2"/>
    <x v="7"/>
    <x v="0"/>
    <x v="1"/>
    <x v="5"/>
    <x v="5"/>
    <x v="2"/>
    <x v="0"/>
    <x v="2"/>
    <x v="1"/>
    <x v="9"/>
    <x v="1"/>
  </r>
  <r>
    <n v="173"/>
    <x v="40"/>
    <x v="40"/>
    <x v="40"/>
    <x v="12"/>
    <x v="0"/>
    <x v="0"/>
    <x v="7"/>
    <x v="0"/>
    <x v="2"/>
    <x v="390"/>
    <x v="377"/>
    <x v="0"/>
    <x v="0"/>
    <x v="0"/>
    <x v="0"/>
    <x v="12"/>
    <x v="0"/>
  </r>
  <r>
    <n v="173"/>
    <x v="40"/>
    <x v="40"/>
    <x v="40"/>
    <x v="20"/>
    <x v="0"/>
    <x v="0"/>
    <x v="7"/>
    <x v="0"/>
    <x v="4"/>
    <x v="390"/>
    <x v="377"/>
    <x v="0"/>
    <x v="0"/>
    <x v="0"/>
    <x v="0"/>
    <x v="20"/>
    <x v="0"/>
  </r>
  <r>
    <n v="173"/>
    <x v="40"/>
    <x v="40"/>
    <x v="40"/>
    <x v="21"/>
    <x v="0"/>
    <x v="0"/>
    <x v="7"/>
    <x v="0"/>
    <x v="4"/>
    <x v="390"/>
    <x v="377"/>
    <x v="0"/>
    <x v="0"/>
    <x v="0"/>
    <x v="0"/>
    <x v="21"/>
    <x v="0"/>
  </r>
  <r>
    <n v="173"/>
    <x v="40"/>
    <x v="40"/>
    <x v="40"/>
    <x v="47"/>
    <x v="0"/>
    <x v="2"/>
    <x v="7"/>
    <x v="0"/>
    <x v="8"/>
    <x v="5"/>
    <x v="5"/>
    <x v="2"/>
    <x v="0"/>
    <x v="2"/>
    <x v="1"/>
    <x v="47"/>
    <x v="1"/>
  </r>
  <r>
    <n v="173"/>
    <x v="40"/>
    <x v="40"/>
    <x v="40"/>
    <x v="38"/>
    <x v="1"/>
    <x v="2"/>
    <x v="7"/>
    <x v="0"/>
    <x v="8"/>
    <x v="5"/>
    <x v="5"/>
    <x v="2"/>
    <x v="0"/>
    <x v="2"/>
    <x v="1"/>
    <x v="38"/>
    <x v="1"/>
  </r>
  <r>
    <n v="173"/>
    <x v="40"/>
    <x v="40"/>
    <x v="40"/>
    <x v="23"/>
    <x v="0"/>
    <x v="0"/>
    <x v="7"/>
    <x v="0"/>
    <x v="5"/>
    <x v="391"/>
    <x v="428"/>
    <x v="0"/>
    <x v="0"/>
    <x v="0"/>
    <x v="0"/>
    <x v="23"/>
    <x v="0"/>
  </r>
  <r>
    <n v="173"/>
    <x v="40"/>
    <x v="40"/>
    <x v="40"/>
    <x v="25"/>
    <x v="1"/>
    <x v="2"/>
    <x v="7"/>
    <x v="0"/>
    <x v="5"/>
    <x v="5"/>
    <x v="5"/>
    <x v="2"/>
    <x v="0"/>
    <x v="2"/>
    <x v="1"/>
    <x v="25"/>
    <x v="1"/>
  </r>
  <r>
    <n v="173"/>
    <x v="40"/>
    <x v="40"/>
    <x v="40"/>
    <x v="26"/>
    <x v="0"/>
    <x v="0"/>
    <x v="7"/>
    <x v="0"/>
    <x v="6"/>
    <x v="13"/>
    <x v="421"/>
    <x v="0"/>
    <x v="0"/>
    <x v="0"/>
    <x v="0"/>
    <x v="26"/>
    <x v="0"/>
  </r>
  <r>
    <n v="173"/>
    <x v="40"/>
    <x v="40"/>
    <x v="40"/>
    <x v="27"/>
    <x v="0"/>
    <x v="0"/>
    <x v="7"/>
    <x v="0"/>
    <x v="6"/>
    <x v="390"/>
    <x v="377"/>
    <x v="0"/>
    <x v="0"/>
    <x v="0"/>
    <x v="0"/>
    <x v="27"/>
    <x v="0"/>
  </r>
  <r>
    <n v="173"/>
    <x v="40"/>
    <x v="40"/>
    <x v="40"/>
    <x v="28"/>
    <x v="0"/>
    <x v="0"/>
    <x v="7"/>
    <x v="0"/>
    <x v="7"/>
    <x v="392"/>
    <x v="429"/>
    <x v="0"/>
    <x v="0"/>
    <x v="0"/>
    <x v="0"/>
    <x v="28"/>
    <x v="0"/>
  </r>
  <r>
    <n v="173"/>
    <x v="40"/>
    <x v="40"/>
    <x v="40"/>
    <x v="29"/>
    <x v="0"/>
    <x v="0"/>
    <x v="7"/>
    <x v="0"/>
    <x v="7"/>
    <x v="393"/>
    <x v="430"/>
    <x v="0"/>
    <x v="0"/>
    <x v="0"/>
    <x v="0"/>
    <x v="29"/>
    <x v="0"/>
  </r>
  <r>
    <n v="173"/>
    <x v="40"/>
    <x v="40"/>
    <x v="40"/>
    <x v="30"/>
    <x v="0"/>
    <x v="0"/>
    <x v="7"/>
    <x v="0"/>
    <x v="7"/>
    <x v="394"/>
    <x v="430"/>
    <x v="0"/>
    <x v="0"/>
    <x v="0"/>
    <x v="0"/>
    <x v="30"/>
    <x v="0"/>
  </r>
  <r>
    <n v="173"/>
    <x v="40"/>
    <x v="40"/>
    <x v="40"/>
    <x v="31"/>
    <x v="0"/>
    <x v="1"/>
    <x v="7"/>
    <x v="0"/>
    <x v="7"/>
    <x v="6"/>
    <x v="430"/>
    <x v="1"/>
    <x v="0"/>
    <x v="1"/>
    <x v="0"/>
    <x v="31"/>
    <x v="0"/>
  </r>
  <r>
    <n v="173"/>
    <x v="40"/>
    <x v="40"/>
    <x v="40"/>
    <x v="32"/>
    <x v="0"/>
    <x v="0"/>
    <x v="7"/>
    <x v="0"/>
    <x v="7"/>
    <x v="27"/>
    <x v="430"/>
    <x v="0"/>
    <x v="0"/>
    <x v="0"/>
    <x v="0"/>
    <x v="32"/>
    <x v="0"/>
  </r>
  <r>
    <n v="173"/>
    <x v="40"/>
    <x v="40"/>
    <x v="40"/>
    <x v="33"/>
    <x v="0"/>
    <x v="0"/>
    <x v="7"/>
    <x v="0"/>
    <x v="7"/>
    <x v="13"/>
    <x v="431"/>
    <x v="0"/>
    <x v="0"/>
    <x v="0"/>
    <x v="0"/>
    <x v="33"/>
    <x v="0"/>
  </r>
  <r>
    <n v="173"/>
    <x v="40"/>
    <x v="40"/>
    <x v="40"/>
    <x v="34"/>
    <x v="0"/>
    <x v="0"/>
    <x v="7"/>
    <x v="0"/>
    <x v="7"/>
    <x v="390"/>
    <x v="377"/>
    <x v="0"/>
    <x v="0"/>
    <x v="0"/>
    <x v="0"/>
    <x v="34"/>
    <x v="0"/>
  </r>
  <r>
    <n v="173"/>
    <x v="40"/>
    <x v="40"/>
    <x v="40"/>
    <x v="35"/>
    <x v="0"/>
    <x v="0"/>
    <x v="7"/>
    <x v="0"/>
    <x v="7"/>
    <x v="392"/>
    <x v="429"/>
    <x v="0"/>
    <x v="0"/>
    <x v="0"/>
    <x v="0"/>
    <x v="35"/>
    <x v="0"/>
  </r>
  <r>
    <n v="173"/>
    <x v="40"/>
    <x v="40"/>
    <x v="40"/>
    <x v="36"/>
    <x v="0"/>
    <x v="0"/>
    <x v="7"/>
    <x v="0"/>
    <x v="7"/>
    <x v="395"/>
    <x v="2"/>
    <x v="0"/>
    <x v="0"/>
    <x v="0"/>
    <x v="0"/>
    <x v="36"/>
    <x v="0"/>
  </r>
  <r>
    <n v="178"/>
    <x v="41"/>
    <x v="41"/>
    <x v="41"/>
    <x v="48"/>
    <x v="0"/>
    <x v="0"/>
    <x v="7"/>
    <x v="0"/>
    <x v="0"/>
    <x v="396"/>
    <x v="432"/>
    <x v="0"/>
    <x v="0"/>
    <x v="0"/>
    <x v="1"/>
    <x v="48"/>
    <x v="1"/>
  </r>
  <r>
    <n v="178"/>
    <x v="41"/>
    <x v="41"/>
    <x v="41"/>
    <x v="40"/>
    <x v="1"/>
    <x v="0"/>
    <x v="7"/>
    <x v="0"/>
    <x v="0"/>
    <x v="397"/>
    <x v="433"/>
    <x v="0"/>
    <x v="0"/>
    <x v="0"/>
    <x v="0"/>
    <x v="40"/>
    <x v="0"/>
  </r>
  <r>
    <n v="178"/>
    <x v="41"/>
    <x v="41"/>
    <x v="41"/>
    <x v="3"/>
    <x v="1"/>
    <x v="2"/>
    <x v="7"/>
    <x v="0"/>
    <x v="0"/>
    <x v="5"/>
    <x v="5"/>
    <x v="2"/>
    <x v="0"/>
    <x v="2"/>
    <x v="1"/>
    <x v="3"/>
    <x v="1"/>
  </r>
  <r>
    <n v="178"/>
    <x v="41"/>
    <x v="41"/>
    <x v="41"/>
    <x v="4"/>
    <x v="0"/>
    <x v="0"/>
    <x v="7"/>
    <x v="0"/>
    <x v="0"/>
    <x v="398"/>
    <x v="434"/>
    <x v="0"/>
    <x v="0"/>
    <x v="0"/>
    <x v="0"/>
    <x v="4"/>
    <x v="0"/>
  </r>
  <r>
    <n v="178"/>
    <x v="41"/>
    <x v="41"/>
    <x v="41"/>
    <x v="5"/>
    <x v="0"/>
    <x v="0"/>
    <x v="7"/>
    <x v="0"/>
    <x v="0"/>
    <x v="399"/>
    <x v="373"/>
    <x v="0"/>
    <x v="0"/>
    <x v="0"/>
    <x v="0"/>
    <x v="5"/>
    <x v="0"/>
  </r>
  <r>
    <n v="178"/>
    <x v="41"/>
    <x v="41"/>
    <x v="41"/>
    <x v="6"/>
    <x v="1"/>
    <x v="2"/>
    <x v="7"/>
    <x v="0"/>
    <x v="0"/>
    <x v="5"/>
    <x v="5"/>
    <x v="2"/>
    <x v="0"/>
    <x v="2"/>
    <x v="1"/>
    <x v="6"/>
    <x v="1"/>
  </r>
  <r>
    <n v="178"/>
    <x v="41"/>
    <x v="41"/>
    <x v="41"/>
    <x v="49"/>
    <x v="1"/>
    <x v="2"/>
    <x v="7"/>
    <x v="0"/>
    <x v="0"/>
    <x v="5"/>
    <x v="5"/>
    <x v="2"/>
    <x v="0"/>
    <x v="2"/>
    <x v="1"/>
    <x v="49"/>
    <x v="1"/>
  </r>
  <r>
    <n v="178"/>
    <x v="41"/>
    <x v="41"/>
    <x v="41"/>
    <x v="7"/>
    <x v="0"/>
    <x v="0"/>
    <x v="7"/>
    <x v="0"/>
    <x v="1"/>
    <x v="400"/>
    <x v="435"/>
    <x v="0"/>
    <x v="0"/>
    <x v="0"/>
    <x v="0"/>
    <x v="7"/>
    <x v="0"/>
  </r>
  <r>
    <n v="178"/>
    <x v="41"/>
    <x v="41"/>
    <x v="41"/>
    <x v="9"/>
    <x v="0"/>
    <x v="0"/>
    <x v="7"/>
    <x v="0"/>
    <x v="1"/>
    <x v="13"/>
    <x v="102"/>
    <x v="0"/>
    <x v="0"/>
    <x v="0"/>
    <x v="0"/>
    <x v="9"/>
    <x v="0"/>
  </r>
  <r>
    <n v="178"/>
    <x v="41"/>
    <x v="41"/>
    <x v="41"/>
    <x v="12"/>
    <x v="0"/>
    <x v="0"/>
    <x v="7"/>
    <x v="0"/>
    <x v="2"/>
    <x v="274"/>
    <x v="303"/>
    <x v="0"/>
    <x v="0"/>
    <x v="0"/>
    <x v="0"/>
    <x v="12"/>
    <x v="0"/>
  </r>
  <r>
    <n v="178"/>
    <x v="41"/>
    <x v="41"/>
    <x v="41"/>
    <x v="20"/>
    <x v="0"/>
    <x v="0"/>
    <x v="7"/>
    <x v="0"/>
    <x v="4"/>
    <x v="274"/>
    <x v="303"/>
    <x v="0"/>
    <x v="0"/>
    <x v="0"/>
    <x v="0"/>
    <x v="20"/>
    <x v="0"/>
  </r>
  <r>
    <n v="178"/>
    <x v="41"/>
    <x v="41"/>
    <x v="41"/>
    <x v="21"/>
    <x v="0"/>
    <x v="0"/>
    <x v="7"/>
    <x v="0"/>
    <x v="4"/>
    <x v="274"/>
    <x v="303"/>
    <x v="0"/>
    <x v="0"/>
    <x v="0"/>
    <x v="0"/>
    <x v="21"/>
    <x v="0"/>
  </r>
  <r>
    <n v="178"/>
    <x v="41"/>
    <x v="41"/>
    <x v="41"/>
    <x v="47"/>
    <x v="0"/>
    <x v="0"/>
    <x v="7"/>
    <x v="0"/>
    <x v="8"/>
    <x v="401"/>
    <x v="436"/>
    <x v="0"/>
    <x v="0"/>
    <x v="0"/>
    <x v="0"/>
    <x v="47"/>
    <x v="0"/>
  </r>
  <r>
    <n v="178"/>
    <x v="41"/>
    <x v="41"/>
    <x v="41"/>
    <x v="38"/>
    <x v="1"/>
    <x v="2"/>
    <x v="7"/>
    <x v="0"/>
    <x v="8"/>
    <x v="5"/>
    <x v="5"/>
    <x v="2"/>
    <x v="0"/>
    <x v="2"/>
    <x v="1"/>
    <x v="38"/>
    <x v="1"/>
  </r>
  <r>
    <n v="178"/>
    <x v="41"/>
    <x v="41"/>
    <x v="41"/>
    <x v="23"/>
    <x v="0"/>
    <x v="0"/>
    <x v="7"/>
    <x v="0"/>
    <x v="5"/>
    <x v="402"/>
    <x v="141"/>
    <x v="0"/>
    <x v="0"/>
    <x v="0"/>
    <x v="0"/>
    <x v="23"/>
    <x v="0"/>
  </r>
  <r>
    <n v="178"/>
    <x v="41"/>
    <x v="41"/>
    <x v="41"/>
    <x v="25"/>
    <x v="1"/>
    <x v="2"/>
    <x v="7"/>
    <x v="0"/>
    <x v="5"/>
    <x v="5"/>
    <x v="5"/>
    <x v="2"/>
    <x v="0"/>
    <x v="2"/>
    <x v="1"/>
    <x v="25"/>
    <x v="1"/>
  </r>
  <r>
    <n v="178"/>
    <x v="41"/>
    <x v="41"/>
    <x v="41"/>
    <x v="26"/>
    <x v="0"/>
    <x v="0"/>
    <x v="7"/>
    <x v="0"/>
    <x v="6"/>
    <x v="13"/>
    <x v="83"/>
    <x v="0"/>
    <x v="0"/>
    <x v="0"/>
    <x v="0"/>
    <x v="26"/>
    <x v="0"/>
  </r>
  <r>
    <n v="178"/>
    <x v="41"/>
    <x v="41"/>
    <x v="41"/>
    <x v="27"/>
    <x v="0"/>
    <x v="0"/>
    <x v="7"/>
    <x v="0"/>
    <x v="6"/>
    <x v="63"/>
    <x v="83"/>
    <x v="0"/>
    <x v="0"/>
    <x v="0"/>
    <x v="0"/>
    <x v="27"/>
    <x v="0"/>
  </r>
  <r>
    <n v="178"/>
    <x v="41"/>
    <x v="41"/>
    <x v="41"/>
    <x v="28"/>
    <x v="0"/>
    <x v="0"/>
    <x v="7"/>
    <x v="0"/>
    <x v="7"/>
    <x v="105"/>
    <x v="126"/>
    <x v="0"/>
    <x v="0"/>
    <x v="0"/>
    <x v="0"/>
    <x v="28"/>
    <x v="0"/>
  </r>
  <r>
    <n v="178"/>
    <x v="41"/>
    <x v="41"/>
    <x v="41"/>
    <x v="29"/>
    <x v="0"/>
    <x v="0"/>
    <x v="7"/>
    <x v="0"/>
    <x v="7"/>
    <x v="402"/>
    <x v="141"/>
    <x v="0"/>
    <x v="0"/>
    <x v="0"/>
    <x v="0"/>
    <x v="29"/>
    <x v="0"/>
  </r>
  <r>
    <n v="178"/>
    <x v="41"/>
    <x v="41"/>
    <x v="41"/>
    <x v="30"/>
    <x v="0"/>
    <x v="0"/>
    <x v="7"/>
    <x v="0"/>
    <x v="7"/>
    <x v="117"/>
    <x v="141"/>
    <x v="0"/>
    <x v="0"/>
    <x v="0"/>
    <x v="0"/>
    <x v="30"/>
    <x v="0"/>
  </r>
  <r>
    <n v="178"/>
    <x v="41"/>
    <x v="41"/>
    <x v="41"/>
    <x v="31"/>
    <x v="0"/>
    <x v="1"/>
    <x v="7"/>
    <x v="0"/>
    <x v="7"/>
    <x v="6"/>
    <x v="141"/>
    <x v="1"/>
    <x v="0"/>
    <x v="1"/>
    <x v="0"/>
    <x v="31"/>
    <x v="0"/>
  </r>
  <r>
    <n v="178"/>
    <x v="41"/>
    <x v="41"/>
    <x v="41"/>
    <x v="32"/>
    <x v="0"/>
    <x v="0"/>
    <x v="7"/>
    <x v="0"/>
    <x v="7"/>
    <x v="105"/>
    <x v="126"/>
    <x v="0"/>
    <x v="0"/>
    <x v="0"/>
    <x v="0"/>
    <x v="32"/>
    <x v="0"/>
  </r>
  <r>
    <n v="178"/>
    <x v="41"/>
    <x v="41"/>
    <x v="41"/>
    <x v="33"/>
    <x v="0"/>
    <x v="0"/>
    <x v="7"/>
    <x v="0"/>
    <x v="7"/>
    <x v="13"/>
    <x v="331"/>
    <x v="0"/>
    <x v="0"/>
    <x v="0"/>
    <x v="0"/>
    <x v="33"/>
    <x v="0"/>
  </r>
  <r>
    <n v="178"/>
    <x v="41"/>
    <x v="41"/>
    <x v="41"/>
    <x v="34"/>
    <x v="0"/>
    <x v="0"/>
    <x v="7"/>
    <x v="0"/>
    <x v="7"/>
    <x v="30"/>
    <x v="44"/>
    <x v="0"/>
    <x v="0"/>
    <x v="0"/>
    <x v="0"/>
    <x v="34"/>
    <x v="0"/>
  </r>
  <r>
    <n v="178"/>
    <x v="41"/>
    <x v="41"/>
    <x v="41"/>
    <x v="35"/>
    <x v="0"/>
    <x v="0"/>
    <x v="7"/>
    <x v="0"/>
    <x v="7"/>
    <x v="105"/>
    <x v="126"/>
    <x v="0"/>
    <x v="0"/>
    <x v="0"/>
    <x v="0"/>
    <x v="35"/>
    <x v="0"/>
  </r>
  <r>
    <n v="178"/>
    <x v="41"/>
    <x v="41"/>
    <x v="41"/>
    <x v="36"/>
    <x v="0"/>
    <x v="0"/>
    <x v="7"/>
    <x v="0"/>
    <x v="7"/>
    <x v="239"/>
    <x v="126"/>
    <x v="0"/>
    <x v="0"/>
    <x v="0"/>
    <x v="0"/>
    <x v="36"/>
    <x v="0"/>
  </r>
  <r>
    <n v="322"/>
    <x v="42"/>
    <x v="42"/>
    <x v="42"/>
    <x v="51"/>
    <x v="0"/>
    <x v="2"/>
    <x v="9"/>
    <x v="0"/>
    <x v="9"/>
    <x v="5"/>
    <x v="5"/>
    <x v="2"/>
    <x v="0"/>
    <x v="2"/>
    <x v="1"/>
    <x v="5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49520-B042-4FEB-8756-2F48EC3998B8}" name="PivotTable1" cacheId="128"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fieldListSortAscending="1">
  <location ref="B3:L1197" firstHeaderRow="1" firstDataRow="1" firstDataCol="11"/>
  <pivotFields count="18">
    <pivotField compact="0" outline="0" showAll="0" defaultSubtotal="0"/>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compact="0" outline="0" showAll="0" defaultSubtotal="0">
      <items count="2">
        <item x="0"/>
        <item x="1"/>
      </items>
    </pivotField>
    <pivotField compact="0" outline="0" showAll="0" defaultSubtotal="0"/>
    <pivotField axis="axisRow" compact="0" outline="0" showAll="0" defaultSubtotal="0">
      <items count="10">
        <item x="0"/>
        <item x="1"/>
        <item x="2"/>
        <item x="3"/>
        <item x="4"/>
        <item x="5"/>
        <item x="6"/>
        <item x="7"/>
        <item x="8"/>
        <item x="9"/>
      </items>
    </pivotField>
    <pivotField compact="0" outline="0" showAll="0" defaultSubtotal="0">
      <items count="2">
        <item x="1"/>
        <item x="0"/>
      </items>
    </pivotField>
    <pivotField compact="0" outline="0" showAll="0" defaultSubtotal="0">
      <items count="10">
        <item x="9"/>
        <item x="0"/>
        <item x="1"/>
        <item x="2"/>
        <item x="3"/>
        <item x="4"/>
        <item x="8"/>
        <item x="5"/>
        <item x="6"/>
        <item x="7"/>
      </items>
    </pivotField>
    <pivotField axis="axisRow" compact="0" outline="0" showAll="0" defaultSubtotal="0">
      <items count="4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s>
    </pivotField>
    <pivotField axis="axisRow" compact="0" outline="0" subtotalTop="0" showAll="0" defaultSubtotal="0">
      <items count="4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s>
    </pivotField>
    <pivotField compact="0" outline="0" showAll="0" defaultSubtotal="0"/>
    <pivotField name="CB*" axis="axisRow" compact="0" outline="0" showAll="0" defaultSubtotal="0">
      <items count="1">
        <item x="0"/>
      </items>
    </pivotField>
    <pivotField name="StatusName" axis="axisRow" compact="0" outline="0" showAll="0" defaultSubtotal="0">
      <items count="4">
        <item x="0"/>
        <item x="1"/>
        <item x="2"/>
        <item x="3"/>
      </items>
    </pivotField>
    <pivotField compact="0" outline="0" showAll="0" defaultSubtotal="0"/>
    <pivotField axis="axisRow" compact="0" outline="0"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axis="axisRow" compact="0" outline="0" subtotalTop="0" showAll="0" defaultSubtotal="0">
      <items count="2">
        <item x="1"/>
        <item x="0"/>
      </items>
    </pivotField>
  </pivotFields>
  <rowFields count="11">
    <field x="1"/>
    <field x="7"/>
    <field x="2"/>
    <field x="3"/>
    <field x="16"/>
    <field x="4"/>
    <field x="14"/>
    <field x="10"/>
    <field x="11"/>
    <field x="13"/>
    <field x="17"/>
  </rowFields>
  <rowItems count="1194">
    <i>
      <x/>
      <x/>
      <x/>
      <x/>
      <x/>
      <x/>
      <x/>
      <x/>
      <x/>
      <x/>
      <x v="1"/>
    </i>
    <i r="4">
      <x v="1"/>
      <x v="1"/>
      <x/>
      <x/>
      <x/>
      <x/>
      <x/>
    </i>
    <i r="4">
      <x v="2"/>
      <x v="2"/>
      <x/>
      <x v="3"/>
      <x v="3"/>
      <x/>
      <x v="1"/>
    </i>
    <i r="4">
      <x v="3"/>
      <x v="3"/>
      <x v="2"/>
      <x v="5"/>
      <x v="5"/>
      <x/>
      <x/>
    </i>
    <i r="4">
      <x v="4"/>
      <x v="4"/>
      <x/>
      <x v="7"/>
      <x v="6"/>
      <x/>
      <x v="1"/>
    </i>
    <i r="4">
      <x v="5"/>
      <x v="5"/>
      <x/>
      <x v="9"/>
      <x v="8"/>
      <x/>
      <x v="1"/>
    </i>
    <i r="4">
      <x v="6"/>
      <x v="6"/>
      <x v="2"/>
      <x v="5"/>
      <x v="5"/>
      <x/>
      <x/>
    </i>
    <i r="4">
      <x v="7"/>
      <x v="7"/>
      <x/>
      <x v="11"/>
      <x v="10"/>
      <x/>
      <x v="1"/>
    </i>
    <i r="4">
      <x v="8"/>
      <x v="8"/>
      <x/>
      <x v="13"/>
      <x v="12"/>
      <x/>
      <x v="1"/>
    </i>
    <i r="4">
      <x v="9"/>
      <x v="9"/>
      <x/>
      <x v="13"/>
      <x v="14"/>
      <x/>
      <x v="1"/>
    </i>
    <i r="4">
      <x v="10"/>
      <x v="10"/>
      <x/>
      <x v="14"/>
      <x v="16"/>
      <x/>
      <x v="1"/>
    </i>
    <i r="4">
      <x v="11"/>
      <x v="11"/>
      <x/>
      <x v="16"/>
      <x v="18"/>
      <x/>
      <x v="1"/>
    </i>
    <i r="4">
      <x v="12"/>
      <x v="12"/>
      <x/>
      <x v="18"/>
      <x v="20"/>
      <x/>
      <x v="1"/>
    </i>
    <i r="4">
      <x v="13"/>
      <x v="13"/>
      <x/>
      <x v="13"/>
      <x v="22"/>
      <x/>
      <x v="1"/>
    </i>
    <i r="4">
      <x v="14"/>
      <x v="14"/>
      <x/>
      <x v="13"/>
      <x v="24"/>
      <x/>
      <x v="1"/>
    </i>
    <i r="4">
      <x v="15"/>
      <x v="15"/>
      <x/>
      <x v="13"/>
      <x v="26"/>
      <x/>
      <x v="1"/>
    </i>
    <i r="4">
      <x v="16"/>
      <x v="16"/>
      <x/>
      <x v="13"/>
      <x v="28"/>
      <x/>
      <x v="1"/>
    </i>
    <i r="4">
      <x v="17"/>
      <x v="17"/>
      <x/>
      <x v="13"/>
      <x v="29"/>
      <x/>
      <x v="1"/>
    </i>
    <i r="4">
      <x v="18"/>
      <x v="18"/>
      <x/>
      <x v="13"/>
      <x v="30"/>
      <x/>
      <x v="1"/>
    </i>
    <i r="4">
      <x v="19"/>
      <x v="19"/>
      <x/>
      <x v="20"/>
      <x v="31"/>
      <x/>
      <x v="1"/>
    </i>
    <i r="4">
      <x v="20"/>
      <x v="20"/>
      <x/>
      <x v="21"/>
      <x v="32"/>
      <x/>
      <x v="1"/>
    </i>
    <i r="4">
      <x v="21"/>
      <x v="21"/>
      <x/>
      <x v="22"/>
      <x v="33"/>
      <x/>
      <x v="1"/>
    </i>
    <i r="4">
      <x v="22"/>
      <x v="22"/>
      <x/>
      <x v="13"/>
      <x v="34"/>
      <x/>
      <x v="1"/>
    </i>
    <i r="4">
      <x v="23"/>
      <x v="23"/>
      <x/>
      <x v="11"/>
      <x v="35"/>
      <x/>
      <x v="1"/>
    </i>
    <i r="4">
      <x v="24"/>
      <x v="24"/>
      <x/>
      <x v="23"/>
      <x v="36"/>
      <x/>
      <x v="1"/>
    </i>
    <i r="4">
      <x v="25"/>
      <x v="25"/>
      <x/>
      <x v="23"/>
      <x v="36"/>
      <x/>
      <x v="1"/>
    </i>
    <i r="4">
      <x v="26"/>
      <x v="26"/>
      <x/>
      <x v="13"/>
      <x v="37"/>
      <x/>
      <x v="1"/>
    </i>
    <i r="4">
      <x v="27"/>
      <x v="27"/>
      <x/>
      <x v="24"/>
      <x v="38"/>
      <x/>
      <x v="1"/>
    </i>
    <i r="4">
      <x v="28"/>
      <x v="28"/>
      <x/>
      <x v="25"/>
      <x v="39"/>
      <x/>
      <x v="1"/>
    </i>
    <i r="4">
      <x v="29"/>
      <x v="29"/>
      <x/>
      <x v="26"/>
      <x v="40"/>
      <x/>
      <x v="1"/>
    </i>
    <i r="4">
      <x v="30"/>
      <x v="30"/>
      <x/>
      <x v="27"/>
      <x v="41"/>
      <x/>
      <x v="1"/>
    </i>
    <i r="4">
      <x v="31"/>
      <x v="31"/>
      <x/>
      <x v="28"/>
      <x v="42"/>
      <x/>
      <x v="1"/>
    </i>
    <i r="4">
      <x v="32"/>
      <x v="32"/>
      <x/>
      <x v="29"/>
      <x v="43"/>
      <x/>
      <x v="1"/>
    </i>
    <i r="4">
      <x v="33"/>
      <x v="33"/>
      <x/>
      <x v="13"/>
      <x v="41"/>
      <x/>
      <x v="1"/>
    </i>
    <i r="4">
      <x v="34"/>
      <x v="34"/>
      <x/>
      <x v="30"/>
      <x v="44"/>
      <x/>
      <x v="1"/>
    </i>
    <i r="4">
      <x v="35"/>
      <x v="35"/>
      <x/>
      <x v="29"/>
      <x v="43"/>
      <x/>
      <x v="1"/>
    </i>
    <i r="4">
      <x v="36"/>
      <x v="36"/>
      <x/>
      <x v="16"/>
      <x v="18"/>
      <x/>
      <x v="1"/>
    </i>
    <i>
      <x v="1"/>
      <x/>
      <x v="1"/>
      <x v="1"/>
      <x/>
      <x/>
      <x v="1"/>
      <x v="1"/>
      <x v="1"/>
      <x/>
      <x v="1"/>
    </i>
    <i r="4">
      <x v="1"/>
      <x v="1"/>
      <x/>
      <x v="2"/>
      <x v="2"/>
      <x/>
      <x v="1"/>
    </i>
    <i r="4">
      <x v="2"/>
      <x v="2"/>
      <x/>
      <x v="4"/>
      <x v="4"/>
      <x/>
      <x v="1"/>
    </i>
    <i r="4">
      <x v="3"/>
      <x v="3"/>
      <x v="1"/>
      <x v="6"/>
      <x v="1"/>
      <x/>
      <x/>
    </i>
    <i r="4">
      <x v="4"/>
      <x v="4"/>
      <x v="1"/>
      <x v="8"/>
      <x v="7"/>
      <x/>
      <x v="1"/>
    </i>
    <i r="4">
      <x v="5"/>
      <x v="5"/>
      <x/>
      <x v="10"/>
      <x v="9"/>
      <x/>
      <x v="1"/>
    </i>
    <i r="4">
      <x v="6"/>
      <x v="6"/>
      <x v="2"/>
      <x v="5"/>
      <x v="5"/>
      <x/>
      <x/>
    </i>
    <i r="4">
      <x v="7"/>
      <x v="7"/>
      <x/>
      <x v="12"/>
      <x v="11"/>
      <x/>
      <x v="1"/>
    </i>
    <i r="4">
      <x v="8"/>
      <x v="8"/>
      <x/>
      <x v="13"/>
      <x v="13"/>
      <x/>
      <x v="1"/>
    </i>
    <i r="4">
      <x v="9"/>
      <x v="9"/>
      <x/>
      <x v="13"/>
      <x v="15"/>
      <x/>
      <x v="1"/>
    </i>
    <i r="4">
      <x v="10"/>
      <x v="10"/>
      <x/>
      <x v="15"/>
      <x v="17"/>
      <x/>
      <x v="1"/>
    </i>
    <i r="4">
      <x v="11"/>
      <x v="11"/>
      <x/>
      <x v="17"/>
      <x v="19"/>
      <x/>
      <x v="1"/>
    </i>
    <i r="4">
      <x v="12"/>
      <x v="12"/>
      <x/>
      <x v="19"/>
      <x v="21"/>
      <x/>
      <x v="1"/>
    </i>
    <i r="4">
      <x v="13"/>
      <x v="13"/>
      <x/>
      <x v="13"/>
      <x v="23"/>
      <x/>
      <x v="1"/>
    </i>
    <i r="4">
      <x v="14"/>
      <x v="14"/>
      <x/>
      <x v="13"/>
      <x v="25"/>
      <x/>
      <x v="1"/>
    </i>
    <i r="4">
      <x v="15"/>
      <x v="15"/>
      <x/>
      <x v="13"/>
      <x v="27"/>
      <x/>
      <x v="1"/>
    </i>
    <i r="4">
      <x v="16"/>
      <x v="16"/>
      <x/>
      <x v="13"/>
      <x v="45"/>
      <x/>
      <x v="1"/>
    </i>
    <i r="4">
      <x v="17"/>
      <x v="17"/>
      <x/>
      <x v="13"/>
      <x v="46"/>
      <x/>
      <x v="1"/>
    </i>
    <i r="4">
      <x v="18"/>
      <x v="18"/>
      <x/>
      <x v="13"/>
      <x v="47"/>
      <x/>
      <x v="1"/>
    </i>
    <i r="4">
      <x v="19"/>
      <x v="19"/>
      <x/>
      <x v="31"/>
      <x v="48"/>
      <x/>
      <x v="1"/>
    </i>
    <i r="4">
      <x v="20"/>
      <x v="20"/>
      <x/>
      <x v="19"/>
      <x v="21"/>
      <x/>
      <x v="1"/>
    </i>
    <i r="4">
      <x v="21"/>
      <x v="21"/>
      <x/>
      <x v="19"/>
      <x v="21"/>
      <x/>
      <x v="1"/>
    </i>
    <i r="4">
      <x v="22"/>
      <x v="22"/>
      <x/>
      <x v="13"/>
      <x v="34"/>
      <x/>
      <x v="1"/>
    </i>
    <i r="4">
      <x v="23"/>
      <x v="23"/>
      <x/>
      <x v="32"/>
      <x v="49"/>
      <x/>
      <x v="1"/>
    </i>
    <i r="4">
      <x v="24"/>
      <x v="24"/>
      <x/>
      <x v="33"/>
      <x v="50"/>
      <x/>
      <x v="1"/>
    </i>
    <i r="4">
      <x v="25"/>
      <x v="25"/>
      <x/>
      <x v="33"/>
      <x v="50"/>
      <x/>
      <x v="1"/>
    </i>
    <i r="4">
      <x v="26"/>
      <x v="26"/>
      <x/>
      <x v="13"/>
      <x v="51"/>
      <x/>
      <x v="1"/>
    </i>
    <i r="4">
      <x v="27"/>
      <x v="27"/>
      <x/>
      <x v="34"/>
      <x v="52"/>
      <x/>
      <x v="1"/>
    </i>
    <i r="4">
      <x v="28"/>
      <x v="28"/>
      <x/>
      <x v="35"/>
      <x v="53"/>
      <x/>
      <x v="1"/>
    </i>
    <i r="4">
      <x v="29"/>
      <x v="29"/>
      <x/>
      <x v="32"/>
      <x v="49"/>
      <x/>
      <x v="1"/>
    </i>
    <i r="4">
      <x v="30"/>
      <x v="30"/>
      <x/>
      <x v="36"/>
      <x v="49"/>
      <x/>
      <x v="1"/>
    </i>
    <i r="4">
      <x v="31"/>
      <x v="31"/>
      <x/>
      <x v="37"/>
      <x v="54"/>
      <x/>
      <x v="1"/>
    </i>
    <i r="4">
      <x v="32"/>
      <x v="32"/>
      <x/>
      <x v="38"/>
      <x v="55"/>
      <x/>
      <x v="1"/>
    </i>
    <i r="4">
      <x v="33"/>
      <x v="33"/>
      <x/>
      <x v="13"/>
      <x v="56"/>
      <x/>
      <x v="1"/>
    </i>
    <i r="4">
      <x v="34"/>
      <x v="34"/>
      <x/>
      <x v="19"/>
      <x v="21"/>
      <x/>
      <x v="1"/>
    </i>
    <i r="4">
      <x v="35"/>
      <x v="35"/>
      <x/>
      <x v="30"/>
      <x v="44"/>
      <x/>
      <x v="1"/>
    </i>
    <i r="4">
      <x v="36"/>
      <x v="36"/>
      <x/>
      <x v="30"/>
      <x v="44"/>
      <x/>
      <x v="1"/>
    </i>
    <i>
      <x v="2"/>
      <x v="1"/>
      <x v="2"/>
      <x v="2"/>
      <x v="1"/>
      <x v="1"/>
      <x/>
      <x v="39"/>
      <x v="57"/>
      <x/>
      <x/>
    </i>
    <i r="4">
      <x v="2"/>
      <x v="2"/>
      <x/>
      <x v="40"/>
      <x v="58"/>
      <x/>
      <x v="1"/>
    </i>
    <i r="4">
      <x v="3"/>
      <x v="3"/>
      <x/>
      <x v="41"/>
      <x v="59"/>
      <x/>
      <x/>
    </i>
    <i r="4">
      <x v="4"/>
      <x v="4"/>
      <x/>
      <x v="42"/>
      <x v="60"/>
      <x/>
      <x v="1"/>
    </i>
    <i r="4">
      <x v="5"/>
      <x v="5"/>
      <x/>
      <x v="43"/>
      <x v="61"/>
      <x/>
      <x v="1"/>
    </i>
    <i r="4">
      <x v="6"/>
      <x v="6"/>
      <x/>
      <x v="44"/>
      <x v="62"/>
      <x/>
      <x v="1"/>
    </i>
    <i r="4">
      <x v="7"/>
      <x v="7"/>
      <x/>
      <x v="45"/>
      <x v="63"/>
      <x/>
      <x v="1"/>
    </i>
    <i r="4">
      <x v="8"/>
      <x v="8"/>
      <x/>
      <x v="13"/>
      <x v="64"/>
      <x/>
      <x v="1"/>
    </i>
    <i r="4">
      <x v="9"/>
      <x v="9"/>
      <x/>
      <x v="13"/>
      <x v="65"/>
      <x/>
      <x v="1"/>
    </i>
    <i r="4">
      <x v="10"/>
      <x v="10"/>
      <x/>
      <x v="39"/>
      <x v="66"/>
      <x/>
      <x v="1"/>
    </i>
    <i r="4">
      <x v="11"/>
      <x v="11"/>
      <x/>
      <x v="39"/>
      <x v="66"/>
      <x/>
      <x v="1"/>
    </i>
    <i r="4">
      <x v="12"/>
      <x v="12"/>
      <x/>
      <x v="39"/>
      <x v="66"/>
      <x/>
      <x v="1"/>
    </i>
    <i r="4">
      <x v="18"/>
      <x v="18"/>
      <x/>
      <x v="13"/>
      <x v="47"/>
      <x/>
      <x v="1"/>
    </i>
    <i r="4">
      <x v="20"/>
      <x v="20"/>
      <x/>
      <x v="46"/>
      <x v="67"/>
      <x/>
      <x v="1"/>
    </i>
    <i r="4">
      <x v="21"/>
      <x v="21"/>
      <x/>
      <x v="46"/>
      <x v="67"/>
      <x/>
      <x v="1"/>
    </i>
    <i r="4">
      <x v="22"/>
      <x v="22"/>
      <x/>
      <x v="13"/>
      <x v="68"/>
      <x/>
      <x v="1"/>
    </i>
    <i r="4">
      <x v="23"/>
      <x v="23"/>
      <x/>
      <x v="47"/>
      <x v="56"/>
      <x/>
      <x v="1"/>
    </i>
    <i r="4">
      <x v="26"/>
      <x v="26"/>
      <x/>
      <x v="13"/>
      <x v="69"/>
      <x/>
      <x v="1"/>
    </i>
    <i r="4">
      <x v="27"/>
      <x v="27"/>
      <x/>
      <x v="48"/>
      <x v="70"/>
      <x/>
      <x v="1"/>
    </i>
    <i r="4">
      <x v="28"/>
      <x v="28"/>
      <x/>
      <x v="29"/>
      <x v="43"/>
      <x/>
      <x v="1"/>
    </i>
    <i r="4">
      <x v="29"/>
      <x v="29"/>
      <x/>
      <x v="47"/>
      <x v="56"/>
      <x/>
      <x v="1"/>
    </i>
    <i r="4">
      <x v="30"/>
      <x v="30"/>
      <x/>
      <x v="49"/>
      <x v="56"/>
      <x/>
      <x v="1"/>
    </i>
    <i r="4">
      <x v="31"/>
      <x v="31"/>
      <x/>
      <x v="50"/>
      <x v="71"/>
      <x/>
      <x v="1"/>
    </i>
    <i r="4">
      <x v="32"/>
      <x v="32"/>
      <x/>
      <x v="51"/>
      <x v="72"/>
      <x/>
      <x v="1"/>
    </i>
    <i r="4">
      <x v="33"/>
      <x v="33"/>
      <x/>
      <x v="13"/>
      <x v="73"/>
      <x/>
      <x v="1"/>
    </i>
    <i r="4">
      <x v="34"/>
      <x v="34"/>
      <x/>
      <x v="52"/>
      <x v="74"/>
      <x/>
      <x v="1"/>
    </i>
    <i r="4">
      <x v="35"/>
      <x v="35"/>
      <x/>
      <x v="30"/>
      <x v="44"/>
      <x/>
      <x v="1"/>
    </i>
    <i r="4">
      <x v="36"/>
      <x v="36"/>
      <x/>
      <x v="15"/>
      <x v="17"/>
      <x/>
      <x v="1"/>
    </i>
    <i r="4">
      <x v="37"/>
      <x v="37"/>
      <x/>
      <x v="2"/>
      <x v="2"/>
      <x/>
      <x v="1"/>
    </i>
    <i r="4">
      <x v="38"/>
      <x v="38"/>
      <x v="2"/>
      <x v="5"/>
      <x v="5"/>
      <x/>
      <x/>
    </i>
    <i>
      <x v="3"/>
      <x v="2"/>
      <x v="3"/>
      <x v="3"/>
      <x v="1"/>
      <x v="1"/>
      <x/>
      <x v="55"/>
      <x v="43"/>
      <x/>
      <x v="1"/>
    </i>
    <i r="4">
      <x v="2"/>
      <x v="2"/>
      <x/>
      <x v="56"/>
      <x v="76"/>
      <x/>
      <x v="1"/>
    </i>
    <i r="4">
      <x v="3"/>
      <x v="3"/>
      <x v="3"/>
      <x v="57"/>
      <x v="77"/>
      <x/>
      <x/>
    </i>
    <i r="4">
      <x v="4"/>
      <x v="4"/>
      <x/>
      <x v="58"/>
      <x v="78"/>
      <x/>
      <x v="1"/>
    </i>
    <i r="4">
      <x v="5"/>
      <x v="5"/>
      <x/>
      <x v="59"/>
      <x v="79"/>
      <x/>
      <x v="1"/>
    </i>
    <i r="4">
      <x v="6"/>
      <x v="6"/>
      <x v="1"/>
      <x v="60"/>
      <x v="80"/>
      <x/>
      <x v="1"/>
    </i>
    <i r="4">
      <x v="7"/>
      <x v="7"/>
      <x/>
      <x v="61"/>
      <x v="81"/>
      <x/>
      <x v="1"/>
    </i>
    <i r="4">
      <x v="8"/>
      <x v="8"/>
      <x/>
      <x v="13"/>
      <x v="82"/>
      <x/>
      <x v="1"/>
    </i>
    <i r="4">
      <x v="9"/>
      <x v="9"/>
      <x/>
      <x v="13"/>
      <x v="15"/>
      <x/>
      <x v="1"/>
    </i>
    <i r="4">
      <x v="10"/>
      <x v="10"/>
      <x/>
      <x v="62"/>
      <x v="50"/>
      <x/>
      <x v="1"/>
    </i>
    <i r="4">
      <x v="11"/>
      <x v="11"/>
      <x/>
      <x v="39"/>
      <x v="66"/>
      <x/>
      <x v="1"/>
    </i>
    <i r="4">
      <x v="12"/>
      <x v="12"/>
      <x/>
      <x v="63"/>
      <x v="83"/>
      <x/>
      <x v="1"/>
    </i>
    <i r="4">
      <x v="18"/>
      <x v="18"/>
      <x/>
      <x v="13"/>
      <x v="30"/>
      <x/>
      <x v="1"/>
    </i>
    <i r="4">
      <x v="20"/>
      <x v="20"/>
      <x/>
      <x v="64"/>
      <x v="84"/>
      <x/>
      <x v="1"/>
    </i>
    <i r="4">
      <x v="21"/>
      <x v="21"/>
      <x/>
      <x v="64"/>
      <x v="84"/>
      <x/>
      <x v="1"/>
    </i>
    <i r="4">
      <x v="22"/>
      <x v="22"/>
      <x/>
      <x v="13"/>
      <x v="34"/>
      <x/>
      <x v="1"/>
    </i>
    <i r="4">
      <x v="23"/>
      <x v="23"/>
      <x/>
      <x v="65"/>
      <x v="86"/>
      <x/>
      <x v="1"/>
    </i>
    <i r="4">
      <x v="26"/>
      <x v="26"/>
      <x/>
      <x v="13"/>
      <x v="69"/>
      <x/>
      <x v="1"/>
    </i>
    <i r="4">
      <x v="27"/>
      <x v="27"/>
      <x/>
      <x v="66"/>
      <x v="87"/>
      <x/>
      <x v="1"/>
    </i>
    <i r="4">
      <x v="28"/>
      <x v="28"/>
      <x/>
      <x v="67"/>
      <x v="60"/>
      <x/>
      <x v="1"/>
    </i>
    <i r="4">
      <x v="29"/>
      <x v="29"/>
      <x/>
      <x v="65"/>
      <x v="86"/>
      <x/>
      <x v="1"/>
    </i>
    <i r="4">
      <x v="30"/>
      <x v="30"/>
      <x/>
      <x v="68"/>
      <x v="86"/>
      <x/>
      <x v="1"/>
    </i>
    <i r="4">
      <x v="31"/>
      <x v="31"/>
      <x/>
      <x v="69"/>
      <x v="54"/>
      <x/>
      <x v="1"/>
    </i>
    <i r="4">
      <x v="32"/>
      <x v="32"/>
      <x/>
      <x v="70"/>
      <x v="88"/>
      <x/>
      <x v="1"/>
    </i>
    <i r="4">
      <x v="33"/>
      <x v="33"/>
      <x/>
      <x v="13"/>
      <x v="86"/>
      <x/>
      <x v="1"/>
    </i>
    <i r="4">
      <x v="34"/>
      <x v="34"/>
      <x/>
      <x v="71"/>
      <x v="89"/>
      <x/>
      <x v="1"/>
    </i>
    <i r="4">
      <x v="35"/>
      <x v="35"/>
      <x/>
      <x v="72"/>
      <x v="90"/>
      <x/>
      <x v="1"/>
    </i>
    <i r="4">
      <x v="36"/>
      <x v="36"/>
      <x/>
      <x v="71"/>
      <x v="89"/>
      <x/>
      <x v="1"/>
    </i>
    <i r="4">
      <x v="38"/>
      <x v="38"/>
      <x v="2"/>
      <x v="5"/>
      <x v="5"/>
      <x/>
      <x/>
    </i>
    <i r="4">
      <x v="39"/>
      <x v="39"/>
      <x/>
      <x v="53"/>
      <x v="75"/>
      <x/>
      <x v="1"/>
    </i>
    <i r="4">
      <x v="40"/>
      <x v="40"/>
      <x/>
      <x v="54"/>
      <x v="43"/>
      <x/>
      <x v="1"/>
    </i>
    <i r="4">
      <x v="41"/>
      <x v="41"/>
      <x/>
      <x v="56"/>
      <x v="76"/>
      <x/>
      <x/>
    </i>
    <i r="4">
      <x v="42"/>
      <x v="42"/>
      <x/>
      <x v="13"/>
      <x v="85"/>
      <x/>
      <x v="1"/>
    </i>
    <i>
      <x v="4"/>
      <x v="3"/>
      <x v="4"/>
      <x v="4"/>
      <x v="1"/>
      <x v="1"/>
      <x/>
      <x v="74"/>
      <x v="92"/>
      <x/>
      <x v="1"/>
    </i>
    <i r="4">
      <x v="3"/>
      <x v="3"/>
      <x v="2"/>
      <x v="5"/>
      <x v="5"/>
      <x/>
      <x/>
    </i>
    <i r="4">
      <x v="4"/>
      <x v="4"/>
      <x/>
      <x v="76"/>
      <x v="94"/>
      <x/>
      <x v="1"/>
    </i>
    <i r="4">
      <x v="5"/>
      <x v="5"/>
      <x/>
      <x v="77"/>
      <x v="95"/>
      <x/>
      <x v="1"/>
    </i>
    <i r="4">
      <x v="6"/>
      <x v="6"/>
      <x v="1"/>
      <x v="10"/>
      <x v="96"/>
      <x/>
      <x v="1"/>
    </i>
    <i r="4">
      <x v="7"/>
      <x v="7"/>
      <x/>
      <x v="78"/>
      <x v="97"/>
      <x/>
      <x v="1"/>
    </i>
    <i r="4">
      <x v="8"/>
      <x v="8"/>
      <x/>
      <x v="13"/>
      <x v="98"/>
      <x/>
      <x v="1"/>
    </i>
    <i r="4">
      <x v="9"/>
      <x v="9"/>
      <x/>
      <x v="13"/>
      <x v="99"/>
      <x/>
      <x v="1"/>
    </i>
    <i r="4">
      <x v="10"/>
      <x v="10"/>
      <x/>
      <x v="79"/>
      <x v="100"/>
      <x/>
      <x v="1"/>
    </i>
    <i r="4">
      <x v="11"/>
      <x v="11"/>
      <x/>
      <x v="16"/>
      <x v="18"/>
      <x/>
      <x v="1"/>
    </i>
    <i r="4">
      <x v="12"/>
      <x v="12"/>
      <x/>
      <x v="63"/>
      <x v="83"/>
      <x/>
      <x v="1"/>
    </i>
    <i r="4">
      <x v="20"/>
      <x v="20"/>
      <x/>
      <x v="80"/>
      <x v="101"/>
      <x/>
      <x v="1"/>
    </i>
    <i r="4">
      <x v="21"/>
      <x v="21"/>
      <x/>
      <x v="63"/>
      <x v="83"/>
      <x/>
      <x v="1"/>
    </i>
    <i r="4">
      <x v="22"/>
      <x v="22"/>
      <x/>
      <x v="13"/>
      <x v="34"/>
      <x/>
      <x v="1"/>
    </i>
    <i r="4">
      <x v="23"/>
      <x v="23"/>
      <x/>
      <x v="81"/>
      <x v="73"/>
      <x/>
      <x v="1"/>
    </i>
    <i r="4">
      <x v="26"/>
      <x v="26"/>
      <x/>
      <x v="13"/>
      <x v="69"/>
      <x/>
      <x v="1"/>
    </i>
    <i r="4">
      <x v="27"/>
      <x v="27"/>
      <x/>
      <x v="24"/>
      <x v="38"/>
      <x/>
      <x v="1"/>
    </i>
    <i r="4">
      <x v="28"/>
      <x v="28"/>
      <x/>
      <x v="82"/>
      <x v="102"/>
      <x/>
      <x v="1"/>
    </i>
    <i r="4">
      <x v="29"/>
      <x v="29"/>
      <x/>
      <x v="47"/>
      <x v="56"/>
      <x/>
      <x v="1"/>
    </i>
    <i r="4">
      <x v="30"/>
      <x v="30"/>
      <x/>
      <x v="83"/>
      <x v="73"/>
      <x/>
      <x v="1"/>
    </i>
    <i r="4">
      <x v="31"/>
      <x v="31"/>
      <x/>
      <x v="84"/>
      <x v="103"/>
      <x/>
      <x v="1"/>
    </i>
    <i r="4">
      <x v="32"/>
      <x v="32"/>
      <x/>
      <x v="82"/>
      <x v="102"/>
      <x/>
      <x v="1"/>
    </i>
    <i r="4">
      <x v="33"/>
      <x v="33"/>
      <x/>
      <x v="13"/>
      <x v="73"/>
      <x/>
      <x v="1"/>
    </i>
    <i r="4">
      <x v="34"/>
      <x v="34"/>
      <x/>
      <x v="85"/>
      <x v="104"/>
      <x/>
      <x v="1"/>
    </i>
    <i r="4">
      <x v="35"/>
      <x v="35"/>
      <x/>
      <x v="82"/>
      <x v="102"/>
      <x/>
      <x v="1"/>
    </i>
    <i r="4">
      <x v="36"/>
      <x v="36"/>
      <x/>
      <x v="39"/>
      <x v="66"/>
      <x/>
      <x v="1"/>
    </i>
    <i r="4">
      <x v="38"/>
      <x v="38"/>
      <x v="2"/>
      <x v="5"/>
      <x v="5"/>
      <x/>
      <x/>
    </i>
    <i r="4">
      <x v="40"/>
      <x v="40"/>
      <x/>
      <x v="73"/>
      <x v="91"/>
      <x/>
      <x/>
    </i>
    <i r="4">
      <x v="41"/>
      <x v="41"/>
      <x/>
      <x v="75"/>
      <x v="93"/>
      <x/>
      <x/>
    </i>
    <i r="4">
      <x v="43"/>
      <x v="43"/>
      <x/>
      <x v="73"/>
      <x v="91"/>
      <x/>
      <x v="1"/>
    </i>
    <i>
      <x v="5"/>
      <x v="3"/>
      <x v="5"/>
      <x v="5"/>
      <x v="1"/>
      <x v="1"/>
      <x/>
      <x v="87"/>
      <x v="107"/>
      <x/>
      <x v="1"/>
    </i>
    <i r="4">
      <x v="3"/>
      <x v="3"/>
      <x v="2"/>
      <x v="5"/>
      <x v="5"/>
      <x/>
      <x/>
    </i>
    <i r="4">
      <x v="4"/>
      <x v="4"/>
      <x/>
      <x v="89"/>
      <x v="109"/>
      <x/>
      <x v="1"/>
    </i>
    <i r="4">
      <x v="5"/>
      <x v="5"/>
      <x/>
      <x v="90"/>
      <x v="110"/>
      <x/>
      <x v="1"/>
    </i>
    <i r="4">
      <x v="6"/>
      <x v="6"/>
      <x v="2"/>
      <x v="5"/>
      <x v="5"/>
      <x/>
      <x/>
    </i>
    <i r="4">
      <x v="7"/>
      <x v="7"/>
      <x/>
      <x v="91"/>
      <x v="111"/>
      <x/>
      <x v="1"/>
    </i>
    <i r="4">
      <x v="8"/>
      <x v="8"/>
      <x/>
      <x v="13"/>
      <x v="112"/>
      <x/>
      <x v="1"/>
    </i>
    <i r="4">
      <x v="9"/>
      <x v="9"/>
      <x/>
      <x v="13"/>
      <x v="113"/>
      <x/>
      <x v="1"/>
    </i>
    <i r="4">
      <x v="10"/>
      <x v="10"/>
      <x/>
      <x v="92"/>
      <x v="114"/>
      <x/>
      <x v="1"/>
    </i>
    <i r="4">
      <x v="11"/>
      <x v="11"/>
      <x/>
      <x v="79"/>
      <x v="100"/>
      <x/>
      <x v="1"/>
    </i>
    <i r="4">
      <x v="12"/>
      <x v="12"/>
      <x/>
      <x v="63"/>
      <x v="83"/>
      <x/>
      <x v="1"/>
    </i>
    <i r="4">
      <x v="20"/>
      <x v="20"/>
      <x/>
      <x v="63"/>
      <x v="83"/>
      <x/>
      <x v="1"/>
    </i>
    <i r="4">
      <x v="21"/>
      <x v="21"/>
      <x/>
      <x v="93"/>
      <x v="47"/>
      <x/>
      <x v="1"/>
    </i>
    <i r="4">
      <x v="22"/>
      <x v="22"/>
      <x/>
      <x v="13"/>
      <x v="34"/>
      <x/>
      <x v="1"/>
    </i>
    <i r="4">
      <x v="23"/>
      <x v="23"/>
      <x/>
      <x v="81"/>
      <x v="73"/>
      <x/>
      <x v="1"/>
    </i>
    <i r="4">
      <x v="26"/>
      <x v="26"/>
      <x/>
      <x v="13"/>
      <x v="115"/>
      <x/>
      <x v="1"/>
    </i>
    <i r="4">
      <x v="27"/>
      <x v="27"/>
      <x/>
      <x v="66"/>
      <x v="87"/>
      <x/>
      <x v="1"/>
    </i>
    <i r="4">
      <x v="28"/>
      <x v="28"/>
      <x/>
      <x v="94"/>
      <x v="80"/>
      <x/>
      <x v="1"/>
    </i>
    <i r="4">
      <x v="29"/>
      <x v="29"/>
      <x/>
      <x v="95"/>
      <x v="116"/>
      <x/>
      <x v="1"/>
    </i>
    <i r="4">
      <x v="30"/>
      <x v="30"/>
      <x/>
      <x v="44"/>
      <x v="116"/>
      <x/>
      <x v="1"/>
    </i>
    <i r="4">
      <x v="31"/>
      <x v="31"/>
      <x/>
      <x v="96"/>
      <x v="117"/>
      <x/>
      <x v="1"/>
    </i>
    <i r="4">
      <x v="32"/>
      <x v="32"/>
      <x/>
      <x v="94"/>
      <x v="80"/>
      <x/>
      <x v="1"/>
    </i>
    <i r="4">
      <x v="33"/>
      <x v="33"/>
      <x/>
      <x v="13"/>
      <x v="116"/>
      <x/>
      <x v="1"/>
    </i>
    <i r="4">
      <x v="34"/>
      <x v="34"/>
      <x/>
      <x v="63"/>
      <x v="83"/>
      <x/>
      <x v="1"/>
    </i>
    <i r="4">
      <x v="35"/>
      <x v="35"/>
      <x/>
      <x v="97"/>
      <x v="118"/>
      <x/>
      <x v="1"/>
    </i>
    <i r="4">
      <x v="36"/>
      <x v="36"/>
      <x/>
      <x v="16"/>
      <x v="18"/>
      <x/>
      <x v="1"/>
    </i>
    <i r="4">
      <x v="38"/>
      <x v="38"/>
      <x v="2"/>
      <x v="5"/>
      <x v="5"/>
      <x/>
      <x/>
    </i>
    <i r="4">
      <x v="40"/>
      <x v="40"/>
      <x v="1"/>
      <x v="1"/>
      <x v="106"/>
      <x/>
      <x v="1"/>
    </i>
    <i r="4">
      <x v="41"/>
      <x v="41"/>
      <x/>
      <x v="88"/>
      <x v="108"/>
      <x/>
      <x/>
    </i>
    <i r="4">
      <x v="43"/>
      <x v="43"/>
      <x/>
      <x v="86"/>
      <x v="105"/>
      <x/>
      <x v="1"/>
    </i>
    <i>
      <x v="6"/>
      <x v="4"/>
      <x v="6"/>
      <x v="6"/>
      <x v="3"/>
      <x v="3"/>
      <x v="2"/>
      <x v="5"/>
      <x v="5"/>
      <x/>
      <x/>
    </i>
    <i r="4">
      <x v="4"/>
      <x v="4"/>
      <x/>
      <x v="99"/>
      <x v="120"/>
      <x/>
      <x v="1"/>
    </i>
    <i r="4">
      <x v="5"/>
      <x v="5"/>
      <x/>
      <x v="100"/>
      <x v="121"/>
      <x/>
      <x v="1"/>
    </i>
    <i r="4">
      <x v="6"/>
      <x v="6"/>
      <x v="2"/>
      <x v="5"/>
      <x v="5"/>
      <x/>
      <x/>
    </i>
    <i r="4">
      <x v="7"/>
      <x v="7"/>
      <x/>
      <x v="101"/>
      <x v="122"/>
      <x/>
      <x v="1"/>
    </i>
    <i r="4">
      <x v="9"/>
      <x v="9"/>
      <x/>
      <x v="13"/>
      <x v="15"/>
      <x/>
      <x v="1"/>
    </i>
    <i r="4">
      <x v="12"/>
      <x v="12"/>
      <x/>
      <x v="18"/>
      <x v="20"/>
      <x/>
      <x v="1"/>
    </i>
    <i r="4">
      <x v="20"/>
      <x v="20"/>
      <x/>
      <x v="63"/>
      <x v="83"/>
      <x/>
      <x v="1"/>
    </i>
    <i r="4">
      <x v="21"/>
      <x v="21"/>
      <x/>
      <x v="22"/>
      <x v="33"/>
      <x/>
      <x v="1"/>
    </i>
    <i r="4">
      <x v="23"/>
      <x v="23"/>
      <x/>
      <x v="47"/>
      <x v="56"/>
      <x/>
      <x v="1"/>
    </i>
    <i r="4">
      <x v="24"/>
      <x v="24"/>
      <x/>
      <x v="102"/>
      <x v="123"/>
      <x/>
      <x v="1"/>
    </i>
    <i r="4">
      <x v="25"/>
      <x v="25"/>
      <x/>
      <x v="102"/>
      <x v="123"/>
      <x/>
      <x v="1"/>
    </i>
    <i r="4">
      <x v="26"/>
      <x v="26"/>
      <x/>
      <x v="13"/>
      <x v="51"/>
      <x/>
      <x v="1"/>
    </i>
    <i r="4">
      <x v="27"/>
      <x v="27"/>
      <x/>
      <x v="103"/>
      <x v="124"/>
      <x/>
      <x v="1"/>
    </i>
    <i r="4">
      <x v="28"/>
      <x v="28"/>
      <x/>
      <x v="18"/>
      <x v="20"/>
      <x/>
      <x v="1"/>
    </i>
    <i r="4">
      <x v="29"/>
      <x v="29"/>
      <x/>
      <x v="47"/>
      <x v="56"/>
      <x/>
      <x v="1"/>
    </i>
    <i r="4">
      <x v="30"/>
      <x v="30"/>
      <x/>
      <x v="83"/>
      <x v="73"/>
      <x/>
      <x v="1"/>
    </i>
    <i r="4">
      <x v="31"/>
      <x v="31"/>
      <x/>
      <x v="104"/>
      <x v="125"/>
      <x/>
      <x v="1"/>
    </i>
    <i r="4">
      <x v="32"/>
      <x v="32"/>
      <x/>
      <x v="18"/>
      <x v="20"/>
      <x/>
      <x v="1"/>
    </i>
    <i r="4">
      <x v="33"/>
      <x v="33"/>
      <x/>
      <x v="13"/>
      <x v="73"/>
      <x/>
      <x v="1"/>
    </i>
    <i r="4">
      <x v="34"/>
      <x v="34"/>
      <x/>
      <x v="18"/>
      <x v="20"/>
      <x/>
      <x v="1"/>
    </i>
    <i r="4">
      <x v="35"/>
      <x v="35"/>
      <x/>
      <x v="105"/>
      <x v="126"/>
      <x/>
      <x v="1"/>
    </i>
    <i r="4">
      <x v="36"/>
      <x v="36"/>
      <x/>
      <x v="14"/>
      <x v="16"/>
      <x/>
      <x v="1"/>
    </i>
    <i r="4">
      <x v="44"/>
      <x v="44"/>
      <x/>
      <x v="98"/>
      <x v="119"/>
      <x/>
      <x v="1"/>
    </i>
    <i>
      <x v="7"/>
      <x v="5"/>
      <x v="7"/>
      <x v="7"/>
      <x v="3"/>
      <x v="3"/>
      <x v="2"/>
      <x v="5"/>
      <x v="5"/>
      <x/>
      <x/>
    </i>
    <i r="4">
      <x v="4"/>
      <x v="4"/>
      <x/>
      <x v="106"/>
      <x v="128"/>
      <x/>
      <x v="1"/>
    </i>
    <i r="4">
      <x v="5"/>
      <x v="5"/>
      <x/>
      <x v="107"/>
      <x v="129"/>
      <x/>
      <x v="1"/>
    </i>
    <i r="4">
      <x v="6"/>
      <x v="6"/>
      <x v="2"/>
      <x v="5"/>
      <x v="5"/>
      <x/>
      <x/>
    </i>
    <i r="4">
      <x v="7"/>
      <x v="7"/>
      <x/>
      <x v="63"/>
      <x v="130"/>
      <x/>
      <x v="1"/>
    </i>
    <i r="4">
      <x v="9"/>
      <x v="9"/>
      <x/>
      <x v="13"/>
      <x v="131"/>
      <x/>
      <x v="1"/>
    </i>
    <i r="4">
      <x v="12"/>
      <x v="12"/>
      <x/>
      <x v="108"/>
      <x v="132"/>
      <x/>
      <x v="1"/>
    </i>
    <i r="4">
      <x v="20"/>
      <x v="20"/>
      <x/>
      <x v="21"/>
      <x v="32"/>
      <x/>
      <x v="1"/>
    </i>
    <i r="4">
      <x v="21"/>
      <x v="21"/>
      <x/>
      <x v="21"/>
      <x v="32"/>
      <x/>
      <x v="1"/>
    </i>
    <i r="4">
      <x v="23"/>
      <x v="23"/>
      <x/>
      <x v="109"/>
      <x v="133"/>
      <x/>
      <x v="1"/>
    </i>
    <i r="4">
      <x v="24"/>
      <x v="24"/>
      <x/>
      <x v="110"/>
      <x v="134"/>
      <x/>
      <x v="1"/>
    </i>
    <i r="4">
      <x v="25"/>
      <x v="25"/>
      <x/>
      <x v="111"/>
      <x v="135"/>
      <x/>
      <x v="1"/>
    </i>
    <i r="4">
      <x v="26"/>
      <x v="26"/>
      <x/>
      <x v="13"/>
      <x v="136"/>
      <x/>
      <x v="1"/>
    </i>
    <i r="4">
      <x v="27"/>
      <x v="27"/>
      <x/>
      <x v="52"/>
      <x v="74"/>
      <x/>
      <x v="1"/>
    </i>
    <i r="4">
      <x v="28"/>
      <x v="28"/>
      <x/>
      <x v="112"/>
      <x v="137"/>
      <x/>
      <x v="1"/>
    </i>
    <i r="4">
      <x v="29"/>
      <x v="29"/>
      <x/>
      <x v="109"/>
      <x v="133"/>
      <x/>
      <x v="1"/>
    </i>
    <i r="4">
      <x v="30"/>
      <x v="30"/>
      <x/>
      <x v="113"/>
      <x v="138"/>
      <x/>
      <x v="1"/>
    </i>
    <i r="4">
      <x v="31"/>
      <x v="31"/>
      <x/>
      <x v="28"/>
      <x v="42"/>
      <x/>
      <x v="1"/>
    </i>
    <i r="4">
      <x v="32"/>
      <x v="32"/>
      <x/>
      <x v="51"/>
      <x v="72"/>
      <x/>
      <x v="1"/>
    </i>
    <i r="4">
      <x v="33"/>
      <x v="33"/>
      <x/>
      <x v="13"/>
      <x v="138"/>
      <x/>
      <x v="1"/>
    </i>
    <i r="4">
      <x v="34"/>
      <x v="34"/>
      <x/>
      <x v="108"/>
      <x v="132"/>
      <x/>
      <x v="1"/>
    </i>
    <i r="4">
      <x v="35"/>
      <x v="35"/>
      <x/>
      <x v="114"/>
      <x v="133"/>
      <x/>
      <x v="1"/>
    </i>
    <i r="4">
      <x v="36"/>
      <x v="36"/>
      <x/>
      <x v="14"/>
      <x v="16"/>
      <x/>
      <x v="1"/>
    </i>
    <i r="4">
      <x v="45"/>
      <x v="45"/>
      <x/>
      <x v="81"/>
      <x v="127"/>
      <x/>
      <x v="1"/>
    </i>
    <i>
      <x v="8"/>
      <x v="6"/>
      <x v="8"/>
      <x v="8"/>
      <x v="3"/>
      <x v="3"/>
      <x v="2"/>
      <x v="5"/>
      <x v="5"/>
      <x/>
      <x/>
    </i>
    <i r="4">
      <x v="4"/>
      <x v="4"/>
      <x/>
      <x v="116"/>
      <x v="140"/>
      <x/>
      <x v="1"/>
    </i>
    <i r="4">
      <x v="5"/>
      <x v="5"/>
      <x/>
      <x v="117"/>
      <x v="141"/>
      <x/>
      <x v="1"/>
    </i>
    <i r="4">
      <x v="6"/>
      <x v="6"/>
      <x v="2"/>
      <x v="5"/>
      <x v="5"/>
      <x/>
      <x/>
    </i>
    <i r="4">
      <x v="7"/>
      <x v="7"/>
      <x/>
      <x v="118"/>
      <x v="142"/>
      <x/>
      <x v="1"/>
    </i>
    <i r="4">
      <x v="9"/>
      <x v="9"/>
      <x/>
      <x v="13"/>
      <x v="143"/>
      <x/>
      <x v="1"/>
    </i>
    <i r="4">
      <x v="12"/>
      <x v="12"/>
      <x/>
      <x v="14"/>
      <x v="16"/>
      <x/>
      <x v="1"/>
    </i>
    <i r="4">
      <x v="20"/>
      <x v="20"/>
      <x/>
      <x v="119"/>
      <x v="144"/>
      <x/>
      <x v="1"/>
    </i>
    <i r="4">
      <x v="21"/>
      <x v="21"/>
      <x/>
      <x v="119"/>
      <x v="144"/>
      <x/>
      <x v="1"/>
    </i>
    <i r="4">
      <x v="23"/>
      <x v="23"/>
      <x/>
      <x v="121"/>
      <x v="146"/>
      <x/>
      <x v="1"/>
    </i>
    <i r="4">
      <x v="25"/>
      <x v="25"/>
      <x/>
      <x v="122"/>
      <x v="147"/>
      <x/>
      <x v="1"/>
    </i>
    <i r="4">
      <x v="26"/>
      <x v="26"/>
      <x/>
      <x v="13"/>
      <x v="145"/>
      <x/>
      <x v="1"/>
    </i>
    <i r="4">
      <x v="27"/>
      <x v="27"/>
      <x/>
      <x v="66"/>
      <x v="87"/>
      <x/>
      <x v="1"/>
    </i>
    <i r="4">
      <x v="28"/>
      <x v="28"/>
      <x/>
      <x v="117"/>
      <x v="148"/>
      <x/>
      <x v="1"/>
    </i>
    <i r="4">
      <x v="29"/>
      <x v="29"/>
      <x/>
      <x v="123"/>
      <x v="149"/>
      <x/>
      <x v="1"/>
    </i>
    <i r="4">
      <x v="30"/>
      <x v="30"/>
      <x/>
      <x v="124"/>
      <x v="149"/>
      <x/>
      <x v="1"/>
    </i>
    <i r="4">
      <x v="31"/>
      <x v="31"/>
      <x/>
      <x v="104"/>
      <x v="125"/>
      <x/>
      <x v="1"/>
    </i>
    <i r="4">
      <x v="32"/>
      <x v="32"/>
      <x/>
      <x v="117"/>
      <x v="148"/>
      <x/>
      <x v="1"/>
    </i>
    <i r="4">
      <x v="33"/>
      <x v="33"/>
      <x/>
      <x v="13"/>
      <x v="150"/>
      <x/>
      <x v="1"/>
    </i>
    <i r="4">
      <x v="34"/>
      <x v="34"/>
      <x/>
      <x v="117"/>
      <x v="148"/>
      <x/>
      <x v="1"/>
    </i>
    <i r="4">
      <x v="35"/>
      <x v="35"/>
      <x/>
      <x v="30"/>
      <x v="44"/>
      <x/>
      <x v="1"/>
    </i>
    <i r="4">
      <x v="36"/>
      <x v="36"/>
      <x/>
      <x v="14"/>
      <x v="16"/>
      <x/>
      <x v="1"/>
    </i>
    <i r="4">
      <x v="38"/>
      <x v="38"/>
      <x/>
      <x v="120"/>
      <x v="145"/>
      <x/>
      <x/>
    </i>
    <i r="4">
      <x v="40"/>
      <x v="40"/>
      <x/>
      <x v="115"/>
      <x v="139"/>
      <x/>
      <x/>
    </i>
    <i r="4">
      <x v="46"/>
      <x v="46"/>
      <x/>
      <x v="115"/>
      <x v="139"/>
      <x/>
      <x/>
    </i>
    <i r="4">
      <x v="47"/>
      <x v="47"/>
      <x/>
      <x v="120"/>
      <x v="145"/>
      <x/>
      <x v="1"/>
    </i>
    <i>
      <x v="9"/>
      <x v="6"/>
      <x v="9"/>
      <x v="9"/>
      <x v="3"/>
      <x v="3"/>
      <x v="2"/>
      <x v="5"/>
      <x v="5"/>
      <x/>
      <x/>
    </i>
    <i r="4">
      <x v="4"/>
      <x v="4"/>
      <x/>
      <x v="127"/>
      <x v="153"/>
      <x/>
      <x v="1"/>
    </i>
    <i r="4">
      <x v="5"/>
      <x v="5"/>
      <x/>
      <x v="128"/>
      <x v="154"/>
      <x/>
      <x v="1"/>
    </i>
    <i r="4">
      <x v="6"/>
      <x v="6"/>
      <x v="1"/>
      <x v="129"/>
      <x v="155"/>
      <x/>
      <x v="1"/>
    </i>
    <i r="4">
      <x v="7"/>
      <x v="7"/>
      <x/>
      <x v="130"/>
      <x v="43"/>
      <x/>
      <x v="1"/>
    </i>
    <i r="4">
      <x v="9"/>
      <x v="9"/>
      <x/>
      <x v="13"/>
      <x v="15"/>
      <x/>
      <x v="1"/>
    </i>
    <i r="4">
      <x v="12"/>
      <x v="12"/>
      <x/>
      <x v="71"/>
      <x v="89"/>
      <x/>
      <x v="1"/>
    </i>
    <i r="4">
      <x v="20"/>
      <x v="20"/>
      <x/>
      <x v="117"/>
      <x v="148"/>
      <x/>
      <x v="1"/>
    </i>
    <i r="4">
      <x v="21"/>
      <x v="21"/>
      <x/>
      <x v="117"/>
      <x v="148"/>
      <x/>
      <x v="1"/>
    </i>
    <i r="4">
      <x v="23"/>
      <x v="23"/>
      <x/>
      <x v="132"/>
      <x v="157"/>
      <x/>
      <x v="1"/>
    </i>
    <i r="4">
      <x v="25"/>
      <x v="25"/>
      <x v="2"/>
      <x v="5"/>
      <x v="5"/>
      <x/>
      <x/>
    </i>
    <i r="4">
      <x v="26"/>
      <x v="26"/>
      <x/>
      <x v="13"/>
      <x v="115"/>
      <x/>
      <x v="1"/>
    </i>
    <i r="4">
      <x v="27"/>
      <x v="27"/>
      <x/>
      <x v="103"/>
      <x v="124"/>
      <x/>
      <x v="1"/>
    </i>
    <i r="4">
      <x v="28"/>
      <x v="28"/>
      <x/>
      <x v="133"/>
      <x v="158"/>
      <x/>
      <x v="1"/>
    </i>
    <i r="4">
      <x v="29"/>
      <x v="29"/>
      <x/>
      <x v="134"/>
      <x v="159"/>
      <x/>
      <x v="1"/>
    </i>
    <i r="4">
      <x v="30"/>
      <x v="30"/>
      <x/>
      <x v="135"/>
      <x v="157"/>
      <x/>
      <x v="1"/>
    </i>
    <i r="4">
      <x v="31"/>
      <x v="31"/>
      <x/>
      <x v="136"/>
      <x v="160"/>
      <x/>
      <x v="1"/>
    </i>
    <i r="4">
      <x v="32"/>
      <x v="32"/>
      <x/>
      <x v="133"/>
      <x v="158"/>
      <x/>
      <x v="1"/>
    </i>
    <i r="4">
      <x v="33"/>
      <x v="33"/>
      <x/>
      <x v="13"/>
      <x v="157"/>
      <x/>
      <x v="1"/>
    </i>
    <i r="4">
      <x v="34"/>
      <x v="34"/>
      <x/>
      <x v="137"/>
      <x v="161"/>
      <x/>
      <x v="1"/>
    </i>
    <i r="4">
      <x v="35"/>
      <x v="35"/>
      <x/>
      <x v="137"/>
      <x v="161"/>
      <x/>
      <x v="1"/>
    </i>
    <i r="4">
      <x v="36"/>
      <x v="36"/>
      <x/>
      <x v="138"/>
      <x v="162"/>
      <x/>
      <x v="1"/>
    </i>
    <i r="4">
      <x v="38"/>
      <x v="38"/>
      <x v="2"/>
      <x v="5"/>
      <x v="5"/>
      <x/>
      <x/>
    </i>
    <i r="4">
      <x v="40"/>
      <x v="40"/>
      <x v="1"/>
      <x v="126"/>
      <x v="152"/>
      <x/>
      <x v="1"/>
    </i>
    <i r="4">
      <x v="46"/>
      <x v="46"/>
      <x/>
      <x v="125"/>
      <x v="151"/>
      <x/>
      <x v="1"/>
    </i>
    <i r="4">
      <x v="47"/>
      <x v="47"/>
      <x/>
      <x v="131"/>
      <x v="156"/>
      <x/>
      <x/>
    </i>
    <i>
      <x v="10"/>
      <x v="7"/>
      <x v="10"/>
      <x v="10"/>
      <x v="3"/>
      <x v="3"/>
      <x/>
      <x v="141"/>
      <x v="164"/>
      <x/>
      <x v="1"/>
    </i>
    <i r="4">
      <x v="4"/>
      <x v="4"/>
      <x/>
      <x v="142"/>
      <x v="165"/>
      <x/>
      <x v="1"/>
    </i>
    <i r="4">
      <x v="5"/>
      <x v="5"/>
      <x/>
      <x v="143"/>
      <x v="166"/>
      <x/>
      <x v="1"/>
    </i>
    <i r="4">
      <x v="6"/>
      <x v="6"/>
      <x v="1"/>
      <x v="10"/>
      <x v="167"/>
      <x/>
      <x v="1"/>
    </i>
    <i r="4">
      <x v="7"/>
      <x v="7"/>
      <x/>
      <x v="144"/>
      <x v="168"/>
      <x/>
      <x v="1"/>
    </i>
    <i r="4">
      <x v="9"/>
      <x v="9"/>
      <x/>
      <x v="13"/>
      <x v="99"/>
      <x/>
      <x v="1"/>
    </i>
    <i r="4">
      <x v="12"/>
      <x v="12"/>
      <x/>
      <x v="108"/>
      <x v="132"/>
      <x/>
      <x v="1"/>
    </i>
    <i r="4">
      <x v="20"/>
      <x v="20"/>
      <x/>
      <x v="64"/>
      <x v="84"/>
      <x/>
      <x v="1"/>
    </i>
    <i r="4">
      <x v="21"/>
      <x v="21"/>
      <x/>
      <x v="64"/>
      <x v="84"/>
      <x/>
      <x v="1"/>
    </i>
    <i r="4">
      <x v="23"/>
      <x v="23"/>
      <x/>
      <x v="146"/>
      <x v="169"/>
      <x/>
      <x v="1"/>
    </i>
    <i r="4">
      <x v="25"/>
      <x v="25"/>
      <x/>
      <x v="147"/>
      <x v="170"/>
      <x/>
      <x v="1"/>
    </i>
    <i r="4">
      <x v="26"/>
      <x v="26"/>
      <x/>
      <x v="13"/>
      <x v="69"/>
      <x/>
      <x v="1"/>
    </i>
    <i r="4">
      <x v="27"/>
      <x v="27"/>
      <x/>
      <x v="66"/>
      <x v="87"/>
      <x/>
      <x v="1"/>
    </i>
    <i r="4">
      <x v="28"/>
      <x v="28"/>
      <x/>
      <x v="148"/>
      <x v="171"/>
      <x/>
      <x v="1"/>
    </i>
    <i r="4">
      <x v="29"/>
      <x v="29"/>
      <x/>
      <x v="146"/>
      <x v="169"/>
      <x/>
      <x v="1"/>
    </i>
    <i r="4">
      <x v="30"/>
      <x v="30"/>
      <x/>
      <x v="149"/>
      <x v="169"/>
      <x/>
      <x v="1"/>
    </i>
    <i r="4">
      <x v="31"/>
      <x v="31"/>
      <x/>
      <x v="150"/>
      <x v="172"/>
      <x/>
      <x v="1"/>
    </i>
    <i r="4">
      <x v="32"/>
      <x v="32"/>
      <x/>
      <x v="148"/>
      <x v="171"/>
      <x/>
      <x v="1"/>
    </i>
    <i r="4">
      <x v="33"/>
      <x v="33"/>
      <x/>
      <x v="13"/>
      <x v="173"/>
      <x/>
      <x v="1"/>
    </i>
    <i r="4">
      <x v="34"/>
      <x v="34"/>
      <x/>
      <x v="108"/>
      <x v="132"/>
      <x/>
      <x v="1"/>
    </i>
    <i r="4">
      <x v="35"/>
      <x v="35"/>
      <x/>
      <x v="72"/>
      <x v="90"/>
      <x/>
      <x v="1"/>
    </i>
    <i r="4">
      <x v="36"/>
      <x v="36"/>
      <x/>
      <x v="16"/>
      <x v="18"/>
      <x/>
      <x v="1"/>
    </i>
    <i r="4">
      <x v="38"/>
      <x v="38"/>
      <x/>
      <x v="145"/>
      <x v="32"/>
      <x/>
      <x v="1"/>
    </i>
    <i r="4">
      <x v="40"/>
      <x v="40"/>
      <x/>
      <x v="140"/>
      <x v="10"/>
      <x/>
      <x/>
    </i>
    <i r="4">
      <x v="47"/>
      <x v="47"/>
      <x/>
      <x v="145"/>
      <x v="32"/>
      <x/>
      <x/>
    </i>
    <i r="4">
      <x v="48"/>
      <x v="48"/>
      <x/>
      <x v="139"/>
      <x v="163"/>
      <x/>
      <x/>
    </i>
    <i r="4">
      <x v="49"/>
      <x v="49"/>
      <x/>
      <x v="13"/>
      <x v="79"/>
      <x/>
      <x v="1"/>
    </i>
    <i>
      <x v="11"/>
      <x v="7"/>
      <x v="11"/>
      <x v="11"/>
      <x v="3"/>
      <x v="3"/>
      <x v="2"/>
      <x v="5"/>
      <x v="5"/>
      <x/>
      <x/>
    </i>
    <i r="4">
      <x v="4"/>
      <x v="4"/>
      <x/>
      <x v="106"/>
      <x v="128"/>
      <x/>
      <x v="1"/>
    </i>
    <i r="4">
      <x v="5"/>
      <x v="5"/>
      <x/>
      <x v="153"/>
      <x v="176"/>
      <x/>
      <x v="1"/>
    </i>
    <i r="4">
      <x v="6"/>
      <x v="6"/>
      <x v="2"/>
      <x v="5"/>
      <x v="5"/>
      <x/>
      <x/>
    </i>
    <i r="4">
      <x v="7"/>
      <x v="7"/>
      <x/>
      <x v="154"/>
      <x v="177"/>
      <x/>
      <x v="1"/>
    </i>
    <i r="4">
      <x v="9"/>
      <x v="9"/>
      <x/>
      <x v="13"/>
      <x v="178"/>
      <x/>
      <x v="1"/>
    </i>
    <i r="4">
      <x v="12"/>
      <x v="12"/>
      <x/>
      <x v="71"/>
      <x v="89"/>
      <x/>
      <x v="1"/>
    </i>
    <i r="4">
      <x v="20"/>
      <x v="20"/>
      <x/>
      <x v="155"/>
      <x v="179"/>
      <x/>
      <x v="1"/>
    </i>
    <i r="4">
      <x v="21"/>
      <x v="21"/>
      <x/>
      <x v="155"/>
      <x v="179"/>
      <x/>
      <x v="1"/>
    </i>
    <i r="4">
      <x v="23"/>
      <x v="23"/>
      <x/>
      <x v="157"/>
      <x v="176"/>
      <x/>
      <x v="1"/>
    </i>
    <i r="4">
      <x v="25"/>
      <x v="25"/>
      <x/>
      <x v="158"/>
      <x v="181"/>
      <x/>
      <x v="1"/>
    </i>
    <i r="4">
      <x v="26"/>
      <x v="26"/>
      <x/>
      <x v="13"/>
      <x v="182"/>
      <x/>
      <x v="1"/>
    </i>
    <i r="4">
      <x v="27"/>
      <x v="27"/>
      <x/>
      <x v="71"/>
      <x v="89"/>
      <x/>
      <x v="1"/>
    </i>
    <i r="4">
      <x v="28"/>
      <x v="28"/>
      <x/>
      <x v="159"/>
      <x v="138"/>
      <x/>
      <x v="1"/>
    </i>
    <i r="4">
      <x v="29"/>
      <x v="29"/>
      <x/>
      <x v="160"/>
      <x v="183"/>
      <x/>
      <x v="1"/>
    </i>
    <i r="4">
      <x v="30"/>
      <x v="30"/>
      <x/>
      <x v="161"/>
      <x v="176"/>
      <x/>
      <x v="1"/>
    </i>
    <i r="4">
      <x v="31"/>
      <x v="31"/>
      <x/>
      <x v="162"/>
      <x v="184"/>
      <x/>
      <x v="1"/>
    </i>
    <i r="4">
      <x v="32"/>
      <x v="32"/>
      <x/>
      <x v="35"/>
      <x v="53"/>
      <x/>
      <x v="1"/>
    </i>
    <i r="4">
      <x v="33"/>
      <x v="33"/>
      <x/>
      <x v="13"/>
      <x v="176"/>
      <x/>
      <x v="1"/>
    </i>
    <i r="4">
      <x v="34"/>
      <x v="34"/>
      <x/>
      <x v="154"/>
      <x v="185"/>
      <x/>
      <x v="1"/>
    </i>
    <i r="4">
      <x v="35"/>
      <x v="35"/>
      <x/>
      <x v="163"/>
      <x v="34"/>
      <x/>
      <x v="1"/>
    </i>
    <i r="4">
      <x v="36"/>
      <x v="36"/>
      <x/>
      <x v="154"/>
      <x v="185"/>
      <x/>
      <x v="1"/>
    </i>
    <i r="4">
      <x v="38"/>
      <x v="38"/>
      <x/>
      <x v="156"/>
      <x v="180"/>
      <x/>
      <x/>
    </i>
    <i r="4">
      <x v="40"/>
      <x v="40"/>
      <x/>
      <x v="152"/>
      <x v="175"/>
      <x/>
      <x v="1"/>
    </i>
    <i r="4">
      <x v="47"/>
      <x v="47"/>
      <x/>
      <x v="156"/>
      <x v="180"/>
      <x/>
      <x v="1"/>
    </i>
    <i r="4">
      <x v="48"/>
      <x v="48"/>
      <x/>
      <x v="151"/>
      <x v="174"/>
      <x/>
      <x/>
    </i>
    <i r="4">
      <x v="49"/>
      <x v="49"/>
      <x v="2"/>
      <x v="5"/>
      <x v="5"/>
      <x/>
      <x/>
    </i>
    <i>
      <x v="12"/>
      <x v="7"/>
      <x v="12"/>
      <x v="12"/>
      <x v="3"/>
      <x v="3"/>
      <x v="2"/>
      <x v="5"/>
      <x v="5"/>
      <x/>
      <x/>
    </i>
    <i r="4">
      <x v="4"/>
      <x v="4"/>
      <x/>
      <x v="166"/>
      <x v="188"/>
      <x/>
      <x v="1"/>
    </i>
    <i r="4">
      <x v="5"/>
      <x v="5"/>
      <x/>
      <x v="167"/>
      <x v="43"/>
      <x/>
      <x v="1"/>
    </i>
    <i r="4">
      <x v="6"/>
      <x v="6"/>
      <x/>
      <x v="168"/>
      <x v="43"/>
      <x/>
      <x v="1"/>
    </i>
    <i r="4">
      <x v="7"/>
      <x v="7"/>
      <x/>
      <x v="169"/>
      <x v="185"/>
      <x/>
      <x v="1"/>
    </i>
    <i r="4">
      <x v="9"/>
      <x v="9"/>
      <x/>
      <x v="13"/>
      <x v="190"/>
      <x/>
      <x v="1"/>
    </i>
    <i r="4">
      <x v="12"/>
      <x v="12"/>
      <x/>
      <x v="52"/>
      <x v="74"/>
      <x/>
      <x v="1"/>
    </i>
    <i r="4">
      <x v="20"/>
      <x v="20"/>
      <x/>
      <x v="170"/>
      <x v="191"/>
      <x/>
      <x v="1"/>
    </i>
    <i r="4">
      <x v="21"/>
      <x v="21"/>
      <x/>
      <x v="170"/>
      <x v="191"/>
      <x/>
      <x v="1"/>
    </i>
    <i r="4">
      <x v="23"/>
      <x v="23"/>
      <x/>
      <x v="47"/>
      <x v="56"/>
      <x/>
      <x v="1"/>
    </i>
    <i r="4">
      <x v="25"/>
      <x v="25"/>
      <x v="2"/>
      <x v="5"/>
      <x v="5"/>
      <x/>
      <x/>
    </i>
    <i r="4">
      <x v="26"/>
      <x v="26"/>
      <x/>
      <x v="13"/>
      <x v="69"/>
      <x/>
      <x v="1"/>
    </i>
    <i r="4">
      <x v="27"/>
      <x v="27"/>
      <x/>
      <x v="172"/>
      <x v="192"/>
      <x/>
      <x v="1"/>
    </i>
    <i r="4">
      <x v="28"/>
      <x v="28"/>
      <x/>
      <x v="173"/>
      <x v="193"/>
      <x/>
      <x v="1"/>
    </i>
    <i r="4">
      <x v="29"/>
      <x v="29"/>
      <x/>
      <x v="47"/>
      <x v="56"/>
      <x/>
      <x v="1"/>
    </i>
    <i r="4">
      <x v="30"/>
      <x v="30"/>
      <x/>
      <x v="49"/>
      <x v="56"/>
      <x/>
      <x v="1"/>
    </i>
    <i r="4">
      <x v="31"/>
      <x v="31"/>
      <x/>
      <x v="174"/>
      <x v="103"/>
      <x/>
      <x v="1"/>
    </i>
    <i r="4">
      <x v="32"/>
      <x v="32"/>
      <x/>
      <x v="173"/>
      <x v="193"/>
      <x/>
      <x v="1"/>
    </i>
    <i r="4">
      <x v="33"/>
      <x v="33"/>
      <x/>
      <x v="13"/>
      <x v="56"/>
      <x/>
      <x v="1"/>
    </i>
    <i r="4">
      <x v="34"/>
      <x v="34"/>
      <x/>
      <x v="85"/>
      <x v="104"/>
      <x/>
      <x v="1"/>
    </i>
    <i r="4">
      <x v="35"/>
      <x v="35"/>
      <x/>
      <x v="175"/>
      <x v="194"/>
      <x/>
      <x v="1"/>
    </i>
    <i r="4">
      <x v="36"/>
      <x v="36"/>
      <x/>
      <x v="30"/>
      <x v="44"/>
      <x/>
      <x v="1"/>
    </i>
    <i r="4">
      <x v="38"/>
      <x v="38"/>
      <x/>
      <x v="171"/>
      <x v="127"/>
      <x/>
      <x v="1"/>
    </i>
    <i r="4">
      <x v="40"/>
      <x v="40"/>
      <x/>
      <x v="165"/>
      <x v="187"/>
      <x/>
      <x/>
    </i>
    <i r="4">
      <x v="47"/>
      <x v="47"/>
      <x/>
      <x v="171"/>
      <x v="127"/>
      <x/>
      <x v="1"/>
    </i>
    <i r="4">
      <x v="48"/>
      <x v="48"/>
      <x/>
      <x v="164"/>
      <x v="186"/>
      <x/>
      <x/>
    </i>
    <i r="4">
      <x v="49"/>
      <x v="49"/>
      <x/>
      <x v="13"/>
      <x v="189"/>
      <x/>
      <x v="1"/>
    </i>
    <i>
      <x v="13"/>
      <x v="7"/>
      <x v="13"/>
      <x v="13"/>
      <x v="3"/>
      <x v="3"/>
      <x v="2"/>
      <x v="5"/>
      <x v="5"/>
      <x/>
      <x/>
    </i>
    <i r="4">
      <x v="4"/>
      <x v="4"/>
      <x/>
      <x v="178"/>
      <x v="197"/>
      <x/>
      <x v="1"/>
    </i>
    <i r="4">
      <x v="5"/>
      <x v="5"/>
      <x/>
      <x v="60"/>
      <x v="189"/>
      <x/>
      <x v="1"/>
    </i>
    <i r="4">
      <x v="6"/>
      <x v="6"/>
      <x v="3"/>
      <x v="179"/>
      <x v="189"/>
      <x/>
      <x v="1"/>
    </i>
    <i r="4">
      <x v="7"/>
      <x v="7"/>
      <x/>
      <x v="130"/>
      <x v="198"/>
      <x/>
      <x v="1"/>
    </i>
    <i r="4">
      <x v="9"/>
      <x v="9"/>
      <x/>
      <x v="13"/>
      <x v="190"/>
      <x/>
      <x v="1"/>
    </i>
    <i r="4">
      <x v="12"/>
      <x v="12"/>
      <x/>
      <x v="19"/>
      <x v="21"/>
      <x/>
      <x v="1"/>
    </i>
    <i r="4">
      <x v="20"/>
      <x v="20"/>
      <x/>
      <x v="19"/>
      <x v="21"/>
      <x/>
      <x v="1"/>
    </i>
    <i r="4">
      <x v="21"/>
      <x v="21"/>
      <x/>
      <x v="19"/>
      <x v="21"/>
      <x/>
      <x v="1"/>
    </i>
    <i r="4">
      <x v="23"/>
      <x v="23"/>
      <x/>
      <x v="47"/>
      <x v="56"/>
      <x/>
      <x v="1"/>
    </i>
    <i r="4">
      <x v="25"/>
      <x v="25"/>
      <x v="2"/>
      <x v="5"/>
      <x v="5"/>
      <x/>
      <x/>
    </i>
    <i r="4">
      <x v="26"/>
      <x v="26"/>
      <x/>
      <x v="13"/>
      <x v="69"/>
      <x/>
      <x v="1"/>
    </i>
    <i r="4">
      <x v="27"/>
      <x v="27"/>
      <x/>
      <x v="180"/>
      <x v="199"/>
      <x/>
      <x v="1"/>
    </i>
    <i r="4">
      <x v="28"/>
      <x v="28"/>
      <x/>
      <x v="82"/>
      <x v="102"/>
      <x/>
      <x v="1"/>
    </i>
    <i r="4">
      <x v="29"/>
      <x v="29"/>
      <x/>
      <x v="47"/>
      <x v="56"/>
      <x/>
      <x v="1"/>
    </i>
    <i r="4">
      <x v="30"/>
      <x v="30"/>
      <x/>
      <x v="49"/>
      <x v="56"/>
      <x/>
      <x v="1"/>
    </i>
    <i r="4">
      <x v="31"/>
      <x v="31"/>
      <x/>
      <x v="181"/>
      <x v="200"/>
      <x/>
      <x v="1"/>
    </i>
    <i r="4">
      <x v="32"/>
      <x v="32"/>
      <x/>
      <x v="82"/>
      <x v="102"/>
      <x/>
      <x v="1"/>
    </i>
    <i r="4">
      <x v="33"/>
      <x v="33"/>
      <x/>
      <x v="13"/>
      <x v="56"/>
      <x/>
      <x v="1"/>
    </i>
    <i r="4">
      <x v="34"/>
      <x v="34"/>
      <x/>
      <x v="19"/>
      <x v="21"/>
      <x/>
      <x v="1"/>
    </i>
    <i r="4">
      <x v="35"/>
      <x v="35"/>
      <x/>
      <x v="154"/>
      <x v="185"/>
      <x/>
      <x v="1"/>
    </i>
    <i r="4">
      <x v="36"/>
      <x v="36"/>
      <x/>
      <x v="182"/>
      <x v="171"/>
      <x/>
      <x v="1"/>
    </i>
    <i r="4">
      <x v="38"/>
      <x v="38"/>
      <x v="2"/>
      <x v="5"/>
      <x v="5"/>
      <x/>
      <x/>
    </i>
    <i r="4">
      <x v="40"/>
      <x v="40"/>
      <x/>
      <x v="177"/>
      <x v="196"/>
      <x/>
      <x v="1"/>
    </i>
    <i r="4">
      <x v="47"/>
      <x v="47"/>
      <x v="2"/>
      <x v="5"/>
      <x v="5"/>
      <x/>
      <x/>
    </i>
    <i r="4">
      <x v="48"/>
      <x v="48"/>
      <x/>
      <x v="176"/>
      <x v="195"/>
      <x/>
      <x/>
    </i>
    <i r="4">
      <x v="49"/>
      <x v="49"/>
      <x/>
      <x v="13"/>
      <x v="112"/>
      <x/>
      <x v="1"/>
    </i>
    <i>
      <x v="14"/>
      <x v="7"/>
      <x v="14"/>
      <x v="14"/>
      <x v="3"/>
      <x v="3"/>
      <x/>
      <x v="185"/>
      <x v="202"/>
      <x/>
      <x/>
    </i>
    <i r="4">
      <x v="4"/>
      <x v="4"/>
      <x/>
      <x v="186"/>
      <x v="203"/>
      <x/>
      <x v="1"/>
    </i>
    <i r="4">
      <x v="5"/>
      <x v="5"/>
      <x/>
      <x v="10"/>
      <x v="204"/>
      <x/>
      <x v="1"/>
    </i>
    <i r="4">
      <x v="6"/>
      <x v="6"/>
      <x v="1"/>
      <x v="10"/>
      <x v="167"/>
      <x/>
      <x v="1"/>
    </i>
    <i r="4">
      <x v="7"/>
      <x v="7"/>
      <x/>
      <x v="118"/>
      <x v="142"/>
      <x/>
      <x v="1"/>
    </i>
    <i r="4">
      <x v="9"/>
      <x v="9"/>
      <x/>
      <x v="13"/>
      <x v="99"/>
      <x/>
      <x v="1"/>
    </i>
    <i r="4">
      <x v="12"/>
      <x v="12"/>
      <x/>
      <x v="108"/>
      <x v="132"/>
      <x/>
      <x v="1"/>
    </i>
    <i r="4">
      <x v="20"/>
      <x v="20"/>
      <x/>
      <x v="46"/>
      <x v="67"/>
      <x/>
      <x v="1"/>
    </i>
    <i r="4">
      <x v="21"/>
      <x v="21"/>
      <x/>
      <x v="93"/>
      <x v="47"/>
      <x/>
      <x v="1"/>
    </i>
    <i r="4">
      <x v="23"/>
      <x v="23"/>
      <x/>
      <x v="187"/>
      <x v="62"/>
      <x/>
      <x v="1"/>
    </i>
    <i r="4">
      <x v="25"/>
      <x v="25"/>
      <x/>
      <x v="188"/>
      <x v="205"/>
      <x/>
      <x v="1"/>
    </i>
    <i r="4">
      <x v="26"/>
      <x v="26"/>
      <x/>
      <x v="13"/>
      <x v="69"/>
      <x/>
      <x v="1"/>
    </i>
    <i r="4">
      <x v="27"/>
      <x v="27"/>
      <x/>
      <x v="189"/>
      <x v="206"/>
      <x/>
      <x v="1"/>
    </i>
    <i r="4">
      <x v="28"/>
      <x v="28"/>
      <x/>
      <x v="94"/>
      <x v="80"/>
      <x/>
      <x v="1"/>
    </i>
    <i r="4">
      <x v="29"/>
      <x v="29"/>
      <x/>
      <x v="95"/>
      <x v="116"/>
      <x/>
      <x v="1"/>
    </i>
    <i r="4">
      <x v="30"/>
      <x v="30"/>
      <x/>
      <x v="44"/>
      <x v="116"/>
      <x/>
      <x v="1"/>
    </i>
    <i r="4">
      <x v="31"/>
      <x v="31"/>
      <x/>
      <x v="190"/>
      <x v="207"/>
      <x/>
      <x v="1"/>
    </i>
    <i r="4">
      <x v="32"/>
      <x v="32"/>
      <x/>
      <x v="94"/>
      <x v="80"/>
      <x/>
      <x v="1"/>
    </i>
    <i r="4">
      <x v="33"/>
      <x v="33"/>
      <x/>
      <x v="13"/>
      <x v="116"/>
      <x/>
      <x v="1"/>
    </i>
    <i r="4">
      <x v="34"/>
      <x v="34"/>
      <x/>
      <x v="108"/>
      <x v="132"/>
      <x/>
      <x v="1"/>
    </i>
    <i r="4">
      <x v="35"/>
      <x v="35"/>
      <x/>
      <x v="148"/>
      <x v="171"/>
      <x/>
      <x v="1"/>
    </i>
    <i r="4">
      <x v="36"/>
      <x v="36"/>
      <x/>
      <x v="108"/>
      <x v="132"/>
      <x/>
      <x v="1"/>
    </i>
    <i r="4">
      <x v="38"/>
      <x v="38"/>
      <x v="2"/>
      <x v="5"/>
      <x v="5"/>
      <x/>
      <x/>
    </i>
    <i r="4">
      <x v="40"/>
      <x v="40"/>
      <x/>
      <x v="184"/>
      <x v="201"/>
      <x/>
      <x v="1"/>
    </i>
    <i r="4">
      <x v="47"/>
      <x v="47"/>
      <x v="2"/>
      <x v="5"/>
      <x v="5"/>
      <x/>
      <x/>
    </i>
    <i r="4">
      <x v="48"/>
      <x v="48"/>
      <x/>
      <x v="183"/>
      <x v="162"/>
      <x/>
      <x/>
    </i>
    <i r="4">
      <x v="49"/>
      <x v="49"/>
      <x/>
      <x v="13"/>
      <x v="129"/>
      <x/>
      <x v="1"/>
    </i>
    <i>
      <x v="15"/>
      <x v="7"/>
      <x v="15"/>
      <x v="15"/>
      <x v="3"/>
      <x v="3"/>
      <x v="2"/>
      <x v="5"/>
      <x v="5"/>
      <x/>
      <x/>
    </i>
    <i r="4">
      <x v="4"/>
      <x v="4"/>
      <x/>
      <x v="193"/>
      <x v="208"/>
      <x/>
      <x v="1"/>
    </i>
    <i r="4">
      <x v="5"/>
      <x v="5"/>
      <x/>
      <x v="194"/>
      <x v="209"/>
      <x/>
      <x v="1"/>
    </i>
    <i r="4">
      <x v="6"/>
      <x v="6"/>
      <x v="2"/>
      <x v="5"/>
      <x v="5"/>
      <x/>
      <x/>
    </i>
    <i r="4">
      <x v="7"/>
      <x v="7"/>
      <x/>
      <x v="195"/>
      <x v="72"/>
      <x/>
      <x v="1"/>
    </i>
    <i r="4">
      <x v="9"/>
      <x v="9"/>
      <x/>
      <x v="13"/>
      <x v="210"/>
      <x/>
      <x v="1"/>
    </i>
    <i r="4">
      <x v="12"/>
      <x v="12"/>
      <x/>
      <x v="52"/>
      <x v="74"/>
      <x/>
      <x v="1"/>
    </i>
    <i r="4">
      <x v="20"/>
      <x v="20"/>
      <x/>
      <x v="196"/>
      <x v="211"/>
      <x/>
      <x v="1"/>
    </i>
    <i r="4">
      <x v="21"/>
      <x v="21"/>
      <x/>
      <x v="25"/>
      <x v="39"/>
      <x/>
      <x v="1"/>
    </i>
    <i r="4">
      <x v="23"/>
      <x v="23"/>
      <x/>
      <x v="81"/>
      <x v="73"/>
      <x/>
      <x v="1"/>
    </i>
    <i r="4">
      <x v="25"/>
      <x v="25"/>
      <x v="2"/>
      <x v="5"/>
      <x v="5"/>
      <x/>
      <x/>
    </i>
    <i r="4">
      <x v="26"/>
      <x v="26"/>
      <x/>
      <x v="13"/>
      <x v="115"/>
      <x/>
      <x v="1"/>
    </i>
    <i r="4">
      <x v="27"/>
      <x v="27"/>
      <x/>
      <x v="198"/>
      <x v="213"/>
      <x/>
      <x v="1"/>
    </i>
    <i r="4">
      <x v="28"/>
      <x v="28"/>
      <x/>
      <x v="163"/>
      <x v="34"/>
      <x/>
      <x v="1"/>
    </i>
    <i r="4">
      <x v="29"/>
      <x v="29"/>
      <x/>
      <x v="81"/>
      <x v="73"/>
      <x/>
      <x v="1"/>
    </i>
    <i r="4">
      <x v="30"/>
      <x v="30"/>
      <x/>
      <x v="83"/>
      <x v="73"/>
      <x/>
      <x v="1"/>
    </i>
    <i r="4">
      <x v="31"/>
      <x v="31"/>
      <x/>
      <x v="104"/>
      <x v="42"/>
      <x/>
      <x v="1"/>
    </i>
    <i r="4">
      <x v="32"/>
      <x v="32"/>
      <x/>
      <x v="154"/>
      <x v="185"/>
      <x/>
      <x v="1"/>
    </i>
    <i r="4">
      <x v="33"/>
      <x v="33"/>
      <x/>
      <x v="13"/>
      <x v="73"/>
      <x/>
      <x v="1"/>
    </i>
    <i r="4">
      <x v="34"/>
      <x v="34"/>
      <x/>
      <x v="52"/>
      <x v="74"/>
      <x/>
      <x v="1"/>
    </i>
    <i r="4">
      <x v="35"/>
      <x v="35"/>
      <x/>
      <x v="137"/>
      <x v="161"/>
      <x/>
      <x v="1"/>
    </i>
    <i r="4">
      <x v="36"/>
      <x v="36"/>
      <x/>
      <x v="137"/>
      <x v="161"/>
      <x/>
      <x v="1"/>
    </i>
    <i r="4">
      <x v="38"/>
      <x v="38"/>
      <x v="2"/>
      <x v="5"/>
      <x v="5"/>
      <x/>
      <x/>
    </i>
    <i r="4">
      <x v="40"/>
      <x v="40"/>
      <x/>
      <x v="192"/>
      <x v="56"/>
      <x/>
      <x v="1"/>
    </i>
    <i r="4">
      <x v="47"/>
      <x v="47"/>
      <x/>
      <x v="197"/>
      <x v="212"/>
      <x/>
      <x v="1"/>
    </i>
    <i r="4">
      <x v="48"/>
      <x v="48"/>
      <x/>
      <x v="191"/>
      <x v="66"/>
      <x/>
      <x/>
    </i>
    <i r="4">
      <x v="49"/>
      <x v="49"/>
      <x v="2"/>
      <x v="5"/>
      <x v="5"/>
      <x/>
      <x/>
    </i>
    <i>
      <x v="16"/>
      <x v="8"/>
      <x v="16"/>
      <x v="16"/>
      <x v="3"/>
      <x v="3"/>
      <x v="2"/>
      <x v="5"/>
      <x v="5"/>
      <x/>
      <x/>
    </i>
    <i r="4">
      <x v="4"/>
      <x v="4"/>
      <x/>
      <x v="199"/>
      <x v="215"/>
      <x/>
      <x v="1"/>
    </i>
    <i r="4">
      <x v="5"/>
      <x v="5"/>
      <x/>
      <x v="10"/>
      <x v="216"/>
      <x/>
      <x v="1"/>
    </i>
    <i r="4">
      <x v="6"/>
      <x v="6"/>
      <x v="2"/>
      <x v="5"/>
      <x v="5"/>
      <x/>
      <x/>
    </i>
    <i r="4">
      <x v="7"/>
      <x v="7"/>
      <x/>
      <x v="1"/>
      <x v="217"/>
      <x/>
      <x v="1"/>
    </i>
    <i r="4">
      <x v="23"/>
      <x v="23"/>
      <x/>
      <x v="200"/>
      <x v="218"/>
      <x/>
      <x v="1"/>
    </i>
    <i r="4">
      <x v="26"/>
      <x v="26"/>
      <x/>
      <x v="13"/>
      <x v="50"/>
      <x/>
      <x v="1"/>
    </i>
    <i r="4">
      <x v="27"/>
      <x v="27"/>
      <x/>
      <x v="30"/>
      <x v="44"/>
      <x/>
      <x v="1"/>
    </i>
    <i r="4">
      <x v="28"/>
      <x v="28"/>
      <x/>
      <x v="201"/>
      <x v="219"/>
      <x/>
      <x v="1"/>
    </i>
    <i r="4">
      <x v="29"/>
      <x v="29"/>
      <x/>
      <x v="200"/>
      <x v="218"/>
      <x/>
      <x v="1"/>
    </i>
    <i r="4">
      <x v="30"/>
      <x v="30"/>
      <x/>
      <x v="202"/>
      <x v="218"/>
      <x/>
      <x v="1"/>
    </i>
    <i r="4">
      <x v="31"/>
      <x v="31"/>
      <x/>
      <x v="203"/>
      <x v="220"/>
      <x/>
      <x v="1"/>
    </i>
    <i r="4">
      <x v="32"/>
      <x v="32"/>
      <x/>
      <x v="201"/>
      <x v="219"/>
      <x/>
      <x v="1"/>
    </i>
    <i r="4">
      <x v="33"/>
      <x v="33"/>
      <x/>
      <x v="13"/>
      <x v="221"/>
      <x/>
      <x v="1"/>
    </i>
    <i r="4">
      <x v="34"/>
      <x v="34"/>
      <x/>
      <x v="105"/>
      <x v="126"/>
      <x/>
      <x v="1"/>
    </i>
    <i r="4">
      <x v="35"/>
      <x v="35"/>
      <x/>
      <x v="204"/>
      <x v="218"/>
      <x/>
      <x v="1"/>
    </i>
    <i r="4">
      <x v="36"/>
      <x v="36"/>
      <x/>
      <x v="105"/>
      <x v="126"/>
      <x/>
      <x v="1"/>
    </i>
    <i r="4">
      <x v="40"/>
      <x v="40"/>
      <x/>
      <x v="171"/>
      <x v="214"/>
      <x/>
      <x v="1"/>
    </i>
    <i r="4">
      <x v="50"/>
      <x v="50"/>
      <x/>
      <x v="171"/>
      <x v="214"/>
      <x/>
      <x v="1"/>
    </i>
    <i>
      <x v="17"/>
      <x/>
      <x v="17"/>
      <x v="17"/>
      <x/>
      <x/>
      <x/>
      <x v="205"/>
      <x v="222"/>
      <x/>
      <x v="1"/>
    </i>
    <i r="4">
      <x v="1"/>
      <x v="1"/>
      <x/>
      <x v="205"/>
      <x v="222"/>
      <x/>
      <x v="1"/>
    </i>
    <i r="4">
      <x v="2"/>
      <x v="2"/>
      <x/>
      <x v="206"/>
      <x v="223"/>
      <x/>
      <x v="1"/>
    </i>
    <i r="4">
      <x v="3"/>
      <x v="3"/>
      <x/>
      <x v="207"/>
      <x v="224"/>
      <x/>
      <x/>
    </i>
    <i r="4">
      <x v="4"/>
      <x v="4"/>
      <x/>
      <x v="208"/>
      <x v="155"/>
      <x/>
      <x v="1"/>
    </i>
    <i r="4">
      <x v="5"/>
      <x v="5"/>
      <x/>
      <x v="209"/>
      <x v="225"/>
      <x/>
      <x v="1"/>
    </i>
    <i r="4">
      <x v="6"/>
      <x v="6"/>
      <x v="2"/>
      <x v="5"/>
      <x v="5"/>
      <x/>
      <x/>
    </i>
    <i r="4">
      <x v="7"/>
      <x v="7"/>
      <x/>
      <x v="210"/>
      <x v="226"/>
      <x/>
      <x v="1"/>
    </i>
    <i r="4">
      <x v="8"/>
      <x v="8"/>
      <x/>
      <x v="13"/>
      <x v="227"/>
      <x/>
      <x v="1"/>
    </i>
    <i r="4">
      <x v="9"/>
      <x v="9"/>
      <x/>
      <x v="13"/>
      <x v="183"/>
      <x/>
      <x v="1"/>
    </i>
    <i r="4">
      <x v="10"/>
      <x v="10"/>
      <x/>
      <x v="211"/>
      <x v="228"/>
      <x/>
      <x v="1"/>
    </i>
    <i r="4">
      <x v="11"/>
      <x v="11"/>
      <x/>
      <x v="76"/>
      <x v="94"/>
      <x/>
      <x v="1"/>
    </i>
    <i r="4">
      <x v="12"/>
      <x v="12"/>
      <x/>
      <x v="80"/>
      <x v="101"/>
      <x/>
      <x v="1"/>
    </i>
    <i r="4">
      <x v="13"/>
      <x v="13"/>
      <x/>
      <x v="13"/>
      <x v="229"/>
      <x/>
      <x v="1"/>
    </i>
    <i r="4">
      <x v="14"/>
      <x v="14"/>
      <x/>
      <x v="13"/>
      <x v="230"/>
      <x/>
      <x v="1"/>
    </i>
    <i r="4">
      <x v="15"/>
      <x v="15"/>
      <x/>
      <x v="13"/>
      <x v="231"/>
      <x/>
      <x v="1"/>
    </i>
    <i r="4">
      <x v="16"/>
      <x v="16"/>
      <x/>
      <x v="13"/>
      <x v="183"/>
      <x/>
      <x v="1"/>
    </i>
    <i r="4">
      <x v="17"/>
      <x v="17"/>
      <x/>
      <x v="13"/>
      <x v="183"/>
      <x/>
      <x v="1"/>
    </i>
    <i r="4">
      <x v="18"/>
      <x v="18"/>
      <x/>
      <x v="13"/>
      <x v="232"/>
      <x/>
      <x v="1"/>
    </i>
    <i r="4">
      <x v="19"/>
      <x v="19"/>
      <x/>
      <x v="212"/>
      <x v="183"/>
      <x/>
      <x v="1"/>
    </i>
    <i r="4">
      <x v="20"/>
      <x v="20"/>
      <x/>
      <x v="213"/>
      <x v="233"/>
      <x/>
      <x v="1"/>
    </i>
    <i r="4">
      <x v="21"/>
      <x v="21"/>
      <x/>
      <x v="214"/>
      <x v="234"/>
      <x/>
      <x v="1"/>
    </i>
    <i r="4">
      <x v="22"/>
      <x v="22"/>
      <x/>
      <x v="13"/>
      <x v="50"/>
      <x/>
      <x v="1"/>
    </i>
    <i r="4">
      <x v="23"/>
      <x v="23"/>
      <x/>
      <x v="215"/>
      <x v="235"/>
      <x/>
      <x v="1"/>
    </i>
    <i r="4">
      <x v="24"/>
      <x v="24"/>
      <x/>
      <x v="216"/>
      <x v="236"/>
      <x/>
      <x v="1"/>
    </i>
    <i r="4">
      <x v="25"/>
      <x v="25"/>
      <x/>
      <x v="216"/>
      <x v="236"/>
      <x/>
      <x v="1"/>
    </i>
    <i r="4">
      <x v="26"/>
      <x v="26"/>
      <x/>
      <x v="13"/>
      <x v="237"/>
      <x/>
      <x v="1"/>
    </i>
    <i r="4">
      <x v="27"/>
      <x v="27"/>
      <x/>
      <x v="217"/>
      <x v="238"/>
      <x/>
      <x v="1"/>
    </i>
    <i r="4">
      <x v="28"/>
      <x v="28"/>
      <x/>
      <x v="218"/>
      <x v="239"/>
      <x/>
      <x v="1"/>
    </i>
    <i r="4">
      <x v="29"/>
      <x v="29"/>
      <x/>
      <x v="215"/>
      <x v="235"/>
      <x/>
      <x v="1"/>
    </i>
    <i r="4">
      <x v="30"/>
      <x v="30"/>
      <x/>
      <x v="219"/>
      <x v="240"/>
      <x/>
      <x v="1"/>
    </i>
    <i r="4">
      <x v="31"/>
      <x v="31"/>
      <x/>
      <x v="220"/>
      <x v="91"/>
      <x/>
      <x v="1"/>
    </i>
    <i r="4">
      <x v="32"/>
      <x v="32"/>
      <x/>
      <x v="218"/>
      <x v="239"/>
      <x/>
      <x v="1"/>
    </i>
    <i r="4">
      <x v="33"/>
      <x v="33"/>
      <x/>
      <x v="13"/>
      <x v="235"/>
      <x/>
      <x v="1"/>
    </i>
    <i r="4">
      <x v="34"/>
      <x v="34"/>
      <x/>
      <x v="221"/>
      <x v="241"/>
      <x/>
      <x v="1"/>
    </i>
    <i r="4">
      <x v="35"/>
      <x v="35"/>
      <x/>
      <x v="218"/>
      <x v="239"/>
      <x/>
      <x v="1"/>
    </i>
    <i r="4">
      <x v="36"/>
      <x v="36"/>
      <x/>
      <x v="222"/>
      <x v="94"/>
      <x/>
      <x v="1"/>
    </i>
    <i>
      <x v="18"/>
      <x/>
      <x v="18"/>
      <x v="18"/>
      <x/>
      <x/>
      <x/>
      <x v="223"/>
      <x v="242"/>
      <x/>
      <x v="1"/>
    </i>
    <i r="4">
      <x v="1"/>
      <x v="1"/>
      <x/>
      <x v="223"/>
      <x v="242"/>
      <x/>
      <x v="1"/>
    </i>
    <i r="4">
      <x v="2"/>
      <x v="2"/>
      <x v="3"/>
      <x v="224"/>
      <x v="243"/>
      <x/>
      <x v="1"/>
    </i>
    <i r="4">
      <x v="3"/>
      <x v="3"/>
      <x v="1"/>
      <x v="225"/>
      <x v="4"/>
      <x/>
      <x/>
    </i>
    <i r="4">
      <x v="4"/>
      <x v="4"/>
      <x/>
      <x v="226"/>
      <x v="244"/>
      <x/>
      <x v="1"/>
    </i>
    <i r="4">
      <x v="5"/>
      <x v="5"/>
      <x/>
      <x v="227"/>
      <x v="245"/>
      <x/>
      <x v="1"/>
    </i>
    <i r="4">
      <x v="6"/>
      <x v="6"/>
      <x v="2"/>
      <x v="5"/>
      <x v="5"/>
      <x/>
      <x/>
    </i>
    <i r="4">
      <x v="7"/>
      <x v="7"/>
      <x/>
      <x v="228"/>
      <x v="162"/>
      <x/>
      <x v="1"/>
    </i>
    <i r="4">
      <x v="8"/>
      <x v="8"/>
      <x/>
      <x v="13"/>
      <x v="190"/>
      <x/>
      <x v="1"/>
    </i>
    <i r="4">
      <x v="9"/>
      <x v="9"/>
      <x/>
      <x v="13"/>
      <x v="23"/>
      <x/>
      <x v="1"/>
    </i>
    <i r="4">
      <x v="10"/>
      <x v="10"/>
      <x/>
      <x v="137"/>
      <x v="161"/>
      <x/>
      <x v="1"/>
    </i>
    <i r="4">
      <x v="11"/>
      <x v="11"/>
      <x/>
      <x v="105"/>
      <x v="126"/>
      <x/>
      <x v="1"/>
    </i>
    <i r="4">
      <x v="12"/>
      <x v="12"/>
      <x/>
      <x v="229"/>
      <x v="246"/>
      <x/>
      <x v="1"/>
    </i>
    <i r="4">
      <x v="13"/>
      <x v="13"/>
      <x/>
      <x v="13"/>
      <x v="247"/>
      <x/>
      <x v="1"/>
    </i>
    <i r="4">
      <x v="14"/>
      <x v="14"/>
      <x/>
      <x v="13"/>
      <x v="25"/>
      <x/>
      <x v="1"/>
    </i>
    <i r="4">
      <x v="15"/>
      <x v="15"/>
      <x/>
      <x v="13"/>
      <x v="27"/>
      <x/>
      <x v="1"/>
    </i>
    <i r="4">
      <x v="16"/>
      <x v="16"/>
      <x/>
      <x v="13"/>
      <x v="46"/>
      <x/>
      <x v="1"/>
    </i>
    <i r="4">
      <x v="17"/>
      <x v="17"/>
      <x/>
      <x v="13"/>
      <x v="248"/>
      <x/>
      <x v="1"/>
    </i>
    <i r="4">
      <x v="18"/>
      <x v="18"/>
      <x/>
      <x v="13"/>
      <x v="249"/>
      <x/>
      <x v="1"/>
    </i>
    <i r="4">
      <x v="19"/>
      <x v="19"/>
      <x/>
      <x v="230"/>
      <x v="250"/>
      <x/>
      <x v="1"/>
    </i>
    <i r="4">
      <x v="20"/>
      <x v="20"/>
      <x/>
      <x v="231"/>
      <x v="251"/>
      <x/>
      <x v="1"/>
    </i>
    <i r="4">
      <x v="21"/>
      <x v="21"/>
      <x/>
      <x v="231"/>
      <x v="251"/>
      <x/>
      <x v="1"/>
    </i>
    <i r="4">
      <x v="22"/>
      <x v="22"/>
      <x/>
      <x v="13"/>
      <x v="252"/>
      <x/>
      <x v="1"/>
    </i>
    <i r="4">
      <x v="23"/>
      <x v="23"/>
      <x/>
      <x v="132"/>
      <x v="157"/>
      <x/>
      <x v="1"/>
    </i>
    <i r="4">
      <x v="24"/>
      <x v="24"/>
      <x/>
      <x v="232"/>
      <x v="253"/>
      <x/>
      <x v="1"/>
    </i>
    <i r="4">
      <x v="25"/>
      <x v="25"/>
      <x/>
      <x v="232"/>
      <x v="253"/>
      <x/>
      <x v="1"/>
    </i>
    <i r="4">
      <x v="26"/>
      <x v="26"/>
      <x/>
      <x v="13"/>
      <x v="51"/>
      <x/>
      <x v="1"/>
    </i>
    <i r="4">
      <x v="27"/>
      <x v="27"/>
      <x/>
      <x v="233"/>
      <x v="254"/>
      <x/>
      <x v="1"/>
    </i>
    <i r="4">
      <x v="28"/>
      <x v="28"/>
      <x/>
      <x v="209"/>
      <x v="255"/>
      <x/>
      <x v="1"/>
    </i>
    <i r="4">
      <x v="29"/>
      <x v="29"/>
      <x/>
      <x v="32"/>
      <x v="49"/>
      <x/>
      <x v="1"/>
    </i>
    <i r="4">
      <x v="30"/>
      <x v="30"/>
      <x/>
      <x v="36"/>
      <x v="49"/>
      <x/>
      <x v="1"/>
    </i>
    <i r="4">
      <x v="31"/>
      <x v="31"/>
      <x v="1"/>
      <x v="6"/>
      <x v="256"/>
      <x/>
      <x v="1"/>
    </i>
    <i r="4">
      <x v="32"/>
      <x v="32"/>
      <x/>
      <x v="209"/>
      <x v="255"/>
      <x/>
      <x v="1"/>
    </i>
    <i r="4">
      <x v="33"/>
      <x v="33"/>
      <x/>
      <x v="13"/>
      <x v="101"/>
      <x/>
      <x v="1"/>
    </i>
    <i r="4">
      <x v="34"/>
      <x v="34"/>
      <x/>
      <x v="234"/>
      <x v="257"/>
      <x/>
      <x v="1"/>
    </i>
    <i r="4">
      <x v="35"/>
      <x v="35"/>
      <x/>
      <x v="234"/>
      <x v="257"/>
      <x/>
      <x v="1"/>
    </i>
    <i r="4">
      <x v="36"/>
      <x v="36"/>
      <x/>
      <x v="235"/>
      <x v="258"/>
      <x/>
      <x v="1"/>
    </i>
    <i>
      <x v="19"/>
      <x v="1"/>
      <x v="19"/>
      <x v="19"/>
      <x v="1"/>
      <x v="1"/>
      <x/>
      <x v="236"/>
      <x v="259"/>
      <x/>
      <x/>
    </i>
    <i r="4">
      <x v="2"/>
      <x v="2"/>
      <x v="1"/>
      <x v="236"/>
      <x v="260"/>
      <x/>
      <x v="1"/>
    </i>
    <i r="4">
      <x v="3"/>
      <x v="3"/>
      <x/>
      <x v="237"/>
      <x v="261"/>
      <x/>
      <x/>
    </i>
    <i r="4">
      <x v="4"/>
      <x v="4"/>
      <x/>
      <x v="238"/>
      <x v="75"/>
      <x/>
      <x v="1"/>
    </i>
    <i r="4">
      <x v="5"/>
      <x v="5"/>
      <x/>
      <x v="239"/>
      <x v="262"/>
      <x/>
      <x v="1"/>
    </i>
    <i r="4">
      <x v="6"/>
      <x v="6"/>
      <x v="1"/>
      <x v="240"/>
      <x v="263"/>
      <x/>
      <x v="1"/>
    </i>
    <i r="4">
      <x v="7"/>
      <x v="7"/>
      <x/>
      <x v="45"/>
      <x v="63"/>
      <x/>
      <x v="1"/>
    </i>
    <i r="4">
      <x v="8"/>
      <x v="8"/>
      <x/>
      <x v="13"/>
      <x v="264"/>
      <x/>
      <x v="1"/>
    </i>
    <i r="4">
      <x v="9"/>
      <x v="9"/>
      <x/>
      <x v="13"/>
      <x v="15"/>
      <x/>
      <x v="1"/>
    </i>
    <i r="4">
      <x v="10"/>
      <x v="10"/>
      <x/>
      <x v="15"/>
      <x v="17"/>
      <x/>
      <x v="1"/>
    </i>
    <i r="4">
      <x v="11"/>
      <x v="11"/>
      <x/>
      <x v="241"/>
      <x v="265"/>
      <x/>
      <x v="1"/>
    </i>
    <i r="4">
      <x v="12"/>
      <x v="12"/>
      <x/>
      <x v="229"/>
      <x v="246"/>
      <x/>
      <x v="1"/>
    </i>
    <i r="4">
      <x v="18"/>
      <x v="18"/>
      <x/>
      <x v="13"/>
      <x v="249"/>
      <x/>
      <x v="1"/>
    </i>
    <i r="4">
      <x v="20"/>
      <x v="20"/>
      <x/>
      <x v="242"/>
      <x v="266"/>
      <x/>
      <x v="1"/>
    </i>
    <i r="4">
      <x v="21"/>
      <x v="21"/>
      <x/>
      <x v="243"/>
      <x v="267"/>
      <x/>
      <x v="1"/>
    </i>
    <i r="4">
      <x v="22"/>
      <x v="22"/>
      <x/>
      <x v="13"/>
      <x v="268"/>
      <x/>
      <x v="1"/>
    </i>
    <i r="4">
      <x v="23"/>
      <x v="23"/>
      <x/>
      <x v="244"/>
      <x v="210"/>
      <x/>
      <x v="1"/>
    </i>
    <i r="4">
      <x v="26"/>
      <x v="26"/>
      <x/>
      <x v="13"/>
      <x v="51"/>
      <x/>
      <x v="1"/>
    </i>
    <i r="4">
      <x v="27"/>
      <x v="27"/>
      <x/>
      <x v="114"/>
      <x v="133"/>
      <x/>
      <x v="1"/>
    </i>
    <i r="4">
      <x v="28"/>
      <x v="28"/>
      <x/>
      <x v="38"/>
      <x v="55"/>
      <x/>
      <x v="1"/>
    </i>
    <i r="4">
      <x v="29"/>
      <x v="29"/>
      <x/>
      <x v="244"/>
      <x v="210"/>
      <x/>
      <x v="1"/>
    </i>
    <i r="4">
      <x v="30"/>
      <x v="30"/>
      <x/>
      <x v="245"/>
      <x v="23"/>
      <x/>
      <x v="1"/>
    </i>
    <i r="4">
      <x v="31"/>
      <x v="31"/>
      <x/>
      <x v="246"/>
      <x v="269"/>
      <x/>
      <x v="1"/>
    </i>
    <i r="4">
      <x v="32"/>
      <x v="32"/>
      <x/>
      <x v="38"/>
      <x v="55"/>
      <x/>
      <x v="1"/>
    </i>
    <i r="4">
      <x v="33"/>
      <x v="33"/>
      <x/>
      <x v="13"/>
      <x v="23"/>
      <x/>
      <x v="1"/>
    </i>
    <i r="4">
      <x v="34"/>
      <x v="34"/>
      <x/>
      <x v="30"/>
      <x v="44"/>
      <x/>
      <x v="1"/>
    </i>
    <i r="4">
      <x v="35"/>
      <x v="35"/>
      <x/>
      <x v="235"/>
      <x v="258"/>
      <x/>
      <x v="1"/>
    </i>
    <i r="4">
      <x v="36"/>
      <x v="36"/>
      <x/>
      <x v="30"/>
      <x v="44"/>
      <x/>
      <x v="1"/>
    </i>
    <i r="4">
      <x v="37"/>
      <x v="37"/>
      <x v="1"/>
      <x v="236"/>
      <x v="259"/>
      <x/>
      <x/>
    </i>
    <i r="4">
      <x v="38"/>
      <x v="38"/>
      <x v="2"/>
      <x v="5"/>
      <x v="5"/>
      <x/>
      <x/>
    </i>
    <i>
      <x v="20"/>
      <x v="2"/>
      <x v="20"/>
      <x v="20"/>
      <x v="1"/>
      <x v="1"/>
      <x/>
      <x v="248"/>
      <x v="205"/>
      <x/>
      <x v="1"/>
    </i>
    <i r="4">
      <x v="2"/>
      <x v="2"/>
      <x/>
      <x v="249"/>
      <x v="271"/>
      <x/>
      <x v="1"/>
    </i>
    <i r="4">
      <x v="3"/>
      <x v="3"/>
      <x/>
      <x v="250"/>
      <x v="205"/>
      <x/>
      <x v="1"/>
    </i>
    <i r="4">
      <x v="4"/>
      <x v="4"/>
      <x/>
      <x v="251"/>
      <x v="272"/>
      <x/>
      <x v="1"/>
    </i>
    <i r="4">
      <x v="5"/>
      <x v="5"/>
      <x/>
      <x v="252"/>
      <x v="273"/>
      <x/>
      <x v="1"/>
    </i>
    <i r="4">
      <x v="6"/>
      <x v="6"/>
      <x v="1"/>
      <x v="10"/>
      <x v="87"/>
      <x/>
      <x v="1"/>
    </i>
    <i r="4">
      <x v="7"/>
      <x v="7"/>
      <x/>
      <x v="253"/>
      <x v="274"/>
      <x/>
      <x v="1"/>
    </i>
    <i r="4">
      <x v="8"/>
      <x v="8"/>
      <x/>
      <x v="13"/>
      <x v="275"/>
      <x/>
      <x v="1"/>
    </i>
    <i r="4">
      <x v="9"/>
      <x v="9"/>
      <x/>
      <x v="13"/>
      <x v="276"/>
      <x/>
      <x v="1"/>
    </i>
    <i r="4">
      <x v="10"/>
      <x v="10"/>
      <x/>
      <x v="105"/>
      <x v="126"/>
      <x/>
      <x v="1"/>
    </i>
    <i r="4">
      <x v="11"/>
      <x v="11"/>
      <x/>
      <x v="234"/>
      <x v="257"/>
      <x/>
      <x v="1"/>
    </i>
    <i r="4">
      <x v="12"/>
      <x v="12"/>
      <x/>
      <x v="221"/>
      <x v="241"/>
      <x/>
      <x v="1"/>
    </i>
    <i r="4">
      <x v="18"/>
      <x v="18"/>
      <x/>
      <x v="13"/>
      <x v="232"/>
      <x/>
      <x v="1"/>
    </i>
    <i r="4">
      <x v="20"/>
      <x v="20"/>
      <x/>
      <x v="213"/>
      <x v="233"/>
      <x/>
      <x v="1"/>
    </i>
    <i r="4">
      <x v="21"/>
      <x v="21"/>
      <x/>
      <x v="213"/>
      <x v="233"/>
      <x/>
      <x v="1"/>
    </i>
    <i r="4">
      <x v="22"/>
      <x v="22"/>
      <x/>
      <x v="13"/>
      <x v="228"/>
      <x/>
      <x v="1"/>
    </i>
    <i r="4">
      <x v="23"/>
      <x v="23"/>
      <x/>
      <x v="254"/>
      <x v="278"/>
      <x/>
      <x v="1"/>
    </i>
    <i r="4">
      <x v="26"/>
      <x v="26"/>
      <x/>
      <x v="13"/>
      <x v="51"/>
      <x/>
      <x v="1"/>
    </i>
    <i r="4">
      <x v="27"/>
      <x v="27"/>
      <x/>
      <x v="255"/>
      <x v="279"/>
      <x/>
      <x v="1"/>
    </i>
    <i r="4">
      <x v="28"/>
      <x v="28"/>
      <x/>
      <x v="256"/>
      <x v="280"/>
      <x/>
      <x v="1"/>
    </i>
    <i r="4">
      <x v="29"/>
      <x v="29"/>
      <x/>
      <x v="254"/>
      <x v="278"/>
      <x/>
      <x v="1"/>
    </i>
    <i r="4">
      <x v="30"/>
      <x v="30"/>
      <x/>
      <x v="48"/>
      <x v="278"/>
      <x/>
      <x v="1"/>
    </i>
    <i r="4">
      <x v="31"/>
      <x v="31"/>
      <x/>
      <x v="96"/>
      <x v="117"/>
      <x/>
      <x v="1"/>
    </i>
    <i r="4">
      <x v="32"/>
      <x v="32"/>
      <x/>
      <x v="213"/>
      <x v="233"/>
      <x/>
      <x v="1"/>
    </i>
    <i r="4">
      <x v="33"/>
      <x v="33"/>
      <x/>
      <x v="13"/>
      <x v="278"/>
      <x/>
      <x v="1"/>
    </i>
    <i r="4">
      <x v="34"/>
      <x v="34"/>
      <x/>
      <x v="257"/>
      <x v="281"/>
      <x/>
      <x v="1"/>
    </i>
    <i r="4">
      <x v="35"/>
      <x v="35"/>
      <x/>
      <x v="76"/>
      <x v="94"/>
      <x/>
      <x v="1"/>
    </i>
    <i r="4">
      <x v="36"/>
      <x v="36"/>
      <x/>
      <x v="76"/>
      <x v="94"/>
      <x/>
      <x v="1"/>
    </i>
    <i r="4">
      <x v="38"/>
      <x v="38"/>
      <x v="2"/>
      <x v="5"/>
      <x v="5"/>
      <x/>
      <x/>
    </i>
    <i r="4">
      <x v="39"/>
      <x v="39"/>
      <x/>
      <x v="247"/>
      <x v="270"/>
      <x/>
      <x v="1"/>
    </i>
    <i r="4">
      <x v="40"/>
      <x v="40"/>
      <x/>
      <x v="248"/>
      <x v="205"/>
      <x/>
      <x/>
    </i>
    <i r="4">
      <x v="41"/>
      <x v="41"/>
      <x/>
      <x v="249"/>
      <x v="271"/>
      <x/>
      <x/>
    </i>
    <i r="4">
      <x v="42"/>
      <x v="42"/>
      <x/>
      <x v="13"/>
      <x v="277"/>
      <x/>
      <x v="1"/>
    </i>
    <i>
      <x v="21"/>
      <x v="3"/>
      <x v="21"/>
      <x v="21"/>
      <x v="1"/>
      <x v="1"/>
      <x/>
      <x v="258"/>
      <x v="282"/>
      <x/>
      <x v="1"/>
    </i>
    <i r="4">
      <x v="3"/>
      <x v="3"/>
      <x v="2"/>
      <x v="5"/>
      <x v="5"/>
      <x/>
      <x/>
    </i>
    <i r="4">
      <x v="4"/>
      <x v="4"/>
      <x/>
      <x v="259"/>
      <x v="283"/>
      <x/>
      <x v="1"/>
    </i>
    <i r="4">
      <x v="5"/>
      <x v="5"/>
      <x/>
      <x v="260"/>
      <x v="284"/>
      <x/>
      <x v="1"/>
    </i>
    <i r="4">
      <x v="6"/>
      <x v="6"/>
      <x v="2"/>
      <x v="5"/>
      <x v="5"/>
      <x/>
      <x/>
    </i>
    <i r="4">
      <x v="7"/>
      <x v="7"/>
      <x/>
      <x v="118"/>
      <x v="142"/>
      <x/>
      <x v="1"/>
    </i>
    <i r="4">
      <x v="8"/>
      <x v="8"/>
      <x/>
      <x v="13"/>
      <x v="285"/>
      <x/>
      <x v="1"/>
    </i>
    <i r="4">
      <x v="9"/>
      <x v="9"/>
      <x/>
      <x v="13"/>
      <x v="286"/>
      <x/>
      <x v="1"/>
    </i>
    <i r="4">
      <x v="10"/>
      <x v="10"/>
      <x/>
      <x v="30"/>
      <x v="44"/>
      <x/>
      <x v="1"/>
    </i>
    <i r="4">
      <x v="11"/>
      <x v="11"/>
      <x/>
      <x v="17"/>
      <x v="19"/>
      <x/>
      <x v="1"/>
    </i>
    <i r="4">
      <x v="12"/>
      <x v="12"/>
      <x/>
      <x v="261"/>
      <x v="287"/>
      <x/>
      <x v="1"/>
    </i>
    <i r="4">
      <x v="20"/>
      <x v="20"/>
      <x/>
      <x v="262"/>
      <x v="288"/>
      <x/>
      <x v="1"/>
    </i>
    <i r="4">
      <x v="21"/>
      <x v="21"/>
      <x/>
      <x v="263"/>
      <x v="249"/>
      <x/>
      <x v="1"/>
    </i>
    <i r="4">
      <x v="22"/>
      <x v="22"/>
      <x/>
      <x v="13"/>
      <x v="100"/>
      <x/>
      <x v="1"/>
    </i>
    <i r="4">
      <x v="23"/>
      <x v="23"/>
      <x/>
      <x v="264"/>
      <x v="289"/>
      <x/>
      <x v="1"/>
    </i>
    <i r="4">
      <x v="26"/>
      <x v="26"/>
      <x/>
      <x v="13"/>
      <x v="290"/>
      <x/>
      <x v="1"/>
    </i>
    <i r="4">
      <x v="27"/>
      <x v="27"/>
      <x/>
      <x v="265"/>
      <x v="237"/>
      <x/>
      <x v="1"/>
    </i>
    <i r="4">
      <x v="28"/>
      <x v="28"/>
      <x/>
      <x v="30"/>
      <x v="44"/>
      <x/>
      <x v="1"/>
    </i>
    <i r="4">
      <x v="29"/>
      <x v="29"/>
      <x/>
      <x v="264"/>
      <x v="289"/>
      <x/>
      <x v="1"/>
    </i>
    <i r="4">
      <x v="30"/>
      <x v="30"/>
      <x/>
      <x v="76"/>
      <x v="289"/>
      <x/>
      <x v="1"/>
    </i>
    <i r="4">
      <x v="31"/>
      <x v="31"/>
      <x/>
      <x v="266"/>
      <x v="291"/>
      <x/>
      <x v="1"/>
    </i>
    <i r="4">
      <x v="32"/>
      <x v="32"/>
      <x/>
      <x v="30"/>
      <x v="44"/>
      <x/>
      <x v="1"/>
    </i>
    <i r="4">
      <x v="33"/>
      <x v="33"/>
      <x/>
      <x v="13"/>
      <x v="289"/>
      <x/>
      <x v="1"/>
    </i>
    <i r="4">
      <x v="34"/>
      <x v="34"/>
      <x/>
      <x v="15"/>
      <x v="17"/>
      <x/>
      <x v="1"/>
    </i>
    <i r="4">
      <x v="35"/>
      <x v="35"/>
      <x/>
      <x v="15"/>
      <x v="17"/>
      <x/>
      <x v="1"/>
    </i>
    <i r="4">
      <x v="36"/>
      <x v="36"/>
      <x/>
      <x v="30"/>
      <x v="44"/>
      <x/>
      <x v="1"/>
    </i>
    <i r="4">
      <x v="38"/>
      <x v="38"/>
      <x v="2"/>
      <x v="5"/>
      <x v="5"/>
      <x/>
      <x/>
    </i>
    <i r="4">
      <x v="40"/>
      <x v="40"/>
      <x/>
      <x v="258"/>
      <x v="282"/>
      <x/>
      <x/>
    </i>
    <i r="4">
      <x v="41"/>
      <x v="41"/>
      <x/>
      <x v="258"/>
      <x v="282"/>
      <x/>
      <x/>
    </i>
    <i r="4">
      <x v="43"/>
      <x v="43"/>
      <x/>
      <x v="258"/>
      <x v="282"/>
      <x/>
      <x/>
    </i>
    <i>
      <x v="22"/>
      <x v="3"/>
      <x v="22"/>
      <x v="22"/>
      <x v="1"/>
      <x v="1"/>
      <x/>
      <x v="87"/>
      <x v="107"/>
      <x/>
      <x v="1"/>
    </i>
    <i r="4">
      <x v="3"/>
      <x v="3"/>
      <x v="2"/>
      <x v="5"/>
      <x v="5"/>
      <x/>
      <x/>
    </i>
    <i r="4">
      <x v="4"/>
      <x v="4"/>
      <x/>
      <x v="270"/>
      <x v="295"/>
      <x/>
      <x v="1"/>
    </i>
    <i r="4">
      <x v="5"/>
      <x v="5"/>
      <x/>
      <x v="271"/>
      <x v="296"/>
      <x/>
      <x v="1"/>
    </i>
    <i r="4">
      <x v="6"/>
      <x v="6"/>
      <x v="2"/>
      <x v="5"/>
      <x v="5"/>
      <x/>
      <x/>
    </i>
    <i r="4">
      <x v="7"/>
      <x v="7"/>
      <x/>
      <x v="106"/>
      <x v="297"/>
      <x/>
      <x v="1"/>
    </i>
    <i r="4">
      <x v="8"/>
      <x v="8"/>
      <x/>
      <x v="13"/>
      <x v="298"/>
      <x/>
      <x v="1"/>
    </i>
    <i r="4">
      <x v="9"/>
      <x v="9"/>
      <x/>
      <x v="13"/>
      <x v="278"/>
      <x/>
      <x v="1"/>
    </i>
    <i r="4">
      <x v="10"/>
      <x v="10"/>
      <x/>
      <x v="234"/>
      <x v="257"/>
      <x/>
      <x v="1"/>
    </i>
    <i r="4">
      <x v="11"/>
      <x v="11"/>
      <x/>
      <x v="234"/>
      <x v="257"/>
      <x/>
      <x v="1"/>
    </i>
    <i r="4">
      <x v="12"/>
      <x v="12"/>
      <x/>
      <x v="221"/>
      <x v="241"/>
      <x/>
      <x v="1"/>
    </i>
    <i r="4">
      <x v="20"/>
      <x v="20"/>
      <x/>
      <x v="272"/>
      <x v="299"/>
      <x/>
      <x v="1"/>
    </i>
    <i r="4">
      <x v="21"/>
      <x v="21"/>
      <x/>
      <x v="272"/>
      <x v="299"/>
      <x/>
      <x v="1"/>
    </i>
    <i r="4">
      <x v="22"/>
      <x v="22"/>
      <x/>
      <x v="13"/>
      <x v="100"/>
      <x/>
      <x v="1"/>
    </i>
    <i r="4">
      <x v="23"/>
      <x v="23"/>
      <x/>
      <x v="47"/>
      <x v="56"/>
      <x/>
      <x v="1"/>
    </i>
    <i r="4">
      <x v="26"/>
      <x v="26"/>
      <x/>
      <x v="13"/>
      <x v="300"/>
      <x/>
      <x v="1"/>
    </i>
    <i r="4">
      <x v="27"/>
      <x v="27"/>
      <x/>
      <x v="180"/>
      <x v="199"/>
      <x/>
      <x v="1"/>
    </i>
    <i r="4">
      <x v="28"/>
      <x v="28"/>
      <x/>
      <x v="30"/>
      <x v="44"/>
      <x/>
      <x v="1"/>
    </i>
    <i r="4">
      <x v="29"/>
      <x v="29"/>
      <x/>
      <x v="47"/>
      <x v="56"/>
      <x/>
      <x v="1"/>
    </i>
    <i r="4">
      <x v="30"/>
      <x v="30"/>
      <x/>
      <x v="49"/>
      <x v="56"/>
      <x/>
      <x v="1"/>
    </i>
    <i r="4">
      <x v="31"/>
      <x v="31"/>
      <x/>
      <x v="220"/>
      <x v="91"/>
      <x/>
      <x v="1"/>
    </i>
    <i r="4">
      <x v="32"/>
      <x v="32"/>
      <x/>
      <x v="30"/>
      <x v="44"/>
      <x/>
      <x v="1"/>
    </i>
    <i r="4">
      <x v="33"/>
      <x v="33"/>
      <x/>
      <x v="13"/>
      <x v="56"/>
      <x/>
      <x v="1"/>
    </i>
    <i r="4">
      <x v="34"/>
      <x v="34"/>
      <x/>
      <x v="221"/>
      <x v="241"/>
      <x/>
      <x v="1"/>
    </i>
    <i r="4">
      <x v="35"/>
      <x v="35"/>
      <x/>
      <x v="30"/>
      <x v="44"/>
      <x/>
      <x v="1"/>
    </i>
    <i r="4">
      <x v="36"/>
      <x v="36"/>
      <x/>
      <x v="234"/>
      <x v="257"/>
      <x/>
      <x v="1"/>
    </i>
    <i r="4">
      <x v="38"/>
      <x v="38"/>
      <x v="2"/>
      <x v="5"/>
      <x v="5"/>
      <x/>
      <x/>
    </i>
    <i r="4">
      <x v="40"/>
      <x v="40"/>
      <x/>
      <x v="268"/>
      <x v="293"/>
      <x/>
      <x v="1"/>
    </i>
    <i r="4">
      <x v="41"/>
      <x v="41"/>
      <x/>
      <x v="269"/>
      <x v="294"/>
      <x/>
      <x/>
    </i>
    <i r="4">
      <x v="43"/>
      <x v="43"/>
      <x/>
      <x v="267"/>
      <x v="292"/>
      <x/>
      <x v="1"/>
    </i>
    <i>
      <x v="23"/>
      <x v="4"/>
      <x v="23"/>
      <x v="23"/>
      <x v="3"/>
      <x v="3"/>
      <x v="2"/>
      <x v="5"/>
      <x v="5"/>
      <x/>
      <x/>
    </i>
    <i r="4">
      <x v="4"/>
      <x v="4"/>
      <x/>
      <x v="117"/>
      <x v="148"/>
      <x/>
      <x v="1"/>
    </i>
    <i r="4">
      <x v="5"/>
      <x v="5"/>
      <x/>
      <x v="30"/>
      <x v="302"/>
      <x/>
      <x v="1"/>
    </i>
    <i r="4">
      <x v="6"/>
      <x v="6"/>
      <x v="2"/>
      <x v="5"/>
      <x v="5"/>
      <x/>
      <x/>
    </i>
    <i r="4">
      <x v="7"/>
      <x v="7"/>
      <x/>
      <x v="154"/>
      <x v="177"/>
      <x/>
      <x v="1"/>
    </i>
    <i r="4">
      <x v="9"/>
      <x v="9"/>
      <x/>
      <x v="13"/>
      <x v="15"/>
      <x/>
      <x v="1"/>
    </i>
    <i r="4">
      <x v="12"/>
      <x v="12"/>
      <x/>
      <x v="274"/>
      <x v="303"/>
      <x/>
      <x v="1"/>
    </i>
    <i r="4">
      <x v="20"/>
      <x v="20"/>
      <x/>
      <x v="275"/>
      <x v="304"/>
      <x/>
      <x v="1"/>
    </i>
    <i r="4">
      <x v="21"/>
      <x v="21"/>
      <x/>
      <x v="275"/>
      <x v="304"/>
      <x/>
      <x v="1"/>
    </i>
    <i r="4">
      <x v="23"/>
      <x v="23"/>
      <x/>
      <x v="47"/>
      <x v="56"/>
      <x/>
      <x v="1"/>
    </i>
    <i r="4">
      <x v="24"/>
      <x v="24"/>
      <x/>
      <x v="72"/>
      <x v="90"/>
      <x/>
      <x v="1"/>
    </i>
    <i r="4">
      <x v="25"/>
      <x v="25"/>
      <x/>
      <x v="72"/>
      <x v="90"/>
      <x/>
      <x v="1"/>
    </i>
    <i r="4">
      <x v="26"/>
      <x v="26"/>
      <x/>
      <x v="13"/>
      <x v="115"/>
      <x/>
      <x v="1"/>
    </i>
    <i r="4">
      <x v="27"/>
      <x v="27"/>
      <x/>
      <x v="80"/>
      <x v="101"/>
      <x/>
      <x v="1"/>
    </i>
    <i r="4">
      <x v="28"/>
      <x v="28"/>
      <x/>
      <x v="30"/>
      <x v="44"/>
      <x/>
      <x v="1"/>
    </i>
    <i r="4">
      <x v="29"/>
      <x v="29"/>
      <x/>
      <x v="47"/>
      <x v="56"/>
      <x/>
      <x v="1"/>
    </i>
    <i r="4">
      <x v="30"/>
      <x v="30"/>
      <x/>
      <x v="49"/>
      <x v="56"/>
      <x/>
      <x v="1"/>
    </i>
    <i r="4">
      <x v="31"/>
      <x v="31"/>
      <x/>
      <x v="220"/>
      <x v="91"/>
      <x/>
      <x v="1"/>
    </i>
    <i r="4">
      <x v="32"/>
      <x v="32"/>
      <x/>
      <x v="30"/>
      <x v="44"/>
      <x/>
      <x v="1"/>
    </i>
    <i r="4">
      <x v="33"/>
      <x v="33"/>
      <x/>
      <x v="13"/>
      <x v="56"/>
      <x/>
      <x v="1"/>
    </i>
    <i r="4">
      <x v="34"/>
      <x v="34"/>
      <x/>
      <x v="274"/>
      <x v="303"/>
      <x/>
      <x v="1"/>
    </i>
    <i r="4">
      <x v="35"/>
      <x v="35"/>
      <x/>
      <x v="275"/>
      <x v="304"/>
      <x/>
      <x v="1"/>
    </i>
    <i r="4">
      <x v="36"/>
      <x v="36"/>
      <x/>
      <x v="234"/>
      <x v="257"/>
      <x/>
      <x v="1"/>
    </i>
    <i r="4">
      <x v="44"/>
      <x v="44"/>
      <x/>
      <x v="273"/>
      <x v="301"/>
      <x/>
      <x v="1"/>
    </i>
    <i>
      <x v="24"/>
      <x v="5"/>
      <x v="24"/>
      <x v="24"/>
      <x v="3"/>
      <x v="3"/>
      <x v="2"/>
      <x v="5"/>
      <x v="5"/>
      <x/>
      <x/>
    </i>
    <i r="4">
      <x v="4"/>
      <x v="4"/>
      <x/>
      <x v="276"/>
      <x v="28"/>
      <x/>
      <x v="1"/>
    </i>
    <i r="4">
      <x v="5"/>
      <x v="5"/>
      <x/>
      <x v="277"/>
      <x v="127"/>
      <x/>
      <x v="1"/>
    </i>
    <i r="4">
      <x v="6"/>
      <x v="6"/>
      <x v="2"/>
      <x v="5"/>
      <x v="5"/>
      <x/>
      <x/>
    </i>
    <i r="4">
      <x v="7"/>
      <x v="7"/>
      <x/>
      <x v="130"/>
      <x v="306"/>
      <x/>
      <x v="1"/>
    </i>
    <i r="4">
      <x v="9"/>
      <x v="9"/>
      <x/>
      <x v="13"/>
      <x v="307"/>
      <x/>
      <x v="1"/>
    </i>
    <i r="4">
      <x v="12"/>
      <x v="12"/>
      <x/>
      <x v="63"/>
      <x v="83"/>
      <x/>
      <x v="1"/>
    </i>
    <i r="4">
      <x v="20"/>
      <x v="20"/>
      <x/>
      <x v="278"/>
      <x v="308"/>
      <x/>
      <x v="1"/>
    </i>
    <i r="4">
      <x v="21"/>
      <x v="21"/>
      <x/>
      <x v="278"/>
      <x v="308"/>
      <x/>
      <x v="1"/>
    </i>
    <i r="4">
      <x v="23"/>
      <x v="23"/>
      <x/>
      <x v="65"/>
      <x v="86"/>
      <x/>
      <x v="1"/>
    </i>
    <i r="4">
      <x v="24"/>
      <x v="24"/>
      <x/>
      <x v="257"/>
      <x v="281"/>
      <x/>
      <x v="1"/>
    </i>
    <i r="4">
      <x v="25"/>
      <x v="25"/>
      <x/>
      <x v="257"/>
      <x v="281"/>
      <x/>
      <x v="1"/>
    </i>
    <i r="4">
      <x v="26"/>
      <x v="26"/>
      <x/>
      <x v="13"/>
      <x v="309"/>
      <x/>
      <x v="1"/>
    </i>
    <i r="4">
      <x v="27"/>
      <x v="27"/>
      <x/>
      <x v="279"/>
      <x v="310"/>
      <x/>
      <x v="1"/>
    </i>
    <i r="4">
      <x v="28"/>
      <x v="28"/>
      <x/>
      <x v="147"/>
      <x v="170"/>
      <x/>
      <x v="1"/>
    </i>
    <i r="4">
      <x v="29"/>
      <x v="29"/>
      <x/>
      <x v="81"/>
      <x v="73"/>
      <x/>
      <x v="1"/>
    </i>
    <i r="4">
      <x v="30"/>
      <x v="30"/>
      <x/>
      <x v="83"/>
      <x v="73"/>
      <x/>
      <x v="1"/>
    </i>
    <i r="4">
      <x v="31"/>
      <x v="31"/>
      <x/>
      <x v="266"/>
      <x v="291"/>
      <x/>
      <x v="1"/>
    </i>
    <i r="4">
      <x v="32"/>
      <x v="32"/>
      <x/>
      <x v="147"/>
      <x v="170"/>
      <x/>
      <x v="1"/>
    </i>
    <i r="4">
      <x v="33"/>
      <x v="33"/>
      <x/>
      <x v="13"/>
      <x v="73"/>
      <x/>
      <x v="1"/>
    </i>
    <i r="4">
      <x v="34"/>
      <x v="34"/>
      <x/>
      <x v="85"/>
      <x v="104"/>
      <x/>
      <x v="1"/>
    </i>
    <i r="4">
      <x v="35"/>
      <x v="35"/>
      <x/>
      <x v="105"/>
      <x v="126"/>
      <x/>
      <x v="1"/>
    </i>
    <i r="4">
      <x v="36"/>
      <x v="36"/>
      <x/>
      <x v="15"/>
      <x v="17"/>
      <x/>
      <x v="1"/>
    </i>
    <i r="4">
      <x v="45"/>
      <x v="45"/>
      <x/>
      <x v="133"/>
      <x v="305"/>
      <x/>
      <x v="1"/>
    </i>
    <i>
      <x v="25"/>
      <x v="6"/>
      <x v="25"/>
      <x v="25"/>
      <x v="3"/>
      <x v="3"/>
      <x v="2"/>
      <x v="5"/>
      <x v="5"/>
      <x/>
      <x/>
    </i>
    <i r="4">
      <x v="4"/>
      <x v="4"/>
      <x/>
      <x v="282"/>
      <x v="313"/>
      <x/>
      <x v="1"/>
    </i>
    <i r="4">
      <x v="5"/>
      <x v="5"/>
      <x/>
      <x v="283"/>
      <x v="314"/>
      <x/>
      <x v="1"/>
    </i>
    <i r="4">
      <x v="6"/>
      <x v="6"/>
      <x v="2"/>
      <x v="5"/>
      <x v="5"/>
      <x/>
      <x/>
    </i>
    <i r="4">
      <x v="7"/>
      <x v="7"/>
      <x/>
      <x v="284"/>
      <x v="315"/>
      <x/>
      <x v="1"/>
    </i>
    <i r="4">
      <x v="9"/>
      <x v="9"/>
      <x/>
      <x v="13"/>
      <x v="316"/>
      <x/>
      <x v="1"/>
    </i>
    <i r="4">
      <x v="12"/>
      <x v="12"/>
      <x/>
      <x v="285"/>
      <x v="317"/>
      <x/>
      <x v="1"/>
    </i>
    <i r="4">
      <x v="20"/>
      <x v="20"/>
      <x/>
      <x v="272"/>
      <x v="299"/>
      <x/>
      <x v="1"/>
    </i>
    <i r="4">
      <x v="21"/>
      <x v="21"/>
      <x/>
      <x v="278"/>
      <x v="308"/>
      <x/>
      <x v="1"/>
    </i>
    <i r="4">
      <x v="23"/>
      <x v="23"/>
      <x/>
      <x v="287"/>
      <x v="319"/>
      <x/>
      <x v="1"/>
    </i>
    <i r="4">
      <x v="25"/>
      <x v="25"/>
      <x/>
      <x v="288"/>
      <x v="220"/>
      <x/>
      <x v="1"/>
    </i>
    <i r="4">
      <x v="26"/>
      <x v="26"/>
      <x/>
      <x v="13"/>
      <x v="320"/>
      <x/>
      <x v="1"/>
    </i>
    <i r="4">
      <x v="27"/>
      <x v="27"/>
      <x/>
      <x v="30"/>
      <x v="44"/>
      <x/>
      <x v="1"/>
    </i>
    <i r="4">
      <x v="28"/>
      <x v="28"/>
      <x/>
      <x v="30"/>
      <x v="44"/>
      <x/>
      <x v="1"/>
    </i>
    <i r="4">
      <x v="29"/>
      <x v="29"/>
      <x/>
      <x v="287"/>
      <x v="319"/>
      <x/>
      <x v="1"/>
    </i>
    <i r="4">
      <x v="30"/>
      <x v="30"/>
      <x/>
      <x v="241"/>
      <x v="319"/>
      <x/>
      <x v="1"/>
    </i>
    <i r="4">
      <x v="31"/>
      <x v="31"/>
      <x/>
      <x v="220"/>
      <x v="91"/>
      <x/>
      <x v="1"/>
    </i>
    <i r="4">
      <x v="32"/>
      <x v="32"/>
      <x/>
      <x v="30"/>
      <x v="44"/>
      <x/>
      <x v="1"/>
    </i>
    <i r="4">
      <x v="33"/>
      <x v="33"/>
      <x/>
      <x v="13"/>
      <x v="319"/>
      <x/>
      <x v="1"/>
    </i>
    <i r="4">
      <x v="34"/>
      <x v="34"/>
      <x/>
      <x v="274"/>
      <x v="303"/>
      <x/>
      <x v="1"/>
    </i>
    <i r="4">
      <x v="35"/>
      <x v="35"/>
      <x/>
      <x v="30"/>
      <x v="44"/>
      <x/>
      <x v="1"/>
    </i>
    <i r="4">
      <x v="36"/>
      <x v="36"/>
      <x/>
      <x v="30"/>
      <x v="44"/>
      <x/>
      <x v="1"/>
    </i>
    <i r="4">
      <x v="38"/>
      <x v="38"/>
      <x/>
      <x v="286"/>
      <x v="318"/>
      <x/>
      <x/>
    </i>
    <i r="4">
      <x v="40"/>
      <x v="40"/>
      <x/>
      <x v="281"/>
      <x v="312"/>
      <x/>
      <x v="1"/>
    </i>
    <i r="4">
      <x v="46"/>
      <x v="46"/>
      <x/>
      <x v="280"/>
      <x v="311"/>
      <x/>
      <x v="1"/>
    </i>
    <i r="4">
      <x v="47"/>
      <x v="47"/>
      <x/>
      <x v="286"/>
      <x v="318"/>
      <x/>
      <x v="1"/>
    </i>
    <i>
      <x v="26"/>
      <x v="6"/>
      <x v="26"/>
      <x v="26"/>
      <x v="3"/>
      <x v="3"/>
      <x v="2"/>
      <x v="5"/>
      <x v="5"/>
      <x/>
      <x/>
    </i>
    <i r="4">
      <x v="4"/>
      <x v="4"/>
      <x/>
      <x v="290"/>
      <x v="323"/>
      <x/>
      <x v="1"/>
    </i>
    <i r="4">
      <x v="5"/>
      <x v="5"/>
      <x/>
      <x v="15"/>
      <x v="324"/>
      <x/>
      <x v="1"/>
    </i>
    <i r="4">
      <x v="6"/>
      <x v="6"/>
      <x v="2"/>
      <x v="5"/>
      <x v="5"/>
      <x/>
      <x/>
    </i>
    <i r="4">
      <x v="7"/>
      <x v="7"/>
      <x/>
      <x v="253"/>
      <x v="274"/>
      <x/>
      <x v="1"/>
    </i>
    <i r="4">
      <x v="9"/>
      <x v="9"/>
      <x/>
      <x v="13"/>
      <x v="316"/>
      <x/>
      <x v="1"/>
    </i>
    <i r="4">
      <x v="12"/>
      <x v="12"/>
      <x/>
      <x v="274"/>
      <x v="303"/>
      <x/>
      <x v="1"/>
    </i>
    <i r="4">
      <x v="20"/>
      <x v="20"/>
      <x/>
      <x v="275"/>
      <x v="304"/>
      <x/>
      <x v="1"/>
    </i>
    <i r="4">
      <x v="21"/>
      <x v="21"/>
      <x/>
      <x v="275"/>
      <x v="304"/>
      <x/>
      <x v="1"/>
    </i>
    <i r="4">
      <x v="23"/>
      <x v="23"/>
      <x/>
      <x v="292"/>
      <x v="326"/>
      <x/>
      <x v="1"/>
    </i>
    <i r="4">
      <x v="25"/>
      <x v="25"/>
      <x v="2"/>
      <x v="5"/>
      <x v="5"/>
      <x/>
      <x/>
    </i>
    <i r="4">
      <x v="26"/>
      <x v="26"/>
      <x/>
      <x v="13"/>
      <x v="327"/>
      <x/>
      <x v="1"/>
    </i>
    <i r="4">
      <x v="27"/>
      <x v="27"/>
      <x/>
      <x v="293"/>
      <x v="328"/>
      <x/>
      <x v="1"/>
    </i>
    <i r="4">
      <x v="28"/>
      <x v="28"/>
      <x/>
      <x v="15"/>
      <x v="17"/>
      <x/>
      <x v="1"/>
    </i>
    <i r="4">
      <x v="29"/>
      <x v="29"/>
      <x/>
      <x v="294"/>
      <x v="329"/>
      <x/>
      <x v="1"/>
    </i>
    <i r="4">
      <x v="30"/>
      <x v="30"/>
      <x/>
      <x v="295"/>
      <x v="326"/>
      <x/>
      <x v="1"/>
    </i>
    <i r="4">
      <x v="31"/>
      <x v="31"/>
      <x/>
      <x v="220"/>
      <x v="330"/>
      <x/>
      <x v="1"/>
    </i>
    <i r="4">
      <x v="32"/>
      <x v="32"/>
      <x/>
      <x v="15"/>
      <x v="17"/>
      <x/>
      <x v="1"/>
    </i>
    <i r="4">
      <x v="33"/>
      <x v="33"/>
      <x/>
      <x v="13"/>
      <x v="326"/>
      <x/>
      <x v="1"/>
    </i>
    <i r="4">
      <x v="34"/>
      <x v="34"/>
      <x/>
      <x v="296"/>
      <x v="331"/>
      <x/>
      <x v="1"/>
    </i>
    <i r="4">
      <x v="35"/>
      <x v="35"/>
      <x/>
      <x v="275"/>
      <x v="304"/>
      <x/>
      <x v="1"/>
    </i>
    <i r="4">
      <x v="36"/>
      <x v="36"/>
      <x/>
      <x v="105"/>
      <x v="126"/>
      <x/>
      <x v="1"/>
    </i>
    <i r="4">
      <x v="38"/>
      <x v="38"/>
      <x v="2"/>
      <x v="5"/>
      <x v="5"/>
      <x/>
      <x/>
    </i>
    <i r="4">
      <x v="40"/>
      <x v="40"/>
      <x/>
      <x v="131"/>
      <x v="322"/>
      <x/>
      <x v="1"/>
    </i>
    <i r="4">
      <x v="46"/>
      <x v="46"/>
      <x/>
      <x v="289"/>
      <x v="321"/>
      <x/>
      <x v="1"/>
    </i>
    <i r="4">
      <x v="47"/>
      <x v="47"/>
      <x/>
      <x v="291"/>
      <x v="325"/>
      <x/>
      <x v="1"/>
    </i>
    <i>
      <x v="27"/>
      <x v="6"/>
      <x v="27"/>
      <x v="27"/>
      <x v="3"/>
      <x v="3"/>
      <x v="2"/>
      <x v="5"/>
      <x v="5"/>
      <x/>
      <x/>
    </i>
    <i r="4">
      <x v="4"/>
      <x v="4"/>
      <x/>
      <x v="236"/>
      <x v="332"/>
      <x/>
      <x v="1"/>
    </i>
    <i r="4">
      <x v="5"/>
      <x v="5"/>
      <x/>
      <x v="298"/>
      <x v="333"/>
      <x/>
      <x v="1"/>
    </i>
    <i r="4">
      <x v="6"/>
      <x v="6"/>
      <x v="2"/>
      <x v="5"/>
      <x v="5"/>
      <x/>
      <x/>
    </i>
    <i r="4">
      <x v="7"/>
      <x v="7"/>
      <x/>
      <x v="299"/>
      <x v="334"/>
      <x/>
      <x v="1"/>
    </i>
    <i r="4">
      <x v="9"/>
      <x v="9"/>
      <x/>
      <x v="13"/>
      <x v="276"/>
      <x/>
      <x v="1"/>
    </i>
    <i r="4">
      <x v="12"/>
      <x v="12"/>
      <x/>
      <x v="219"/>
      <x v="335"/>
      <x/>
      <x v="1"/>
    </i>
    <i r="4">
      <x v="20"/>
      <x v="20"/>
      <x/>
      <x v="300"/>
      <x v="336"/>
      <x/>
      <x v="1"/>
    </i>
    <i r="4">
      <x v="21"/>
      <x v="21"/>
      <x/>
      <x v="300"/>
      <x v="336"/>
      <x/>
      <x v="1"/>
    </i>
    <i r="4">
      <x v="23"/>
      <x v="23"/>
      <x/>
      <x v="302"/>
      <x v="338"/>
      <x/>
      <x v="1"/>
    </i>
    <i r="4">
      <x v="25"/>
      <x v="25"/>
      <x v="2"/>
      <x v="5"/>
      <x v="5"/>
      <x/>
      <x/>
    </i>
    <i r="4">
      <x v="26"/>
      <x v="26"/>
      <x/>
      <x v="13"/>
      <x v="243"/>
      <x/>
      <x v="1"/>
    </i>
    <i r="4">
      <x v="27"/>
      <x v="27"/>
      <x/>
      <x v="219"/>
      <x v="335"/>
      <x/>
      <x v="1"/>
    </i>
    <i r="4">
      <x v="28"/>
      <x v="28"/>
      <x/>
      <x v="303"/>
      <x v="339"/>
      <x/>
      <x v="1"/>
    </i>
    <i r="4">
      <x v="29"/>
      <x v="29"/>
      <x/>
      <x v="302"/>
      <x v="338"/>
      <x/>
      <x v="1"/>
    </i>
    <i r="4">
      <x v="30"/>
      <x v="30"/>
      <x/>
      <x v="304"/>
      <x v="92"/>
      <x/>
      <x v="1"/>
    </i>
    <i r="4">
      <x v="31"/>
      <x v="31"/>
      <x/>
      <x v="305"/>
      <x v="330"/>
      <x/>
      <x v="1"/>
    </i>
    <i r="4">
      <x v="32"/>
      <x v="32"/>
      <x/>
      <x v="303"/>
      <x v="339"/>
      <x/>
      <x v="1"/>
    </i>
    <i r="4">
      <x v="33"/>
      <x v="33"/>
      <x/>
      <x v="13"/>
      <x v="338"/>
      <x/>
      <x v="1"/>
    </i>
    <i r="4">
      <x v="34"/>
      <x v="34"/>
      <x/>
      <x v="219"/>
      <x v="335"/>
      <x/>
      <x v="1"/>
    </i>
    <i r="4">
      <x v="35"/>
      <x v="35"/>
      <x/>
      <x v="303"/>
      <x v="339"/>
      <x/>
      <x v="1"/>
    </i>
    <i r="4">
      <x v="36"/>
      <x v="36"/>
      <x/>
      <x v="219"/>
      <x v="335"/>
      <x/>
      <x v="1"/>
    </i>
    <i r="4">
      <x v="38"/>
      <x v="38"/>
      <x/>
      <x v="301"/>
      <x v="337"/>
      <x/>
      <x v="1"/>
    </i>
    <i r="4">
      <x v="40"/>
      <x v="40"/>
      <x/>
      <x v="297"/>
      <x v="266"/>
      <x/>
      <x v="1"/>
    </i>
    <i r="4">
      <x v="46"/>
      <x v="46"/>
      <x/>
      <x v="297"/>
      <x v="266"/>
      <x/>
      <x v="1"/>
    </i>
    <i r="4">
      <x v="47"/>
      <x v="47"/>
      <x/>
      <x v="301"/>
      <x v="337"/>
      <x/>
      <x v="1"/>
    </i>
    <i>
      <x v="28"/>
      <x v="7"/>
      <x v="28"/>
      <x v="28"/>
      <x v="3"/>
      <x v="3"/>
      <x/>
      <x v="308"/>
      <x v="342"/>
      <x/>
      <x/>
    </i>
    <i r="4">
      <x v="4"/>
      <x v="4"/>
      <x/>
      <x v="71"/>
      <x v="89"/>
      <x/>
      <x v="1"/>
    </i>
    <i r="4">
      <x v="5"/>
      <x v="5"/>
      <x/>
      <x v="274"/>
      <x v="282"/>
      <x/>
      <x v="1"/>
    </i>
    <i r="4">
      <x v="6"/>
      <x v="6"/>
      <x v="1"/>
      <x v="10"/>
      <x v="87"/>
      <x/>
      <x v="1"/>
    </i>
    <i r="4">
      <x v="7"/>
      <x v="7"/>
      <x/>
      <x v="253"/>
      <x v="274"/>
      <x/>
      <x v="1"/>
    </i>
    <i r="4">
      <x v="9"/>
      <x v="9"/>
      <x/>
      <x v="13"/>
      <x v="344"/>
      <x/>
      <x v="1"/>
    </i>
    <i r="4">
      <x v="12"/>
      <x v="12"/>
      <x/>
      <x v="221"/>
      <x v="241"/>
      <x/>
      <x v="1"/>
    </i>
    <i r="4">
      <x v="20"/>
      <x v="20"/>
      <x/>
      <x v="309"/>
      <x v="345"/>
      <x/>
      <x v="1"/>
    </i>
    <i r="4">
      <x v="21"/>
      <x v="21"/>
      <x/>
      <x v="309"/>
      <x v="345"/>
      <x/>
      <x v="1"/>
    </i>
    <i r="4">
      <x v="23"/>
      <x v="23"/>
      <x/>
      <x v="95"/>
      <x v="116"/>
      <x/>
      <x v="1"/>
    </i>
    <i r="4">
      <x v="25"/>
      <x v="25"/>
      <x v="2"/>
      <x v="5"/>
      <x v="5"/>
      <x/>
      <x/>
    </i>
    <i r="4">
      <x v="26"/>
      <x v="26"/>
      <x/>
      <x v="13"/>
      <x v="110"/>
      <x/>
      <x v="1"/>
    </i>
    <i r="4">
      <x v="27"/>
      <x v="27"/>
      <x/>
      <x v="255"/>
      <x v="279"/>
      <x/>
      <x v="1"/>
    </i>
    <i r="4">
      <x v="28"/>
      <x v="28"/>
      <x/>
      <x v="15"/>
      <x v="17"/>
      <x/>
      <x v="1"/>
    </i>
    <i r="4">
      <x v="29"/>
      <x v="29"/>
      <x/>
      <x v="95"/>
      <x v="116"/>
      <x/>
      <x v="1"/>
    </i>
    <i r="4">
      <x v="30"/>
      <x v="30"/>
      <x/>
      <x v="44"/>
      <x v="116"/>
      <x/>
      <x v="1"/>
    </i>
    <i r="4">
      <x v="31"/>
      <x v="31"/>
      <x/>
      <x v="96"/>
      <x v="117"/>
      <x/>
      <x v="1"/>
    </i>
    <i r="4">
      <x v="32"/>
      <x v="32"/>
      <x/>
      <x v="15"/>
      <x v="17"/>
      <x/>
      <x v="1"/>
    </i>
    <i r="4">
      <x v="33"/>
      <x v="33"/>
      <x/>
      <x v="13"/>
      <x v="347"/>
      <x/>
      <x v="1"/>
    </i>
    <i r="4">
      <x v="34"/>
      <x v="34"/>
      <x/>
      <x v="221"/>
      <x v="241"/>
      <x/>
      <x v="1"/>
    </i>
    <i r="4">
      <x v="35"/>
      <x v="35"/>
      <x/>
      <x v="272"/>
      <x v="299"/>
      <x/>
      <x v="1"/>
    </i>
    <i r="4">
      <x v="36"/>
      <x v="36"/>
      <x/>
      <x v="234"/>
      <x v="257"/>
      <x/>
      <x v="1"/>
    </i>
    <i r="4">
      <x v="38"/>
      <x v="38"/>
      <x v="2"/>
      <x v="5"/>
      <x v="5"/>
      <x/>
      <x/>
    </i>
    <i r="4">
      <x v="40"/>
      <x v="40"/>
      <x/>
      <x v="307"/>
      <x v="341"/>
      <x/>
      <x v="1"/>
    </i>
    <i r="4">
      <x v="47"/>
      <x v="47"/>
      <x/>
      <x v="310"/>
      <x v="346"/>
      <x/>
      <x v="1"/>
    </i>
    <i r="4">
      <x v="48"/>
      <x v="48"/>
      <x/>
      <x v="306"/>
      <x v="340"/>
      <x/>
      <x v="1"/>
    </i>
    <i r="4">
      <x v="49"/>
      <x v="49"/>
      <x/>
      <x v="13"/>
      <x v="343"/>
      <x/>
      <x v="1"/>
    </i>
    <i>
      <x v="29"/>
      <x v="7"/>
      <x v="29"/>
      <x v="29"/>
      <x v="3"/>
      <x v="3"/>
      <x/>
      <x v="237"/>
      <x v="261"/>
      <x/>
      <x v="1"/>
    </i>
    <i r="4">
      <x v="4"/>
      <x v="4"/>
      <x/>
      <x v="312"/>
      <x v="350"/>
      <x/>
      <x v="1"/>
    </i>
    <i r="4">
      <x v="5"/>
      <x v="5"/>
      <x/>
      <x v="313"/>
      <x v="351"/>
      <x/>
      <x v="1"/>
    </i>
    <i r="4">
      <x v="6"/>
      <x v="6"/>
      <x v="1"/>
      <x v="10"/>
      <x v="351"/>
      <x/>
      <x v="1"/>
    </i>
    <i r="4">
      <x v="7"/>
      <x v="7"/>
      <x/>
      <x v="78"/>
      <x v="353"/>
      <x/>
      <x v="1"/>
    </i>
    <i r="4">
      <x v="9"/>
      <x v="9"/>
      <x/>
      <x v="13"/>
      <x v="99"/>
      <x/>
      <x v="1"/>
    </i>
    <i r="4">
      <x v="12"/>
      <x v="12"/>
      <x/>
      <x v="261"/>
      <x v="287"/>
      <x/>
      <x v="1"/>
    </i>
    <i r="4">
      <x v="20"/>
      <x v="20"/>
      <x/>
      <x v="314"/>
      <x v="354"/>
      <x/>
      <x v="1"/>
    </i>
    <i r="4">
      <x v="21"/>
      <x v="21"/>
      <x/>
      <x v="314"/>
      <x v="354"/>
      <x/>
      <x v="1"/>
    </i>
    <i r="4">
      <x v="23"/>
      <x v="23"/>
      <x/>
      <x v="81"/>
      <x v="73"/>
      <x/>
      <x v="1"/>
    </i>
    <i r="4">
      <x v="25"/>
      <x v="25"/>
      <x v="2"/>
      <x v="5"/>
      <x v="5"/>
      <x/>
      <x/>
    </i>
    <i r="4">
      <x v="26"/>
      <x v="26"/>
      <x/>
      <x v="13"/>
      <x v="110"/>
      <x/>
      <x v="1"/>
    </i>
    <i r="4">
      <x v="27"/>
      <x v="27"/>
      <x/>
      <x v="255"/>
      <x v="279"/>
      <x/>
      <x v="1"/>
    </i>
    <i r="4">
      <x v="28"/>
      <x v="28"/>
      <x/>
      <x v="15"/>
      <x v="17"/>
      <x/>
      <x v="1"/>
    </i>
    <i r="4">
      <x v="29"/>
      <x v="29"/>
      <x/>
      <x v="81"/>
      <x v="73"/>
      <x/>
      <x v="1"/>
    </i>
    <i r="4">
      <x v="30"/>
      <x v="30"/>
      <x/>
      <x v="68"/>
      <x v="86"/>
      <x/>
      <x v="1"/>
    </i>
    <i r="4">
      <x v="31"/>
      <x v="31"/>
      <x/>
      <x v="305"/>
      <x v="330"/>
      <x/>
      <x v="1"/>
    </i>
    <i r="4">
      <x v="32"/>
      <x v="32"/>
      <x/>
      <x v="15"/>
      <x v="17"/>
      <x/>
      <x v="1"/>
    </i>
    <i r="4">
      <x v="33"/>
      <x v="33"/>
      <x/>
      <x v="13"/>
      <x v="73"/>
      <x/>
      <x v="1"/>
    </i>
    <i r="4">
      <x v="34"/>
      <x v="34"/>
      <x/>
      <x v="221"/>
      <x v="241"/>
      <x/>
      <x v="1"/>
    </i>
    <i r="4">
      <x v="35"/>
      <x v="35"/>
      <x/>
      <x v="76"/>
      <x v="94"/>
      <x/>
      <x v="1"/>
    </i>
    <i r="4">
      <x v="36"/>
      <x v="36"/>
      <x/>
      <x v="30"/>
      <x v="44"/>
      <x/>
      <x v="1"/>
    </i>
    <i r="4">
      <x v="38"/>
      <x v="38"/>
      <x v="1"/>
      <x v="315"/>
      <x v="355"/>
      <x/>
      <x/>
    </i>
    <i r="4">
      <x v="40"/>
      <x v="40"/>
      <x/>
      <x v="311"/>
      <x v="349"/>
      <x/>
      <x v="1"/>
    </i>
    <i r="4">
      <x v="47"/>
      <x v="47"/>
      <x v="1"/>
      <x v="315"/>
      <x v="355"/>
      <x/>
      <x v="1"/>
    </i>
    <i r="4">
      <x v="48"/>
      <x v="48"/>
      <x/>
      <x v="64"/>
      <x v="348"/>
      <x/>
      <x/>
    </i>
    <i r="4">
      <x v="49"/>
      <x v="49"/>
      <x/>
      <x v="13"/>
      <x v="352"/>
      <x/>
      <x v="1"/>
    </i>
    <i>
      <x v="30"/>
      <x v="7"/>
      <x v="30"/>
      <x v="30"/>
      <x v="3"/>
      <x v="3"/>
      <x/>
      <x v="318"/>
      <x v="358"/>
      <x/>
      <x v="1"/>
    </i>
    <i r="4">
      <x v="4"/>
      <x v="4"/>
      <x/>
      <x v="319"/>
      <x v="92"/>
      <x/>
      <x v="1"/>
    </i>
    <i r="4">
      <x v="5"/>
      <x v="5"/>
      <x/>
      <x v="50"/>
      <x v="71"/>
      <x/>
      <x v="1"/>
    </i>
    <i r="4">
      <x v="6"/>
      <x v="6"/>
      <x/>
      <x v="320"/>
      <x v="71"/>
      <x/>
      <x v="1"/>
    </i>
    <i r="4">
      <x v="7"/>
      <x v="7"/>
      <x/>
      <x v="12"/>
      <x v="11"/>
      <x/>
      <x v="1"/>
    </i>
    <i r="4">
      <x v="9"/>
      <x v="9"/>
      <x/>
      <x v="13"/>
      <x v="99"/>
      <x/>
      <x v="1"/>
    </i>
    <i r="4">
      <x v="12"/>
      <x v="12"/>
      <x/>
      <x v="231"/>
      <x v="251"/>
      <x/>
      <x v="1"/>
    </i>
    <i r="4">
      <x v="20"/>
      <x v="20"/>
      <x/>
      <x v="214"/>
      <x v="234"/>
      <x/>
      <x v="1"/>
    </i>
    <i r="4">
      <x v="21"/>
      <x v="21"/>
      <x/>
      <x v="321"/>
      <x v="359"/>
      <x/>
      <x v="1"/>
    </i>
    <i r="4">
      <x v="23"/>
      <x v="23"/>
      <x/>
      <x v="47"/>
      <x v="56"/>
      <x/>
      <x v="1"/>
    </i>
    <i r="4">
      <x v="25"/>
      <x v="25"/>
      <x/>
      <x v="283"/>
      <x v="117"/>
      <x/>
      <x v="1"/>
    </i>
    <i r="4">
      <x v="26"/>
      <x v="26"/>
      <x/>
      <x v="13"/>
      <x v="110"/>
      <x/>
      <x v="1"/>
    </i>
    <i r="4">
      <x v="27"/>
      <x v="27"/>
      <x/>
      <x v="255"/>
      <x v="279"/>
      <x/>
      <x v="1"/>
    </i>
    <i r="4">
      <x v="28"/>
      <x v="28"/>
      <x/>
      <x v="15"/>
      <x v="17"/>
      <x/>
      <x v="1"/>
    </i>
    <i r="4">
      <x v="29"/>
      <x v="29"/>
      <x/>
      <x v="47"/>
      <x v="56"/>
      <x/>
      <x v="1"/>
    </i>
    <i r="4">
      <x v="30"/>
      <x v="30"/>
      <x/>
      <x v="49"/>
      <x v="56"/>
      <x/>
      <x v="1"/>
    </i>
    <i r="4">
      <x v="31"/>
      <x v="31"/>
      <x/>
      <x v="305"/>
      <x v="330"/>
      <x/>
      <x v="1"/>
    </i>
    <i r="4">
      <x v="32"/>
      <x v="32"/>
      <x/>
      <x v="15"/>
      <x v="17"/>
      <x/>
      <x v="1"/>
    </i>
    <i r="4">
      <x v="33"/>
      <x v="33"/>
      <x/>
      <x v="13"/>
      <x v="56"/>
      <x/>
      <x v="1"/>
    </i>
    <i r="4">
      <x v="34"/>
      <x v="34"/>
      <x/>
      <x v="229"/>
      <x v="246"/>
      <x/>
      <x v="1"/>
    </i>
    <i r="4">
      <x v="35"/>
      <x v="35"/>
      <x/>
      <x v="214"/>
      <x v="234"/>
      <x/>
      <x v="1"/>
    </i>
    <i r="4">
      <x v="36"/>
      <x v="36"/>
      <x/>
      <x v="30"/>
      <x v="44"/>
      <x/>
      <x v="1"/>
    </i>
    <i r="4">
      <x v="38"/>
      <x v="38"/>
      <x/>
      <x v="322"/>
      <x v="360"/>
      <x/>
      <x/>
    </i>
    <i r="4">
      <x v="40"/>
      <x v="40"/>
      <x/>
      <x v="317"/>
      <x v="357"/>
      <x/>
      <x v="1"/>
    </i>
    <i r="4">
      <x v="47"/>
      <x v="47"/>
      <x/>
      <x v="322"/>
      <x v="360"/>
      <x/>
      <x/>
    </i>
    <i r="4">
      <x v="48"/>
      <x v="48"/>
      <x/>
      <x v="316"/>
      <x v="356"/>
      <x/>
      <x/>
    </i>
    <i r="4">
      <x v="49"/>
      <x v="49"/>
      <x/>
      <x v="13"/>
      <x v="129"/>
      <x/>
      <x v="1"/>
    </i>
    <i>
      <x v="31"/>
      <x v="7"/>
      <x v="31"/>
      <x v="31"/>
      <x v="3"/>
      <x v="3"/>
      <x/>
      <x v="115"/>
      <x v="139"/>
      <x/>
      <x v="1"/>
    </i>
    <i r="4">
      <x v="4"/>
      <x v="4"/>
      <x/>
      <x v="324"/>
      <x v="363"/>
      <x/>
      <x v="1"/>
    </i>
    <i r="4">
      <x v="5"/>
      <x v="5"/>
      <x/>
      <x v="291"/>
      <x v="87"/>
      <x/>
      <x v="1"/>
    </i>
    <i r="4">
      <x v="6"/>
      <x v="6"/>
      <x v="1"/>
      <x v="10"/>
      <x v="87"/>
      <x/>
      <x v="1"/>
    </i>
    <i r="4">
      <x v="7"/>
      <x v="7"/>
      <x/>
      <x v="325"/>
      <x v="128"/>
      <x/>
      <x v="1"/>
    </i>
    <i r="4">
      <x v="9"/>
      <x v="9"/>
      <x/>
      <x v="13"/>
      <x v="15"/>
      <x/>
      <x v="1"/>
    </i>
    <i r="4">
      <x v="12"/>
      <x v="12"/>
      <x/>
      <x v="221"/>
      <x v="241"/>
      <x/>
      <x v="1"/>
    </i>
    <i r="4">
      <x v="20"/>
      <x v="20"/>
      <x/>
      <x v="326"/>
      <x v="364"/>
      <x/>
      <x v="1"/>
    </i>
    <i r="4">
      <x v="21"/>
      <x v="21"/>
      <x/>
      <x v="326"/>
      <x v="364"/>
      <x/>
      <x v="1"/>
    </i>
    <i r="4">
      <x v="23"/>
      <x v="23"/>
      <x/>
      <x v="192"/>
      <x v="347"/>
      <x/>
      <x v="1"/>
    </i>
    <i r="4">
      <x v="25"/>
      <x v="25"/>
      <x v="2"/>
      <x v="5"/>
      <x v="5"/>
      <x/>
      <x/>
    </i>
    <i r="4">
      <x v="26"/>
      <x v="26"/>
      <x/>
      <x v="13"/>
      <x v="110"/>
      <x/>
      <x v="1"/>
    </i>
    <i r="4">
      <x v="27"/>
      <x v="27"/>
      <x/>
      <x v="66"/>
      <x v="87"/>
      <x/>
      <x v="1"/>
    </i>
    <i r="4">
      <x v="28"/>
      <x v="28"/>
      <x/>
      <x v="15"/>
      <x v="17"/>
      <x/>
      <x v="1"/>
    </i>
    <i r="4">
      <x v="29"/>
      <x v="29"/>
      <x/>
      <x v="95"/>
      <x v="116"/>
      <x/>
      <x v="1"/>
    </i>
    <i r="4">
      <x v="30"/>
      <x v="30"/>
      <x/>
      <x v="328"/>
      <x v="161"/>
      <x/>
      <x v="1"/>
    </i>
    <i r="4">
      <x v="31"/>
      <x v="31"/>
      <x/>
      <x v="329"/>
      <x v="365"/>
      <x/>
      <x v="1"/>
    </i>
    <i r="4">
      <x v="32"/>
      <x v="32"/>
      <x/>
      <x v="15"/>
      <x v="17"/>
      <x/>
      <x v="1"/>
    </i>
    <i r="4">
      <x v="33"/>
      <x v="33"/>
      <x/>
      <x v="13"/>
      <x v="116"/>
      <x/>
      <x v="1"/>
    </i>
    <i r="4">
      <x v="34"/>
      <x v="34"/>
      <x/>
      <x v="235"/>
      <x v="258"/>
      <x/>
      <x v="1"/>
    </i>
    <i r="4">
      <x v="35"/>
      <x v="35"/>
      <x/>
      <x v="330"/>
      <x v="366"/>
      <x/>
      <x v="1"/>
    </i>
    <i r="4">
      <x v="36"/>
      <x v="36"/>
      <x/>
      <x v="234"/>
      <x v="257"/>
      <x/>
      <x v="1"/>
    </i>
    <i r="4">
      <x v="38"/>
      <x v="38"/>
      <x/>
      <x v="327"/>
      <x v="287"/>
      <x/>
      <x/>
    </i>
    <i r="4">
      <x v="40"/>
      <x v="40"/>
      <x/>
      <x v="323"/>
      <x v="362"/>
      <x/>
      <x v="1"/>
    </i>
    <i r="4">
      <x v="47"/>
      <x v="47"/>
      <x/>
      <x v="327"/>
      <x v="287"/>
      <x/>
      <x/>
    </i>
    <i r="4">
      <x v="48"/>
      <x v="48"/>
      <x/>
      <x v="313"/>
      <x v="361"/>
      <x/>
      <x/>
    </i>
    <i r="4">
      <x v="49"/>
      <x v="49"/>
      <x/>
      <x v="13"/>
      <x v="79"/>
      <x/>
      <x v="1"/>
    </i>
    <i>
      <x v="32"/>
      <x v="7"/>
      <x v="32"/>
      <x v="32"/>
      <x v="3"/>
      <x v="3"/>
      <x v="2"/>
      <x v="5"/>
      <x v="5"/>
      <x/>
      <x/>
    </i>
    <i r="4">
      <x v="4"/>
      <x v="4"/>
      <x/>
      <x v="319"/>
      <x v="92"/>
      <x/>
      <x v="1"/>
    </i>
    <i r="4">
      <x v="5"/>
      <x v="5"/>
      <x/>
      <x v="333"/>
      <x v="32"/>
      <x/>
      <x v="1"/>
    </i>
    <i r="4">
      <x v="6"/>
      <x v="6"/>
      <x v="2"/>
      <x v="5"/>
      <x v="5"/>
      <x/>
      <x/>
    </i>
    <i r="4">
      <x v="7"/>
      <x v="7"/>
      <x/>
      <x v="61"/>
      <x v="369"/>
      <x/>
      <x v="1"/>
    </i>
    <i r="4">
      <x v="9"/>
      <x v="9"/>
      <x/>
      <x v="13"/>
      <x v="15"/>
      <x/>
      <x v="1"/>
    </i>
    <i r="4">
      <x v="12"/>
      <x v="12"/>
      <x/>
      <x v="285"/>
      <x v="317"/>
      <x/>
      <x v="1"/>
    </i>
    <i r="4">
      <x v="20"/>
      <x v="20"/>
      <x/>
      <x v="263"/>
      <x v="249"/>
      <x/>
      <x v="1"/>
    </i>
    <i r="4">
      <x v="21"/>
      <x v="21"/>
      <x/>
      <x v="263"/>
      <x v="249"/>
      <x/>
      <x v="1"/>
    </i>
    <i r="4">
      <x v="23"/>
      <x v="23"/>
      <x/>
      <x v="334"/>
      <x v="300"/>
      <x/>
      <x v="1"/>
    </i>
    <i r="4">
      <x v="25"/>
      <x v="25"/>
      <x v="2"/>
      <x v="5"/>
      <x v="5"/>
      <x/>
      <x/>
    </i>
    <i r="4">
      <x v="26"/>
      <x v="26"/>
      <x/>
      <x v="13"/>
      <x v="300"/>
      <x/>
      <x v="1"/>
    </i>
    <i r="4">
      <x v="27"/>
      <x v="27"/>
      <x/>
      <x v="85"/>
      <x v="104"/>
      <x/>
      <x v="1"/>
    </i>
    <i r="4">
      <x v="28"/>
      <x v="28"/>
      <x/>
      <x v="335"/>
      <x v="325"/>
      <x/>
      <x v="1"/>
    </i>
    <i r="4">
      <x v="29"/>
      <x v="29"/>
      <x/>
      <x v="336"/>
      <x v="372"/>
      <x/>
      <x v="1"/>
    </i>
    <i r="4">
      <x v="30"/>
      <x v="30"/>
      <x/>
      <x v="337"/>
      <x v="300"/>
      <x/>
      <x v="1"/>
    </i>
    <i r="4">
      <x v="31"/>
      <x v="31"/>
      <x v="1"/>
      <x v="6"/>
      <x v="83"/>
      <x/>
      <x v="1"/>
    </i>
    <i r="4">
      <x v="32"/>
      <x v="32"/>
      <x/>
      <x v="335"/>
      <x v="325"/>
      <x/>
      <x v="1"/>
    </i>
    <i r="4">
      <x v="33"/>
      <x v="33"/>
      <x/>
      <x v="13"/>
      <x v="347"/>
      <x/>
      <x v="1"/>
    </i>
    <i r="4">
      <x v="34"/>
      <x v="34"/>
      <x/>
      <x v="30"/>
      <x v="44"/>
      <x/>
      <x v="1"/>
    </i>
    <i r="4">
      <x v="35"/>
      <x v="35"/>
      <x/>
      <x v="30"/>
      <x v="44"/>
      <x/>
      <x v="1"/>
    </i>
    <i r="4">
      <x v="36"/>
      <x v="36"/>
      <x/>
      <x v="30"/>
      <x v="44"/>
      <x/>
      <x v="1"/>
    </i>
    <i r="4">
      <x v="38"/>
      <x v="38"/>
      <x/>
      <x v="78"/>
      <x v="371"/>
      <x/>
      <x v="1"/>
    </i>
    <i r="4">
      <x v="40"/>
      <x v="40"/>
      <x/>
      <x v="332"/>
      <x v="368"/>
      <x/>
      <x v="1"/>
    </i>
    <i r="4">
      <x v="47"/>
      <x v="47"/>
      <x/>
      <x v="258"/>
      <x v="370"/>
      <x/>
      <x/>
    </i>
    <i r="4">
      <x v="48"/>
      <x v="48"/>
      <x/>
      <x v="331"/>
      <x v="367"/>
      <x/>
      <x/>
    </i>
    <i r="4">
      <x v="49"/>
      <x v="49"/>
      <x v="2"/>
      <x v="5"/>
      <x v="5"/>
      <x/>
      <x/>
    </i>
    <i>
      <x v="33"/>
      <x v="8"/>
      <x v="33"/>
      <x v="33"/>
      <x v="3"/>
      <x v="3"/>
      <x v="2"/>
      <x v="5"/>
      <x v="5"/>
      <x/>
      <x/>
    </i>
    <i r="4">
      <x v="4"/>
      <x v="4"/>
      <x/>
      <x v="339"/>
      <x v="373"/>
      <x/>
      <x v="1"/>
    </i>
    <i r="4">
      <x v="5"/>
      <x v="5"/>
      <x/>
      <x v="10"/>
      <x v="361"/>
      <x/>
      <x v="1"/>
    </i>
    <i r="4">
      <x v="6"/>
      <x v="6"/>
      <x v="2"/>
      <x v="5"/>
      <x v="5"/>
      <x/>
      <x/>
    </i>
    <i r="4">
      <x v="7"/>
      <x v="7"/>
      <x/>
      <x v="11"/>
      <x v="10"/>
      <x/>
      <x v="1"/>
    </i>
    <i r="4">
      <x v="23"/>
      <x v="23"/>
      <x/>
      <x v="32"/>
      <x v="49"/>
      <x/>
      <x v="1"/>
    </i>
    <i r="4">
      <x v="26"/>
      <x v="26"/>
      <x/>
      <x v="13"/>
      <x v="51"/>
      <x/>
      <x v="1"/>
    </i>
    <i r="4">
      <x v="27"/>
      <x v="27"/>
      <x/>
      <x v="340"/>
      <x v="374"/>
      <x/>
      <x v="1"/>
    </i>
    <i r="4">
      <x v="28"/>
      <x v="28"/>
      <x/>
      <x v="30"/>
      <x v="44"/>
      <x/>
      <x v="1"/>
    </i>
    <i r="4">
      <x v="29"/>
      <x v="29"/>
      <x/>
      <x v="65"/>
      <x v="86"/>
      <x/>
      <x v="1"/>
    </i>
    <i r="4">
      <x v="30"/>
      <x v="30"/>
      <x/>
      <x v="36"/>
      <x v="49"/>
      <x/>
      <x v="1"/>
    </i>
    <i r="4">
      <x v="31"/>
      <x v="31"/>
      <x/>
      <x v="115"/>
      <x v="375"/>
      <x/>
      <x v="1"/>
    </i>
    <i r="4">
      <x v="32"/>
      <x v="32"/>
      <x/>
      <x v="30"/>
      <x v="44"/>
      <x/>
      <x v="1"/>
    </i>
    <i r="4">
      <x v="33"/>
      <x v="33"/>
      <x/>
      <x v="13"/>
      <x v="49"/>
      <x/>
      <x v="1"/>
    </i>
    <i r="4">
      <x v="34"/>
      <x v="34"/>
      <x/>
      <x v="30"/>
      <x v="44"/>
      <x/>
      <x v="1"/>
    </i>
    <i r="4">
      <x v="35"/>
      <x v="35"/>
      <x/>
      <x v="30"/>
      <x v="44"/>
      <x/>
      <x v="1"/>
    </i>
    <i r="4">
      <x v="36"/>
      <x v="36"/>
      <x/>
      <x v="30"/>
      <x v="44"/>
      <x/>
      <x v="1"/>
    </i>
    <i r="4">
      <x v="40"/>
      <x v="40"/>
      <x/>
      <x v="338"/>
      <x v="161"/>
      <x/>
      <x v="1"/>
    </i>
    <i r="4">
      <x v="50"/>
      <x v="50"/>
      <x/>
      <x v="338"/>
      <x v="161"/>
      <x/>
      <x v="1"/>
    </i>
    <i>
      <x v="34"/>
      <x/>
      <x v="34"/>
      <x v="34"/>
      <x/>
      <x/>
      <x/>
      <x v="158"/>
      <x v="343"/>
      <x/>
      <x v="1"/>
    </i>
    <i r="4">
      <x v="1"/>
      <x v="1"/>
      <x/>
      <x v="158"/>
      <x v="343"/>
      <x/>
      <x/>
    </i>
    <i r="4">
      <x v="2"/>
      <x v="2"/>
      <x/>
      <x v="88"/>
      <x v="108"/>
      <x/>
      <x v="1"/>
    </i>
    <i r="4">
      <x v="3"/>
      <x v="3"/>
      <x v="2"/>
      <x v="5"/>
      <x v="5"/>
      <x/>
      <x/>
    </i>
    <i r="4">
      <x v="4"/>
      <x v="4"/>
      <x/>
      <x v="341"/>
      <x v="296"/>
      <x/>
      <x v="1"/>
    </i>
    <i r="4">
      <x v="5"/>
      <x v="5"/>
      <x/>
      <x v="10"/>
      <x v="376"/>
      <x/>
      <x v="1"/>
    </i>
    <i r="4">
      <x v="6"/>
      <x v="6"/>
      <x v="2"/>
      <x v="5"/>
      <x v="5"/>
      <x/>
      <x/>
    </i>
    <i r="4">
      <x v="7"/>
      <x v="7"/>
      <x/>
      <x v="11"/>
      <x v="10"/>
      <x/>
      <x v="1"/>
    </i>
    <i r="4">
      <x v="8"/>
      <x v="8"/>
      <x/>
      <x v="13"/>
      <x v="158"/>
      <x/>
      <x v="1"/>
    </i>
    <i r="4">
      <x v="9"/>
      <x v="9"/>
      <x/>
      <x v="13"/>
      <x v="377"/>
      <x/>
      <x v="1"/>
    </i>
    <i r="4">
      <x v="10"/>
      <x v="10"/>
      <x/>
      <x v="39"/>
      <x v="66"/>
      <x/>
      <x v="1"/>
    </i>
    <i r="4">
      <x v="11"/>
      <x v="11"/>
      <x/>
      <x v="39"/>
      <x v="66"/>
      <x/>
      <x v="1"/>
    </i>
    <i r="4">
      <x v="12"/>
      <x v="12"/>
      <x/>
      <x v="92"/>
      <x v="114"/>
      <x/>
      <x v="1"/>
    </i>
    <i r="4">
      <x v="13"/>
      <x v="13"/>
      <x/>
      <x v="13"/>
      <x v="378"/>
      <x/>
      <x/>
    </i>
    <i r="4">
      <x v="14"/>
      <x v="14"/>
      <x/>
      <x v="13"/>
      <x v="379"/>
      <x/>
      <x v="1"/>
    </i>
    <i r="4">
      <x v="15"/>
      <x v="15"/>
      <x/>
      <x v="13"/>
      <x v="380"/>
      <x/>
      <x v="1"/>
    </i>
    <i r="4">
      <x v="16"/>
      <x v="16"/>
      <x/>
      <x v="13"/>
      <x v="381"/>
      <x/>
      <x v="1"/>
    </i>
    <i r="4">
      <x v="17"/>
      <x v="17"/>
      <x/>
      <x v="13"/>
      <x v="381"/>
      <x/>
      <x v="1"/>
    </i>
    <i r="4">
      <x v="18"/>
      <x v="18"/>
      <x/>
      <x v="13"/>
      <x v="382"/>
      <x/>
      <x v="1"/>
    </i>
    <i r="4">
      <x v="19"/>
      <x v="19"/>
      <x/>
      <x v="342"/>
      <x v="383"/>
      <x/>
      <x v="1"/>
    </i>
    <i r="4">
      <x v="20"/>
      <x v="20"/>
      <x/>
      <x v="63"/>
      <x v="83"/>
      <x/>
      <x v="1"/>
    </i>
    <i r="4">
      <x v="21"/>
      <x v="21"/>
      <x/>
      <x v="63"/>
      <x v="83"/>
      <x/>
      <x v="1"/>
    </i>
    <i r="4">
      <x v="22"/>
      <x v="22"/>
      <x/>
      <x v="13"/>
      <x v="199"/>
      <x/>
      <x v="1"/>
    </i>
    <i r="4">
      <x v="23"/>
      <x v="23"/>
      <x/>
      <x v="343"/>
      <x v="378"/>
      <x/>
      <x v="1"/>
    </i>
    <i r="4">
      <x v="24"/>
      <x v="24"/>
      <x/>
      <x v="344"/>
      <x v="384"/>
      <x/>
      <x v="1"/>
    </i>
    <i r="4">
      <x v="25"/>
      <x v="25"/>
      <x/>
      <x v="344"/>
      <x v="384"/>
      <x/>
      <x v="1"/>
    </i>
    <i r="4">
      <x v="26"/>
      <x v="26"/>
      <x/>
      <x v="13"/>
      <x v="69"/>
      <x/>
      <x v="1"/>
    </i>
    <i r="4">
      <x v="27"/>
      <x v="27"/>
      <x/>
      <x v="117"/>
      <x v="148"/>
      <x/>
      <x v="1"/>
    </i>
    <i r="4">
      <x v="28"/>
      <x v="28"/>
      <x/>
      <x v="63"/>
      <x v="83"/>
      <x/>
      <x v="1"/>
    </i>
    <i r="4">
      <x v="29"/>
      <x v="29"/>
      <x/>
      <x v="343"/>
      <x v="378"/>
      <x/>
      <x v="1"/>
    </i>
    <i r="4">
      <x v="30"/>
      <x v="30"/>
      <x/>
      <x v="345"/>
      <x v="378"/>
      <x/>
      <x v="1"/>
    </i>
    <i r="4">
      <x v="31"/>
      <x v="31"/>
      <x v="1"/>
      <x v="346"/>
      <x v="385"/>
      <x/>
      <x v="1"/>
    </i>
    <i r="4">
      <x v="32"/>
      <x v="32"/>
      <x/>
      <x v="63"/>
      <x v="83"/>
      <x/>
      <x v="1"/>
    </i>
    <i r="4">
      <x v="33"/>
      <x v="33"/>
      <x/>
      <x v="13"/>
      <x v="378"/>
      <x/>
      <x v="1"/>
    </i>
    <i r="4">
      <x v="34"/>
      <x v="34"/>
      <x/>
      <x v="63"/>
      <x v="83"/>
      <x/>
      <x v="1"/>
    </i>
    <i r="4">
      <x v="35"/>
      <x v="35"/>
      <x/>
      <x v="154"/>
      <x v="185"/>
      <x/>
      <x v="1"/>
    </i>
    <i r="4">
      <x v="36"/>
      <x v="36"/>
      <x/>
      <x v="39"/>
      <x v="66"/>
      <x/>
      <x v="1"/>
    </i>
    <i>
      <x v="35"/>
      <x v="1"/>
      <x v="35"/>
      <x v="35"/>
      <x v="1"/>
      <x v="1"/>
      <x/>
      <x v="347"/>
      <x v="386"/>
      <x/>
      <x/>
    </i>
    <i r="4">
      <x v="2"/>
      <x v="2"/>
      <x v="3"/>
      <x v="348"/>
      <x v="387"/>
      <x/>
      <x v="1"/>
    </i>
    <i r="4">
      <x v="3"/>
      <x v="3"/>
      <x v="2"/>
      <x v="5"/>
      <x v="5"/>
      <x/>
      <x/>
    </i>
    <i r="4">
      <x v="4"/>
      <x v="4"/>
      <x v="3"/>
      <x v="349"/>
      <x v="26"/>
      <x/>
      <x v="1"/>
    </i>
    <i r="4">
      <x v="5"/>
      <x v="5"/>
      <x/>
      <x v="284"/>
      <x v="177"/>
      <x/>
      <x v="1"/>
    </i>
    <i r="4">
      <x v="6"/>
      <x v="6"/>
      <x v="2"/>
      <x v="5"/>
      <x v="5"/>
      <x/>
      <x/>
    </i>
    <i r="4">
      <x v="7"/>
      <x v="7"/>
      <x/>
      <x v="350"/>
      <x v="388"/>
      <x/>
      <x v="1"/>
    </i>
    <i r="4">
      <x v="8"/>
      <x v="8"/>
      <x/>
      <x v="13"/>
      <x v="389"/>
      <x/>
      <x v="1"/>
    </i>
    <i r="4">
      <x v="9"/>
      <x v="9"/>
      <x/>
      <x v="13"/>
      <x v="336"/>
      <x/>
      <x v="1"/>
    </i>
    <i r="4">
      <x v="10"/>
      <x v="10"/>
      <x/>
      <x v="300"/>
      <x v="336"/>
      <x/>
      <x v="1"/>
    </i>
    <i r="4">
      <x v="11"/>
      <x v="11"/>
      <x/>
      <x v="300"/>
      <x v="336"/>
      <x/>
      <x v="1"/>
    </i>
    <i r="4">
      <x v="12"/>
      <x v="12"/>
      <x/>
      <x v="351"/>
      <x v="390"/>
      <x/>
      <x v="1"/>
    </i>
    <i r="4">
      <x v="18"/>
      <x v="18"/>
      <x v="2"/>
      <x v="5"/>
      <x v="5"/>
      <x/>
      <x/>
    </i>
    <i r="4">
      <x v="20"/>
      <x v="20"/>
      <x/>
      <x v="351"/>
      <x v="390"/>
      <x/>
      <x v="1"/>
    </i>
    <i r="4">
      <x v="21"/>
      <x v="21"/>
      <x/>
      <x v="351"/>
      <x v="390"/>
      <x/>
      <x v="1"/>
    </i>
    <i r="4">
      <x v="22"/>
      <x v="22"/>
      <x/>
      <x v="13"/>
      <x v="391"/>
      <x/>
      <x v="1"/>
    </i>
    <i r="4">
      <x v="23"/>
      <x v="23"/>
      <x/>
      <x v="352"/>
      <x v="390"/>
      <x/>
      <x v="1"/>
    </i>
    <i r="4">
      <x v="26"/>
      <x v="26"/>
      <x v="2"/>
      <x v="5"/>
      <x v="5"/>
      <x/>
      <x/>
    </i>
    <i r="4">
      <x v="27"/>
      <x v="27"/>
      <x/>
      <x v="351"/>
      <x v="390"/>
      <x/>
      <x v="1"/>
    </i>
    <i r="4">
      <x v="28"/>
      <x v="28"/>
      <x/>
      <x v="351"/>
      <x v="390"/>
      <x/>
      <x v="1"/>
    </i>
    <i r="4">
      <x v="29"/>
      <x v="29"/>
      <x/>
      <x v="352"/>
      <x v="390"/>
      <x/>
      <x v="1"/>
    </i>
    <i r="4">
      <x v="30"/>
      <x v="30"/>
      <x/>
      <x v="353"/>
      <x v="390"/>
      <x/>
      <x v="1"/>
    </i>
    <i r="4">
      <x v="31"/>
      <x v="31"/>
      <x v="1"/>
      <x v="6"/>
      <x v="390"/>
      <x/>
      <x v="1"/>
    </i>
    <i r="4">
      <x v="32"/>
      <x v="32"/>
      <x/>
      <x v="351"/>
      <x v="390"/>
      <x/>
      <x v="1"/>
    </i>
    <i r="4">
      <x v="33"/>
      <x v="33"/>
      <x/>
      <x v="13"/>
      <x v="390"/>
      <x/>
      <x v="1"/>
    </i>
    <i r="4">
      <x v="34"/>
      <x v="34"/>
      <x/>
      <x v="351"/>
      <x v="390"/>
      <x/>
      <x v="1"/>
    </i>
    <i r="4">
      <x v="35"/>
      <x v="35"/>
      <x/>
      <x v="351"/>
      <x v="390"/>
      <x/>
      <x v="1"/>
    </i>
    <i r="4">
      <x v="36"/>
      <x v="36"/>
      <x/>
      <x v="351"/>
      <x v="390"/>
      <x/>
      <x v="1"/>
    </i>
    <i r="4">
      <x v="37"/>
      <x v="37"/>
      <x/>
      <x v="347"/>
      <x v="386"/>
      <x/>
      <x v="1"/>
    </i>
    <i r="4">
      <x v="38"/>
      <x v="38"/>
      <x v="2"/>
      <x v="5"/>
      <x v="5"/>
      <x/>
      <x/>
    </i>
    <i>
      <x v="36"/>
      <x v="2"/>
      <x v="36"/>
      <x v="36"/>
      <x v="1"/>
      <x v="1"/>
      <x/>
      <x v="354"/>
      <x v="392"/>
      <x/>
      <x/>
    </i>
    <i r="4">
      <x v="2"/>
      <x v="2"/>
      <x/>
      <x v="355"/>
      <x v="393"/>
      <x/>
      <x v="1"/>
    </i>
    <i r="4">
      <x v="3"/>
      <x v="3"/>
      <x v="2"/>
      <x v="5"/>
      <x v="5"/>
      <x/>
      <x/>
    </i>
    <i r="4">
      <x v="4"/>
      <x v="4"/>
      <x/>
      <x v="182"/>
      <x v="394"/>
      <x/>
      <x v="1"/>
    </i>
    <i r="4">
      <x v="5"/>
      <x v="5"/>
      <x/>
      <x v="10"/>
      <x v="119"/>
      <x/>
      <x v="1"/>
    </i>
    <i r="4">
      <x v="6"/>
      <x v="6"/>
      <x v="1"/>
      <x v="10"/>
      <x v="193"/>
      <x/>
      <x v="1"/>
    </i>
    <i r="4">
      <x v="7"/>
      <x v="7"/>
      <x/>
      <x v="284"/>
      <x v="315"/>
      <x/>
      <x v="1"/>
    </i>
    <i r="4">
      <x v="8"/>
      <x v="8"/>
      <x/>
      <x v="13"/>
      <x v="395"/>
      <x/>
      <x v="1"/>
    </i>
    <i r="4">
      <x v="9"/>
      <x v="9"/>
      <x/>
      <x v="13"/>
      <x v="391"/>
      <x/>
      <x v="1"/>
    </i>
    <i r="4">
      <x v="10"/>
      <x v="10"/>
      <x/>
      <x v="356"/>
      <x v="396"/>
      <x/>
      <x v="1"/>
    </i>
    <i r="4">
      <x v="11"/>
      <x v="11"/>
      <x/>
      <x v="38"/>
      <x v="55"/>
      <x/>
      <x v="1"/>
    </i>
    <i r="4">
      <x v="12"/>
      <x v="12"/>
      <x/>
      <x v="261"/>
      <x v="287"/>
      <x/>
      <x v="1"/>
    </i>
    <i r="4">
      <x v="18"/>
      <x v="18"/>
      <x/>
      <x v="13"/>
      <x v="397"/>
      <x/>
      <x v="1"/>
    </i>
    <i r="4">
      <x v="20"/>
      <x v="20"/>
      <x/>
      <x v="357"/>
      <x v="398"/>
      <x/>
      <x v="1"/>
    </i>
    <i r="4">
      <x v="21"/>
      <x v="21"/>
      <x/>
      <x v="357"/>
      <x v="398"/>
      <x/>
      <x v="1"/>
    </i>
    <i r="4">
      <x v="22"/>
      <x v="22"/>
      <x/>
      <x v="13"/>
      <x v="399"/>
      <x/>
      <x v="1"/>
    </i>
    <i r="4">
      <x v="23"/>
      <x v="23"/>
      <x/>
      <x v="358"/>
      <x v="284"/>
      <x/>
      <x v="1"/>
    </i>
    <i r="4">
      <x v="26"/>
      <x v="26"/>
      <x/>
      <x v="13"/>
      <x v="400"/>
      <x/>
      <x v="1"/>
    </i>
    <i r="4">
      <x v="27"/>
      <x v="27"/>
      <x/>
      <x v="38"/>
      <x v="55"/>
      <x/>
      <x v="1"/>
    </i>
    <i r="4">
      <x v="28"/>
      <x v="28"/>
      <x/>
      <x v="359"/>
      <x v="401"/>
      <x/>
      <x v="1"/>
    </i>
    <i r="4">
      <x v="29"/>
      <x v="29"/>
      <x/>
      <x v="358"/>
      <x v="284"/>
      <x/>
      <x v="1"/>
    </i>
    <i r="4">
      <x v="30"/>
      <x v="30"/>
      <x/>
      <x v="260"/>
      <x v="284"/>
      <x/>
      <x v="1"/>
    </i>
    <i r="4">
      <x v="31"/>
      <x v="31"/>
      <x/>
      <x v="360"/>
      <x v="402"/>
      <x/>
      <x v="1"/>
    </i>
    <i r="4">
      <x v="32"/>
      <x v="32"/>
      <x/>
      <x v="361"/>
      <x v="403"/>
      <x/>
      <x v="1"/>
    </i>
    <i r="4">
      <x v="33"/>
      <x v="33"/>
      <x/>
      <x v="13"/>
      <x v="284"/>
      <x/>
      <x v="1"/>
    </i>
    <i r="4">
      <x v="34"/>
      <x v="34"/>
      <x/>
      <x v="359"/>
      <x v="401"/>
      <x/>
      <x v="1"/>
    </i>
    <i r="4">
      <x v="35"/>
      <x v="35"/>
      <x/>
      <x v="362"/>
      <x v="404"/>
      <x/>
      <x v="1"/>
    </i>
    <i r="4">
      <x v="36"/>
      <x v="36"/>
      <x/>
      <x v="356"/>
      <x v="396"/>
      <x/>
      <x v="1"/>
    </i>
    <i r="4">
      <x v="38"/>
      <x v="38"/>
      <x v="2"/>
      <x v="5"/>
      <x v="5"/>
      <x/>
      <x/>
    </i>
    <i r="4">
      <x v="39"/>
      <x v="39"/>
      <x/>
      <x v="354"/>
      <x v="392"/>
      <x/>
      <x/>
    </i>
    <i r="4">
      <x v="40"/>
      <x v="40"/>
      <x/>
      <x v="354"/>
      <x v="392"/>
      <x/>
      <x v="1"/>
    </i>
    <i r="4">
      <x v="41"/>
      <x v="41"/>
      <x/>
      <x v="355"/>
      <x v="393"/>
      <x/>
      <x/>
    </i>
    <i r="4">
      <x v="42"/>
      <x v="42"/>
      <x v="2"/>
      <x v="5"/>
      <x v="5"/>
      <x/>
      <x/>
    </i>
    <i>
      <x v="37"/>
      <x v="3"/>
      <x v="37"/>
      <x v="37"/>
      <x v="1"/>
      <x v="1"/>
      <x/>
      <x v="40"/>
      <x v="171"/>
      <x/>
      <x v="1"/>
    </i>
    <i r="4">
      <x v="3"/>
      <x v="3"/>
      <x v="2"/>
      <x v="5"/>
      <x v="5"/>
      <x/>
      <x/>
    </i>
    <i r="4">
      <x v="4"/>
      <x v="4"/>
      <x/>
      <x v="319"/>
      <x v="92"/>
      <x/>
      <x v="1"/>
    </i>
    <i r="4">
      <x v="5"/>
      <x v="5"/>
      <x/>
      <x v="10"/>
      <x v="408"/>
      <x/>
      <x v="1"/>
    </i>
    <i r="4">
      <x v="6"/>
      <x v="6"/>
      <x v="2"/>
      <x v="5"/>
      <x v="5"/>
      <x/>
      <x/>
    </i>
    <i r="4">
      <x v="7"/>
      <x v="7"/>
      <x/>
      <x v="169"/>
      <x v="34"/>
      <x/>
      <x v="1"/>
    </i>
    <i r="4">
      <x v="8"/>
      <x v="8"/>
      <x/>
      <x v="13"/>
      <x v="409"/>
      <x/>
      <x v="1"/>
    </i>
    <i r="4">
      <x v="9"/>
      <x v="9"/>
      <x/>
      <x v="13"/>
      <x v="114"/>
      <x/>
      <x v="1"/>
    </i>
    <i r="4">
      <x v="10"/>
      <x v="10"/>
      <x/>
      <x v="366"/>
      <x v="410"/>
      <x/>
      <x v="1"/>
    </i>
    <i r="4">
      <x v="11"/>
      <x v="11"/>
      <x/>
      <x v="79"/>
      <x v="100"/>
      <x/>
      <x v="1"/>
    </i>
    <i r="4">
      <x v="12"/>
      <x v="12"/>
      <x/>
      <x v="117"/>
      <x v="148"/>
      <x/>
      <x v="1"/>
    </i>
    <i r="4">
      <x v="20"/>
      <x v="20"/>
      <x/>
      <x v="367"/>
      <x v="411"/>
      <x/>
      <x v="1"/>
    </i>
    <i r="4">
      <x v="21"/>
      <x v="21"/>
      <x/>
      <x v="367"/>
      <x v="411"/>
      <x/>
      <x v="1"/>
    </i>
    <i r="4">
      <x v="22"/>
      <x v="22"/>
      <x/>
      <x v="13"/>
      <x v="188"/>
      <x/>
      <x v="1"/>
    </i>
    <i r="4">
      <x v="23"/>
      <x v="23"/>
      <x/>
      <x v="368"/>
      <x v="412"/>
      <x/>
      <x v="1"/>
    </i>
    <i r="4">
      <x v="26"/>
      <x v="26"/>
      <x/>
      <x v="13"/>
      <x v="413"/>
      <x/>
      <x v="1"/>
    </i>
    <i r="4">
      <x v="27"/>
      <x v="27"/>
      <x/>
      <x v="198"/>
      <x v="213"/>
      <x/>
      <x v="1"/>
    </i>
    <i r="4">
      <x v="28"/>
      <x v="28"/>
      <x/>
      <x v="117"/>
      <x v="148"/>
      <x/>
      <x v="1"/>
    </i>
    <i r="4">
      <x v="29"/>
      <x v="29"/>
      <x/>
      <x v="368"/>
      <x v="412"/>
      <x/>
      <x v="1"/>
    </i>
    <i r="4">
      <x v="30"/>
      <x v="30"/>
      <x/>
      <x v="369"/>
      <x v="412"/>
      <x/>
      <x v="1"/>
    </i>
    <i r="4">
      <x v="31"/>
      <x v="31"/>
      <x v="1"/>
      <x v="6"/>
      <x v="414"/>
      <x/>
      <x v="1"/>
    </i>
    <i r="4">
      <x v="32"/>
      <x v="32"/>
      <x/>
      <x v="117"/>
      <x v="148"/>
      <x/>
      <x v="1"/>
    </i>
    <i r="4">
      <x v="33"/>
      <x v="33"/>
      <x/>
      <x v="13"/>
      <x v="415"/>
      <x/>
      <x v="1"/>
    </i>
    <i r="4">
      <x v="34"/>
      <x v="34"/>
      <x/>
      <x v="39"/>
      <x v="66"/>
      <x/>
      <x v="1"/>
    </i>
    <i r="4">
      <x v="35"/>
      <x v="35"/>
      <x/>
      <x v="370"/>
      <x v="416"/>
      <x/>
      <x v="1"/>
    </i>
    <i r="4">
      <x v="36"/>
      <x v="36"/>
      <x/>
      <x v="366"/>
      <x v="410"/>
      <x/>
      <x v="1"/>
    </i>
    <i r="4">
      <x v="38"/>
      <x v="38"/>
      <x v="2"/>
      <x v="5"/>
      <x v="5"/>
      <x/>
      <x/>
    </i>
    <i r="4">
      <x v="40"/>
      <x v="40"/>
      <x/>
      <x v="364"/>
      <x v="406"/>
      <x/>
      <x v="1"/>
    </i>
    <i r="4">
      <x v="41"/>
      <x v="41"/>
      <x/>
      <x v="365"/>
      <x v="407"/>
      <x/>
      <x/>
    </i>
    <i r="4">
      <x v="43"/>
      <x v="43"/>
      <x/>
      <x v="363"/>
      <x v="405"/>
      <x/>
      <x v="1"/>
    </i>
    <i>
      <x v="38"/>
      <x v="6"/>
      <x v="38"/>
      <x v="38"/>
      <x v="3"/>
      <x v="3"/>
      <x v="2"/>
      <x v="5"/>
      <x v="5"/>
      <x/>
      <x/>
    </i>
    <i r="4">
      <x v="4"/>
      <x v="4"/>
      <x/>
      <x v="371"/>
      <x v="58"/>
      <x/>
      <x v="1"/>
    </i>
    <i r="4">
      <x v="5"/>
      <x v="5"/>
      <x/>
      <x v="372"/>
      <x v="180"/>
      <x/>
      <x v="1"/>
    </i>
    <i r="4">
      <x v="6"/>
      <x v="6"/>
      <x v="2"/>
      <x v="5"/>
      <x v="5"/>
      <x/>
      <x/>
    </i>
    <i r="4">
      <x v="7"/>
      <x v="7"/>
      <x/>
      <x v="25"/>
      <x v="418"/>
      <x/>
      <x v="1"/>
    </i>
    <i r="4">
      <x v="9"/>
      <x v="9"/>
      <x/>
      <x v="13"/>
      <x v="21"/>
      <x/>
      <x v="1"/>
    </i>
    <i r="4">
      <x v="12"/>
      <x v="12"/>
      <x/>
      <x v="80"/>
      <x v="101"/>
      <x/>
      <x v="1"/>
    </i>
    <i r="4">
      <x v="20"/>
      <x v="20"/>
      <x/>
      <x v="373"/>
      <x v="419"/>
      <x/>
      <x v="1"/>
    </i>
    <i r="4">
      <x v="21"/>
      <x v="21"/>
      <x/>
      <x v="373"/>
      <x v="419"/>
      <x/>
      <x v="1"/>
    </i>
    <i r="4">
      <x v="23"/>
      <x v="23"/>
      <x/>
      <x v="374"/>
      <x v="241"/>
      <x/>
      <x v="1"/>
    </i>
    <i r="4">
      <x v="25"/>
      <x v="25"/>
      <x/>
      <x v="375"/>
      <x v="420"/>
      <x/>
      <x v="1"/>
    </i>
    <i r="4">
      <x v="26"/>
      <x v="26"/>
      <x/>
      <x v="13"/>
      <x v="50"/>
      <x/>
      <x v="1"/>
    </i>
    <i r="4">
      <x v="27"/>
      <x v="27"/>
      <x/>
      <x v="235"/>
      <x v="258"/>
      <x/>
      <x v="1"/>
    </i>
    <i r="4">
      <x v="28"/>
      <x v="28"/>
      <x/>
      <x v="373"/>
      <x v="419"/>
      <x/>
      <x v="1"/>
    </i>
    <i r="4">
      <x v="29"/>
      <x v="29"/>
      <x/>
      <x v="374"/>
      <x v="241"/>
      <x/>
      <x v="1"/>
    </i>
    <i r="4">
      <x v="30"/>
      <x v="30"/>
      <x/>
      <x v="376"/>
      <x v="241"/>
      <x/>
      <x v="1"/>
    </i>
    <i r="4">
      <x v="31"/>
      <x v="31"/>
      <x v="1"/>
      <x v="6"/>
      <x v="241"/>
      <x/>
      <x v="1"/>
    </i>
    <i r="4">
      <x v="32"/>
      <x v="32"/>
      <x/>
      <x v="373"/>
      <x v="419"/>
      <x/>
      <x v="1"/>
    </i>
    <i r="4">
      <x v="33"/>
      <x v="33"/>
      <x/>
      <x v="13"/>
      <x v="419"/>
      <x/>
      <x v="1"/>
    </i>
    <i r="4">
      <x v="34"/>
      <x v="34"/>
      <x/>
      <x v="235"/>
      <x v="258"/>
      <x/>
      <x v="1"/>
    </i>
    <i r="4">
      <x v="35"/>
      <x v="35"/>
      <x/>
      <x v="373"/>
      <x v="419"/>
      <x/>
      <x v="1"/>
    </i>
    <i r="4">
      <x v="36"/>
      <x v="36"/>
      <x/>
      <x v="235"/>
      <x v="258"/>
      <x/>
      <x v="1"/>
    </i>
    <i r="4">
      <x v="38"/>
      <x v="38"/>
      <x v="2"/>
      <x v="5"/>
      <x v="5"/>
      <x/>
      <x/>
    </i>
    <i r="4">
      <x v="40"/>
      <x v="40"/>
      <x/>
      <x v="41"/>
      <x v="417"/>
      <x/>
      <x/>
    </i>
    <i r="4">
      <x v="46"/>
      <x v="46"/>
      <x/>
      <x v="41"/>
      <x v="417"/>
      <x/>
      <x/>
    </i>
    <i r="4">
      <x v="47"/>
      <x v="47"/>
      <x v="2"/>
      <x v="5"/>
      <x v="5"/>
      <x/>
      <x/>
    </i>
    <i>
      <x v="39"/>
      <x v="7"/>
      <x v="39"/>
      <x v="39"/>
      <x v="3"/>
      <x v="3"/>
      <x/>
      <x v="379"/>
      <x v="198"/>
      <x/>
      <x v="1"/>
    </i>
    <i r="4">
      <x v="4"/>
      <x v="4"/>
      <x/>
      <x v="19"/>
      <x v="21"/>
      <x/>
      <x v="1"/>
    </i>
    <i r="4">
      <x v="5"/>
      <x v="5"/>
      <x/>
      <x v="380"/>
      <x v="422"/>
      <x/>
      <x v="1"/>
    </i>
    <i r="4">
      <x v="6"/>
      <x v="6"/>
      <x v="1"/>
      <x v="10"/>
      <x v="132"/>
      <x/>
      <x v="1"/>
    </i>
    <i r="4">
      <x v="7"/>
      <x v="7"/>
      <x/>
      <x v="63"/>
      <x v="130"/>
      <x/>
      <x v="1"/>
    </i>
    <i r="4">
      <x v="9"/>
      <x v="9"/>
      <x/>
      <x v="13"/>
      <x v="423"/>
      <x/>
      <x v="1"/>
    </i>
    <i r="4">
      <x v="12"/>
      <x v="12"/>
      <x/>
      <x v="381"/>
      <x v="424"/>
      <x/>
      <x v="1"/>
    </i>
    <i r="4">
      <x v="20"/>
      <x v="20"/>
      <x/>
      <x v="382"/>
      <x v="423"/>
      <x/>
      <x v="1"/>
    </i>
    <i r="4">
      <x v="21"/>
      <x v="21"/>
      <x/>
      <x v="382"/>
      <x v="423"/>
      <x/>
      <x v="1"/>
    </i>
    <i r="4">
      <x v="23"/>
      <x v="23"/>
      <x/>
      <x v="384"/>
      <x v="325"/>
      <x/>
      <x v="1"/>
    </i>
    <i r="4">
      <x v="25"/>
      <x v="25"/>
      <x v="2"/>
      <x v="5"/>
      <x v="5"/>
      <x/>
      <x/>
    </i>
    <i r="4">
      <x v="26"/>
      <x v="26"/>
      <x/>
      <x v="13"/>
      <x v="154"/>
      <x/>
      <x v="1"/>
    </i>
    <i r="4">
      <x v="27"/>
      <x v="27"/>
      <x/>
      <x v="381"/>
      <x v="424"/>
      <x/>
      <x v="1"/>
    </i>
    <i r="4">
      <x v="28"/>
      <x v="28"/>
      <x/>
      <x v="300"/>
      <x v="336"/>
      <x/>
      <x v="1"/>
    </i>
    <i r="4">
      <x v="29"/>
      <x v="29"/>
      <x/>
      <x v="384"/>
      <x v="325"/>
      <x/>
      <x v="1"/>
    </i>
    <i r="4">
      <x v="30"/>
      <x v="30"/>
      <x/>
      <x v="385"/>
      <x v="325"/>
      <x/>
      <x v="1"/>
    </i>
    <i r="4">
      <x v="31"/>
      <x v="31"/>
      <x/>
      <x v="96"/>
      <x v="117"/>
      <x/>
      <x v="1"/>
    </i>
    <i r="4">
      <x v="32"/>
      <x v="32"/>
      <x/>
      <x v="300"/>
      <x v="336"/>
      <x/>
      <x v="1"/>
    </i>
    <i r="4">
      <x v="33"/>
      <x v="33"/>
      <x/>
      <x v="13"/>
      <x v="336"/>
      <x/>
      <x v="1"/>
    </i>
    <i r="4">
      <x v="34"/>
      <x v="34"/>
      <x/>
      <x v="381"/>
      <x v="424"/>
      <x/>
      <x v="1"/>
    </i>
    <i r="4">
      <x v="35"/>
      <x v="35"/>
      <x/>
      <x v="335"/>
      <x v="325"/>
      <x/>
      <x v="1"/>
    </i>
    <i r="4">
      <x v="36"/>
      <x v="36"/>
      <x/>
      <x v="386"/>
      <x v="263"/>
      <x/>
      <x v="1"/>
    </i>
    <i r="4">
      <x v="38"/>
      <x v="38"/>
      <x/>
      <x v="383"/>
      <x v="265"/>
      <x/>
      <x/>
    </i>
    <i r="4">
      <x v="40"/>
      <x v="40"/>
      <x/>
      <x v="378"/>
      <x v="350"/>
      <x/>
      <x v="1"/>
    </i>
    <i r="4">
      <x v="47"/>
      <x v="47"/>
      <x/>
      <x v="383"/>
      <x v="265"/>
      <x/>
      <x/>
    </i>
    <i r="4">
      <x v="48"/>
      <x v="48"/>
      <x/>
      <x v="377"/>
      <x v="421"/>
      <x/>
      <x/>
    </i>
    <i r="4">
      <x v="49"/>
      <x v="49"/>
      <x v="2"/>
      <x v="5"/>
      <x v="5"/>
      <x/>
      <x/>
    </i>
    <i>
      <x v="40"/>
      <x v="7"/>
      <x v="40"/>
      <x v="40"/>
      <x v="3"/>
      <x v="3"/>
      <x v="2"/>
      <x v="5"/>
      <x v="5"/>
      <x/>
      <x/>
    </i>
    <i r="4">
      <x v="4"/>
      <x v="4"/>
      <x/>
      <x v="256"/>
      <x v="280"/>
      <x/>
      <x v="1"/>
    </i>
    <i r="4">
      <x v="5"/>
      <x v="5"/>
      <x/>
      <x v="26"/>
      <x v="427"/>
      <x/>
      <x v="1"/>
    </i>
    <i r="4">
      <x v="6"/>
      <x v="6"/>
      <x v="2"/>
      <x v="5"/>
      <x v="5"/>
      <x/>
      <x/>
    </i>
    <i r="4">
      <x v="7"/>
      <x v="7"/>
      <x/>
      <x v="389"/>
      <x v="168"/>
      <x/>
      <x v="1"/>
    </i>
    <i r="4">
      <x v="9"/>
      <x v="9"/>
      <x v="2"/>
      <x v="5"/>
      <x v="5"/>
      <x/>
      <x/>
    </i>
    <i r="4">
      <x v="12"/>
      <x v="12"/>
      <x/>
      <x v="390"/>
      <x v="377"/>
      <x/>
      <x v="1"/>
    </i>
    <i r="4">
      <x v="20"/>
      <x v="20"/>
      <x/>
      <x v="390"/>
      <x v="377"/>
      <x/>
      <x v="1"/>
    </i>
    <i r="4">
      <x v="21"/>
      <x v="21"/>
      <x/>
      <x v="390"/>
      <x v="377"/>
      <x/>
      <x v="1"/>
    </i>
    <i r="4">
      <x v="23"/>
      <x v="23"/>
      <x/>
      <x v="391"/>
      <x v="428"/>
      <x/>
      <x v="1"/>
    </i>
    <i r="4">
      <x v="25"/>
      <x v="25"/>
      <x v="2"/>
      <x v="5"/>
      <x v="5"/>
      <x/>
      <x/>
    </i>
    <i r="4">
      <x v="26"/>
      <x v="26"/>
      <x/>
      <x v="13"/>
      <x v="421"/>
      <x/>
      <x v="1"/>
    </i>
    <i r="4">
      <x v="27"/>
      <x v="27"/>
      <x/>
      <x v="390"/>
      <x v="377"/>
      <x/>
      <x v="1"/>
    </i>
    <i r="4">
      <x v="28"/>
      <x v="28"/>
      <x/>
      <x v="392"/>
      <x v="429"/>
      <x/>
      <x v="1"/>
    </i>
    <i r="4">
      <x v="29"/>
      <x v="29"/>
      <x/>
      <x v="393"/>
      <x v="430"/>
      <x/>
      <x v="1"/>
    </i>
    <i r="4">
      <x v="30"/>
      <x v="30"/>
      <x/>
      <x v="394"/>
      <x v="430"/>
      <x/>
      <x v="1"/>
    </i>
    <i r="4">
      <x v="31"/>
      <x v="31"/>
      <x v="1"/>
      <x v="6"/>
      <x v="430"/>
      <x/>
      <x v="1"/>
    </i>
    <i r="4">
      <x v="32"/>
      <x v="32"/>
      <x/>
      <x v="27"/>
      <x v="430"/>
      <x/>
      <x v="1"/>
    </i>
    <i r="4">
      <x v="33"/>
      <x v="33"/>
      <x/>
      <x v="13"/>
      <x v="431"/>
      <x/>
      <x v="1"/>
    </i>
    <i r="4">
      <x v="34"/>
      <x v="34"/>
      <x/>
      <x v="390"/>
      <x v="377"/>
      <x/>
      <x v="1"/>
    </i>
    <i r="4">
      <x v="35"/>
      <x v="35"/>
      <x/>
      <x v="392"/>
      <x v="429"/>
      <x/>
      <x v="1"/>
    </i>
    <i r="4">
      <x v="36"/>
      <x v="36"/>
      <x/>
      <x v="395"/>
      <x v="2"/>
      <x/>
      <x v="1"/>
    </i>
    <i r="4">
      <x v="38"/>
      <x v="38"/>
      <x v="2"/>
      <x v="5"/>
      <x v="5"/>
      <x/>
      <x/>
    </i>
    <i r="4">
      <x v="40"/>
      <x v="40"/>
      <x/>
      <x v="388"/>
      <x v="426"/>
      <x/>
      <x v="1"/>
    </i>
    <i r="4">
      <x v="47"/>
      <x v="47"/>
      <x v="2"/>
      <x v="5"/>
      <x v="5"/>
      <x/>
      <x/>
    </i>
    <i r="4">
      <x v="48"/>
      <x v="48"/>
      <x/>
      <x v="387"/>
      <x v="425"/>
      <x/>
      <x/>
    </i>
    <i r="4">
      <x v="49"/>
      <x v="49"/>
      <x v="2"/>
      <x v="5"/>
      <x v="5"/>
      <x/>
      <x/>
    </i>
    <i>
      <x v="41"/>
      <x v="7"/>
      <x v="41"/>
      <x v="41"/>
      <x v="3"/>
      <x v="3"/>
      <x v="2"/>
      <x v="5"/>
      <x v="5"/>
      <x/>
      <x/>
    </i>
    <i r="4">
      <x v="4"/>
      <x v="4"/>
      <x/>
      <x v="398"/>
      <x v="434"/>
      <x/>
      <x v="1"/>
    </i>
    <i r="4">
      <x v="5"/>
      <x v="5"/>
      <x/>
      <x v="399"/>
      <x v="373"/>
      <x/>
      <x v="1"/>
    </i>
    <i r="4">
      <x v="6"/>
      <x v="6"/>
      <x v="2"/>
      <x v="5"/>
      <x v="5"/>
      <x/>
      <x/>
    </i>
    <i r="4">
      <x v="7"/>
      <x v="7"/>
      <x/>
      <x v="400"/>
      <x v="435"/>
      <x/>
      <x v="1"/>
    </i>
    <i r="4">
      <x v="9"/>
      <x v="9"/>
      <x/>
      <x v="13"/>
      <x v="102"/>
      <x/>
      <x v="1"/>
    </i>
    <i r="4">
      <x v="12"/>
      <x v="12"/>
      <x/>
      <x v="274"/>
      <x v="303"/>
      <x/>
      <x v="1"/>
    </i>
    <i r="4">
      <x v="20"/>
      <x v="20"/>
      <x/>
      <x v="274"/>
      <x v="303"/>
      <x/>
      <x v="1"/>
    </i>
    <i r="4">
      <x v="21"/>
      <x v="21"/>
      <x/>
      <x v="274"/>
      <x v="303"/>
      <x/>
      <x v="1"/>
    </i>
    <i r="4">
      <x v="23"/>
      <x v="23"/>
      <x/>
      <x v="402"/>
      <x v="141"/>
      <x/>
      <x v="1"/>
    </i>
    <i r="4">
      <x v="25"/>
      <x v="25"/>
      <x v="2"/>
      <x v="5"/>
      <x v="5"/>
      <x/>
      <x/>
    </i>
    <i r="4">
      <x v="26"/>
      <x v="26"/>
      <x/>
      <x v="13"/>
      <x v="83"/>
      <x/>
      <x v="1"/>
    </i>
    <i r="4">
      <x v="27"/>
      <x v="27"/>
      <x/>
      <x v="63"/>
      <x v="83"/>
      <x/>
      <x v="1"/>
    </i>
    <i r="4">
      <x v="28"/>
      <x v="28"/>
      <x/>
      <x v="105"/>
      <x v="126"/>
      <x/>
      <x v="1"/>
    </i>
    <i r="4">
      <x v="29"/>
      <x v="29"/>
      <x/>
      <x v="402"/>
      <x v="141"/>
      <x/>
      <x v="1"/>
    </i>
    <i r="4">
      <x v="30"/>
      <x v="30"/>
      <x/>
      <x v="117"/>
      <x v="141"/>
      <x/>
      <x v="1"/>
    </i>
    <i r="4">
      <x v="31"/>
      <x v="31"/>
      <x v="1"/>
      <x v="6"/>
      <x v="141"/>
      <x/>
      <x v="1"/>
    </i>
    <i r="4">
      <x v="32"/>
      <x v="32"/>
      <x/>
      <x v="105"/>
      <x v="126"/>
      <x/>
      <x v="1"/>
    </i>
    <i r="4">
      <x v="33"/>
      <x v="33"/>
      <x/>
      <x v="13"/>
      <x v="331"/>
      <x/>
      <x v="1"/>
    </i>
    <i r="4">
      <x v="34"/>
      <x v="34"/>
      <x/>
      <x v="30"/>
      <x v="44"/>
      <x/>
      <x v="1"/>
    </i>
    <i r="4">
      <x v="35"/>
      <x v="35"/>
      <x/>
      <x v="105"/>
      <x v="126"/>
      <x/>
      <x v="1"/>
    </i>
    <i r="4">
      <x v="36"/>
      <x v="36"/>
      <x/>
      <x v="239"/>
      <x v="126"/>
      <x/>
      <x v="1"/>
    </i>
    <i r="4">
      <x v="38"/>
      <x v="38"/>
      <x v="2"/>
      <x v="5"/>
      <x v="5"/>
      <x/>
      <x/>
    </i>
    <i r="4">
      <x v="40"/>
      <x v="40"/>
      <x/>
      <x v="397"/>
      <x v="433"/>
      <x/>
      <x v="1"/>
    </i>
    <i r="4">
      <x v="47"/>
      <x v="47"/>
      <x/>
      <x v="401"/>
      <x v="436"/>
      <x/>
      <x v="1"/>
    </i>
    <i r="4">
      <x v="48"/>
      <x v="48"/>
      <x/>
      <x v="396"/>
      <x v="432"/>
      <x/>
      <x/>
    </i>
    <i r="4">
      <x v="49"/>
      <x v="49"/>
      <x v="2"/>
      <x v="5"/>
      <x v="5"/>
      <x/>
      <x/>
    </i>
    <i>
      <x v="42"/>
      <x v="9"/>
      <x v="42"/>
      <x v="42"/>
      <x v="51"/>
      <x v="51"/>
      <x v="2"/>
      <x v="5"/>
      <x v="5"/>
      <x/>
      <x/>
    </i>
    <i t="grand">
      <x/>
    </i>
  </rowItems>
  <colItems count="1">
    <i/>
  </colItems>
  <pivotTableStyleInfo name="Custom-Sty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654A7BF2-6414-4518-A5C7-E3CAF599DCDD}" autoFormatId="16" applyNumberFormats="0" applyBorderFormats="0" applyFontFormats="0" applyPatternFormats="0" applyAlignmentFormats="0" applyWidthHeightFormats="0">
  <queryTableRefresh nextId="19">
    <queryTableFields count="12">
      <queryTableField id="1" name="OPMS ID" tableColumnId="1"/>
      <queryTableField id="2" name="FullName" tableColumnId="2"/>
      <queryTableField id="8" name="Position" tableColumnId="8"/>
      <queryTableField id="3" name="Email" tableColumnId="3"/>
      <queryTableField id="4" name="MobilePhone" tableColumnId="4"/>
      <queryTableField id="5" name="Required Competency" tableColumnId="5"/>
      <queryTableField id="13" name="Competency Group" tableColumnId="13"/>
      <queryTableField id="6" name="Requirement Level" tableColumnId="6"/>
      <queryTableField id="14" name="Status in OPMS" tableColumnId="14"/>
      <queryTableField id="10" name="Expiry" tableColumnId="10"/>
      <queryTableField id="11" name="Issued" tableColumnId="11"/>
      <queryTableField id="18" name="Attacheme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etency_Groups" xr10:uid="{9731B567-12D0-40B8-9C88-3466404D2BAC}" sourceName="Competency Groups">
  <pivotTables>
    <pivotTable tabId="4" name="PivotTable1"/>
  </pivotTables>
  <data>
    <tabular pivotCacheId="1100793027">
      <items count="10">
        <i x="9" s="1"/>
        <i x="0" s="1"/>
        <i x="1" s="1"/>
        <i x="2" s="1"/>
        <i x="3" s="1"/>
        <i x="4" s="1"/>
        <i x="8" s="1"/>
        <i x="5" s="1"/>
        <i x="6" s="1"/>
        <i x="7"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r" xr10:uid="{D8D8B132-8DA2-4737-9161-2C4C1D438720}" sourceName="Employer">
  <pivotTables>
    <pivotTable tabId="4" name="PivotTable1"/>
  </pivotTables>
  <data>
    <tabular pivotCacheId="1100793027">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ment_Level" xr10:uid="{7F88BC72-D8A4-4664-A5EE-5C761B589535}" sourceName="Requirement Level">
  <pivotTables>
    <pivotTable tabId="4" name="PivotTable1"/>
  </pivotTables>
  <data>
    <tabular pivotCacheId="1100793027">
      <items count="2">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NameKey" xr10:uid="{2ED310EF-1BBB-4E0A-8D90-5637CB266FEE}" sourceName="StatusNameKey">
  <pivotTables>
    <pivotTable tabId="4" name="PivotTable1"/>
  </pivotTables>
  <data>
    <tabular pivotCacheId="1100793027">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etency Groups" xr10:uid="{68A5745A-366E-40AD-A007-299E4FEF082D}" cache="Slicer_Competency_Groups" caption="Group" style="SlicerStyleLight3 2" rowHeight="180000"/>
  <slicer name="Employer" xr10:uid="{3C052947-844F-43FF-B4B6-814C11030FBC}" cache="Slicer_Employer" caption="Employer" style="SlicerStyleLight3 2" rowHeight="180000"/>
  <slicer name="Requirement Level" xr10:uid="{6C60184A-2111-4910-81F9-BDC9480C2DC1}" cache="Slicer_Requirement_Level" caption="Requirement Level" columnCount="3" style="header" rowHeight="257175"/>
  <slicer name="Status" xr10:uid="{C674F6C3-3971-4013-B175-8303DA0C7627}" cache="Slicer_StatusNameKey" caption="Status" columnCount="4" style="head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 displayName="List" ref="A1:L1194" tableType="queryTable" totalsRowShown="0">
  <autoFilter ref="A1:L1194" xr:uid="{00000000-0009-0000-0100-000004000000}"/>
  <tableColumns count="12">
    <tableColumn id="1" xr3:uid="{00000000-0010-0000-0000-000001000000}" uniqueName="1" name="OPMS ID" queryTableFieldId="1"/>
    <tableColumn id="2" xr3:uid="{00000000-0010-0000-0000-000002000000}" uniqueName="2" name="FullName" queryTableFieldId="2" dataDxfId="10"/>
    <tableColumn id="8" xr3:uid="{00000000-0010-0000-0000-000008000000}" uniqueName="8" name="Position" queryTableFieldId="8" dataDxfId="9"/>
    <tableColumn id="3" xr3:uid="{00000000-0010-0000-0000-000003000000}" uniqueName="3" name="Email" queryTableFieldId="3" dataDxfId="8"/>
    <tableColumn id="4" xr3:uid="{00000000-0010-0000-0000-000004000000}" uniqueName="4" name="MobilePhone" queryTableFieldId="4" dataDxfId="7"/>
    <tableColumn id="5" xr3:uid="{00000000-0010-0000-0000-000005000000}" uniqueName="5" name="Required Competency" queryTableFieldId="5" dataDxfId="6"/>
    <tableColumn id="13" xr3:uid="{00000000-0010-0000-0000-00000D000000}" uniqueName="13" name="Competency Group" queryTableFieldId="13" dataDxfId="5"/>
    <tableColumn id="6" xr3:uid="{00000000-0010-0000-0000-000006000000}" uniqueName="6" name="Requirement Level" queryTableFieldId="6" dataDxfId="4"/>
    <tableColumn id="14" xr3:uid="{00000000-0010-0000-0000-00000E000000}" uniqueName="14" name="Status in OPMS" queryTableFieldId="14" dataDxfId="3"/>
    <tableColumn id="10" xr3:uid="{00000000-0010-0000-0000-00000A000000}" uniqueName="10" name="Expiry" queryTableFieldId="10" dataDxfId="2"/>
    <tableColumn id="11" xr3:uid="{00000000-0010-0000-0000-00000B000000}" uniqueName="11" name="Issued" queryTableFieldId="11" dataDxfId="1"/>
    <tableColumn id="7" xr3:uid="{00000000-0010-0000-0000-000007000000}" uniqueName="7" name="Attachement" queryTableFieldId="18" dataDxfId="0"/>
  </tableColumns>
  <tableStyleInfo name="MyStyp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ta" displayName="Data" ref="A5:P1245" totalsRowCount="1">
  <autoFilter ref="A5:P1244" xr:uid="{00000000-0009-0000-0100-000001000000}"/>
  <tableColumns count="16">
    <tableColumn id="1" xr3:uid="{00000000-0010-0000-0100-000001000000}" name="OPMS ID" totalsRowLabel="Total"/>
    <tableColumn id="15" xr3:uid="{00000000-0010-0000-0100-00000F000000}" name="FullName"/>
    <tableColumn id="14" xr3:uid="{00000000-0010-0000-0100-00000E000000}" name="Email"/>
    <tableColumn id="13" xr3:uid="{00000000-0010-0000-0100-00000D000000}" name="MobilePhone"/>
    <tableColumn id="2" xr3:uid="{00000000-0010-0000-0100-000002000000}" name="Required Competency"/>
    <tableColumn id="3" xr3:uid="{00000000-0010-0000-0100-000003000000}" name="Requirement Level"/>
    <tableColumn id="4" xr3:uid="{00000000-0010-0000-0100-000004000000}" name="Status"/>
    <tableColumn id="5" xr3:uid="{00000000-0010-0000-0100-000005000000}" name="Position"/>
    <tableColumn id="9" xr3:uid="{00000000-0010-0000-0100-000009000000}" name="Employer"/>
    <tableColumn id="6" xr3:uid="{00000000-0010-0000-0100-000006000000}" name="Scanned Document"/>
    <tableColumn id="8" xr3:uid="{00000000-0010-0000-0100-000008000000}" name="Competency Groups"/>
    <tableColumn id="11" xr3:uid="{00000000-0010-0000-0100-00000B000000}" name="Expiry" dataDxfId="18" totalsRowDxfId="17"/>
    <tableColumn id="16" xr3:uid="{00000000-0010-0000-0100-000010000000}" name="Issued" dataDxfId="16" totalsRowDxfId="15"/>
    <tableColumn id="10" xr3:uid="{00000000-0010-0000-0100-00000A000000}" name="StatusKey"/>
    <tableColumn id="12" xr3:uid="{00000000-0010-0000-0100-00000C000000}" name="Has Course booking" totalsRowFunction="sum"/>
    <tableColumn id="7" xr3:uid="{00000000-0010-0000-0100-000007000000}" name="StatusNameKey" totalsRowFunction="count">
      <calculatedColumnFormula>_xlfn.XLOOKUP(Data[[#This Row],[StatusKey]],Status_Key[Status_Key],Status_Key[Name],"")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mpliance_Status" displayName="Compliance_Status" ref="A2:C14" totalsRowShown="0">
  <autoFilter ref="A2:C14" xr:uid="{00000000-0009-0000-0100-000002000000}"/>
  <tableColumns count="3">
    <tableColumn id="1" xr3:uid="{00000000-0010-0000-0200-000001000000}" name="Status from OPMS"/>
    <tableColumn id="2" xr3:uid="{00000000-0010-0000-0200-000002000000}" name="Status_Key"/>
    <tableColumn id="3" xr3:uid="{00000000-0010-0000-0200-000003000000}" name="Has Course booking"/>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Status_Key" displayName="Status_Key" ref="H2:I6" totalsRowShown="0">
  <autoFilter ref="H2:I6" xr:uid="{00000000-0009-0000-0100-000003000000}"/>
  <tableColumns count="2">
    <tableColumn id="1" xr3:uid="{00000000-0010-0000-0300-000001000000}" name="Status_Key"/>
    <tableColumn id="2" xr3:uid="{00000000-0010-0000-0300-000002000000}" name="Nam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197"/>
  <sheetViews>
    <sheetView showGridLines="0" tabSelected="1" workbookViewId="0">
      <selection activeCell="C28" sqref="C28"/>
    </sheetView>
  </sheetViews>
  <sheetFormatPr defaultColWidth="9" defaultRowHeight="15" x14ac:dyDescent="0.25"/>
  <cols>
    <col min="1" max="1" width="31.28515625" customWidth="1"/>
    <col min="2" max="2" width="25.7109375" customWidth="1"/>
    <col min="3" max="3" width="28.85546875" customWidth="1"/>
    <col min="4" max="4" width="34.5703125" customWidth="1"/>
    <col min="5" max="5" width="17.140625" customWidth="1"/>
    <col min="6" max="6" width="6.28515625" hidden="1" customWidth="1"/>
    <col min="7" max="7" width="48.85546875" customWidth="1"/>
    <col min="8" max="8" width="17.42578125" customWidth="1"/>
    <col min="9" max="9" width="15" customWidth="1"/>
    <col min="10" max="10" width="16.5703125" customWidth="1"/>
  </cols>
  <sheetData>
    <row r="1" spans="2:12" x14ac:dyDescent="0.25">
      <c r="B1" s="6">
        <f>Data!B1</f>
        <v>46251.533407129631</v>
      </c>
      <c r="C1" s="5"/>
      <c r="D1" s="5"/>
      <c r="E1" s="5"/>
      <c r="F1" s="5"/>
      <c r="G1" s="5"/>
      <c r="H1" s="5"/>
      <c r="I1" s="5"/>
      <c r="J1" s="5"/>
      <c r="K1" s="5"/>
      <c r="L1" s="5"/>
    </row>
    <row r="2" spans="2:12" ht="51.75" customHeight="1" x14ac:dyDescent="0.25">
      <c r="B2" s="8" t="str">
        <f>Data!B2</f>
        <v>UNITED</v>
      </c>
      <c r="C2" s="8"/>
      <c r="D2" s="8"/>
      <c r="E2" s="5"/>
      <c r="F2" s="5"/>
      <c r="G2" s="5"/>
      <c r="H2" s="5"/>
      <c r="I2" s="5"/>
      <c r="J2" s="5"/>
      <c r="K2" s="5"/>
      <c r="L2" s="5"/>
    </row>
    <row r="3" spans="2:12" x14ac:dyDescent="0.25">
      <c r="B3" s="4" t="s">
        <v>42</v>
      </c>
      <c r="C3" s="4" t="s">
        <v>4</v>
      </c>
      <c r="D3" s="4" t="s">
        <v>44</v>
      </c>
      <c r="E3" s="4" t="s">
        <v>45</v>
      </c>
      <c r="F3" s="4" t="s">
        <v>53</v>
      </c>
      <c r="G3" s="4" t="s">
        <v>1</v>
      </c>
      <c r="H3" s="4" t="s">
        <v>55</v>
      </c>
      <c r="I3" s="4" t="s">
        <v>41</v>
      </c>
      <c r="J3" s="4" t="s">
        <v>52</v>
      </c>
      <c r="K3" s="4" t="s">
        <v>51</v>
      </c>
      <c r="L3" s="4" t="s">
        <v>58</v>
      </c>
    </row>
    <row r="4" spans="2:12" x14ac:dyDescent="0.25">
      <c r="B4" t="s">
        <v>266</v>
      </c>
      <c r="C4" t="s">
        <v>66</v>
      </c>
      <c r="D4" t="s">
        <v>62</v>
      </c>
      <c r="E4" t="s">
        <v>63</v>
      </c>
      <c r="F4">
        <v>1</v>
      </c>
      <c r="G4" t="s">
        <v>64</v>
      </c>
      <c r="H4" t="s">
        <v>16</v>
      </c>
      <c r="I4" t="s">
        <v>267</v>
      </c>
      <c r="J4" t="s">
        <v>268</v>
      </c>
      <c r="L4" t="s">
        <v>67</v>
      </c>
    </row>
    <row r="5" spans="2:12" x14ac:dyDescent="0.25">
      <c r="F5">
        <v>2</v>
      </c>
      <c r="G5" t="s">
        <v>69</v>
      </c>
      <c r="H5" t="s">
        <v>16</v>
      </c>
      <c r="I5" t="s">
        <v>267</v>
      </c>
      <c r="J5" t="s">
        <v>268</v>
      </c>
    </row>
    <row r="6" spans="2:12" x14ac:dyDescent="0.25">
      <c r="F6">
        <v>3</v>
      </c>
      <c r="G6" t="s">
        <v>70</v>
      </c>
      <c r="H6" t="s">
        <v>16</v>
      </c>
      <c r="I6" t="s">
        <v>269</v>
      </c>
      <c r="J6" t="s">
        <v>270</v>
      </c>
      <c r="L6" t="s">
        <v>67</v>
      </c>
    </row>
    <row r="7" spans="2:12" x14ac:dyDescent="0.25">
      <c r="F7">
        <v>4</v>
      </c>
      <c r="G7" t="s">
        <v>71</v>
      </c>
      <c r="H7" t="s">
        <v>18</v>
      </c>
    </row>
    <row r="8" spans="2:12" x14ac:dyDescent="0.25">
      <c r="F8">
        <v>5</v>
      </c>
      <c r="G8" t="s">
        <v>73</v>
      </c>
      <c r="H8" t="s">
        <v>16</v>
      </c>
      <c r="I8" t="s">
        <v>271</v>
      </c>
      <c r="J8" t="s">
        <v>272</v>
      </c>
      <c r="L8" t="s">
        <v>67</v>
      </c>
    </row>
    <row r="9" spans="2:12" x14ac:dyDescent="0.25">
      <c r="F9">
        <v>6</v>
      </c>
      <c r="G9" t="s">
        <v>74</v>
      </c>
      <c r="H9" t="s">
        <v>16</v>
      </c>
      <c r="I9" t="s">
        <v>273</v>
      </c>
      <c r="J9" t="s">
        <v>274</v>
      </c>
      <c r="L9" t="s">
        <v>67</v>
      </c>
    </row>
    <row r="10" spans="2:12" x14ac:dyDescent="0.25">
      <c r="F10">
        <v>7</v>
      </c>
      <c r="G10" t="s">
        <v>75</v>
      </c>
      <c r="H10" t="s">
        <v>18</v>
      </c>
    </row>
    <row r="11" spans="2:12" x14ac:dyDescent="0.25">
      <c r="F11">
        <v>8</v>
      </c>
      <c r="G11" t="s">
        <v>76</v>
      </c>
      <c r="H11" t="s">
        <v>16</v>
      </c>
      <c r="I11" t="s">
        <v>275</v>
      </c>
      <c r="J11" t="s">
        <v>276</v>
      </c>
      <c r="L11" t="s">
        <v>67</v>
      </c>
    </row>
    <row r="12" spans="2:12" x14ac:dyDescent="0.25">
      <c r="F12">
        <v>9</v>
      </c>
      <c r="G12" t="s">
        <v>78</v>
      </c>
      <c r="H12" t="s">
        <v>16</v>
      </c>
      <c r="I12" t="s">
        <v>79</v>
      </c>
      <c r="J12" t="s">
        <v>277</v>
      </c>
      <c r="L12" t="s">
        <v>67</v>
      </c>
    </row>
    <row r="13" spans="2:12" x14ac:dyDescent="0.25">
      <c r="F13">
        <v>10</v>
      </c>
      <c r="G13" t="s">
        <v>80</v>
      </c>
      <c r="H13" t="s">
        <v>16</v>
      </c>
      <c r="I13" t="s">
        <v>79</v>
      </c>
      <c r="J13" t="s">
        <v>278</v>
      </c>
      <c r="L13" t="s">
        <v>67</v>
      </c>
    </row>
    <row r="14" spans="2:12" x14ac:dyDescent="0.25">
      <c r="F14">
        <v>11</v>
      </c>
      <c r="G14" t="s">
        <v>81</v>
      </c>
      <c r="H14" t="s">
        <v>16</v>
      </c>
      <c r="I14" t="s">
        <v>279</v>
      </c>
      <c r="J14" t="s">
        <v>280</v>
      </c>
      <c r="L14" t="s">
        <v>67</v>
      </c>
    </row>
    <row r="15" spans="2:12" x14ac:dyDescent="0.25">
      <c r="F15">
        <v>12</v>
      </c>
      <c r="G15" t="s">
        <v>82</v>
      </c>
      <c r="H15" t="s">
        <v>16</v>
      </c>
      <c r="I15" t="s">
        <v>281</v>
      </c>
      <c r="J15" t="s">
        <v>282</v>
      </c>
      <c r="L15" t="s">
        <v>67</v>
      </c>
    </row>
    <row r="16" spans="2:12" x14ac:dyDescent="0.25">
      <c r="F16">
        <v>13</v>
      </c>
      <c r="G16" t="s">
        <v>84</v>
      </c>
      <c r="H16" t="s">
        <v>16</v>
      </c>
      <c r="I16" t="s">
        <v>283</v>
      </c>
      <c r="J16" t="s">
        <v>284</v>
      </c>
      <c r="L16" t="s">
        <v>67</v>
      </c>
    </row>
    <row r="17" spans="6:12" x14ac:dyDescent="0.25">
      <c r="F17">
        <v>14</v>
      </c>
      <c r="G17" t="s">
        <v>85</v>
      </c>
      <c r="H17" t="s">
        <v>16</v>
      </c>
      <c r="I17" t="s">
        <v>79</v>
      </c>
      <c r="J17" t="s">
        <v>285</v>
      </c>
      <c r="L17" t="s">
        <v>67</v>
      </c>
    </row>
    <row r="18" spans="6:12" x14ac:dyDescent="0.25">
      <c r="F18">
        <v>15</v>
      </c>
      <c r="G18" t="s">
        <v>87</v>
      </c>
      <c r="H18" t="s">
        <v>16</v>
      </c>
      <c r="I18" t="s">
        <v>79</v>
      </c>
      <c r="J18" t="s">
        <v>286</v>
      </c>
      <c r="L18" t="s">
        <v>67</v>
      </c>
    </row>
    <row r="19" spans="6:12" x14ac:dyDescent="0.25">
      <c r="F19">
        <v>16</v>
      </c>
      <c r="G19" t="s">
        <v>88</v>
      </c>
      <c r="H19" t="s">
        <v>16</v>
      </c>
      <c r="I19" t="s">
        <v>79</v>
      </c>
      <c r="J19" t="s">
        <v>287</v>
      </c>
      <c r="L19" t="s">
        <v>67</v>
      </c>
    </row>
    <row r="20" spans="6:12" x14ac:dyDescent="0.25">
      <c r="F20">
        <v>17</v>
      </c>
      <c r="G20" t="s">
        <v>89</v>
      </c>
      <c r="H20" t="s">
        <v>16</v>
      </c>
      <c r="I20" t="s">
        <v>79</v>
      </c>
      <c r="J20" t="s">
        <v>288</v>
      </c>
      <c r="L20" t="s">
        <v>67</v>
      </c>
    </row>
    <row r="21" spans="6:12" x14ac:dyDescent="0.25">
      <c r="F21">
        <v>18</v>
      </c>
      <c r="G21" t="s">
        <v>90</v>
      </c>
      <c r="H21" t="s">
        <v>16</v>
      </c>
      <c r="I21" t="s">
        <v>79</v>
      </c>
      <c r="J21" t="s">
        <v>289</v>
      </c>
      <c r="L21" t="s">
        <v>67</v>
      </c>
    </row>
    <row r="22" spans="6:12" x14ac:dyDescent="0.25">
      <c r="F22">
        <v>19</v>
      </c>
      <c r="G22" t="s">
        <v>91</v>
      </c>
      <c r="H22" t="s">
        <v>16</v>
      </c>
      <c r="I22" t="s">
        <v>79</v>
      </c>
      <c r="J22" t="s">
        <v>290</v>
      </c>
      <c r="L22" t="s">
        <v>67</v>
      </c>
    </row>
    <row r="23" spans="6:12" x14ac:dyDescent="0.25">
      <c r="F23">
        <v>20</v>
      </c>
      <c r="G23" t="s">
        <v>92</v>
      </c>
      <c r="H23" t="s">
        <v>16</v>
      </c>
      <c r="I23" t="s">
        <v>291</v>
      </c>
      <c r="J23" t="s">
        <v>292</v>
      </c>
      <c r="L23" t="s">
        <v>67</v>
      </c>
    </row>
    <row r="24" spans="6:12" x14ac:dyDescent="0.25">
      <c r="F24">
        <v>21</v>
      </c>
      <c r="G24" t="s">
        <v>93</v>
      </c>
      <c r="H24" t="s">
        <v>16</v>
      </c>
      <c r="I24" t="s">
        <v>293</v>
      </c>
      <c r="J24" t="s">
        <v>294</v>
      </c>
      <c r="L24" t="s">
        <v>67</v>
      </c>
    </row>
    <row r="25" spans="6:12" x14ac:dyDescent="0.25">
      <c r="F25">
        <v>22</v>
      </c>
      <c r="G25" t="s">
        <v>95</v>
      </c>
      <c r="H25" t="s">
        <v>16</v>
      </c>
      <c r="I25" t="s">
        <v>295</v>
      </c>
      <c r="J25" t="s">
        <v>296</v>
      </c>
      <c r="L25" t="s">
        <v>67</v>
      </c>
    </row>
    <row r="26" spans="6:12" x14ac:dyDescent="0.25">
      <c r="F26">
        <v>23</v>
      </c>
      <c r="G26" t="s">
        <v>96</v>
      </c>
      <c r="H26" t="s">
        <v>16</v>
      </c>
      <c r="I26" t="s">
        <v>79</v>
      </c>
      <c r="J26" t="s">
        <v>297</v>
      </c>
      <c r="L26" t="s">
        <v>67</v>
      </c>
    </row>
    <row r="27" spans="6:12" x14ac:dyDescent="0.25">
      <c r="F27">
        <v>24</v>
      </c>
      <c r="G27" t="s">
        <v>97</v>
      </c>
      <c r="H27" t="s">
        <v>16</v>
      </c>
      <c r="I27" t="s">
        <v>275</v>
      </c>
      <c r="J27" t="s">
        <v>298</v>
      </c>
      <c r="L27" t="s">
        <v>67</v>
      </c>
    </row>
    <row r="28" spans="6:12" x14ac:dyDescent="0.25">
      <c r="F28">
        <v>25</v>
      </c>
      <c r="G28" t="s">
        <v>99</v>
      </c>
      <c r="H28" t="s">
        <v>16</v>
      </c>
      <c r="I28" t="s">
        <v>299</v>
      </c>
      <c r="J28" t="s">
        <v>300</v>
      </c>
      <c r="L28" t="s">
        <v>67</v>
      </c>
    </row>
    <row r="29" spans="6:12" x14ac:dyDescent="0.25">
      <c r="F29">
        <v>26</v>
      </c>
      <c r="G29" t="s">
        <v>100</v>
      </c>
      <c r="H29" t="s">
        <v>16</v>
      </c>
      <c r="I29" t="s">
        <v>299</v>
      </c>
      <c r="J29" t="s">
        <v>300</v>
      </c>
      <c r="L29" t="s">
        <v>67</v>
      </c>
    </row>
    <row r="30" spans="6:12" x14ac:dyDescent="0.25">
      <c r="F30">
        <v>27</v>
      </c>
      <c r="G30" t="s">
        <v>101</v>
      </c>
      <c r="H30" t="s">
        <v>16</v>
      </c>
      <c r="I30" t="s">
        <v>79</v>
      </c>
      <c r="J30" t="s">
        <v>301</v>
      </c>
      <c r="L30" t="s">
        <v>67</v>
      </c>
    </row>
    <row r="31" spans="6:12" x14ac:dyDescent="0.25">
      <c r="F31">
        <v>28</v>
      </c>
      <c r="G31" t="s">
        <v>103</v>
      </c>
      <c r="H31" t="s">
        <v>16</v>
      </c>
      <c r="I31" t="s">
        <v>302</v>
      </c>
      <c r="J31" t="s">
        <v>303</v>
      </c>
      <c r="L31" t="s">
        <v>67</v>
      </c>
    </row>
    <row r="32" spans="6:12" x14ac:dyDescent="0.25">
      <c r="F32">
        <v>29</v>
      </c>
      <c r="G32" t="s">
        <v>104</v>
      </c>
      <c r="H32" t="s">
        <v>16</v>
      </c>
      <c r="I32" t="s">
        <v>304</v>
      </c>
      <c r="J32" t="s">
        <v>305</v>
      </c>
      <c r="L32" t="s">
        <v>67</v>
      </c>
    </row>
    <row r="33" spans="2:12" x14ac:dyDescent="0.25">
      <c r="F33">
        <v>30</v>
      </c>
      <c r="G33" t="s">
        <v>106</v>
      </c>
      <c r="H33" t="s">
        <v>16</v>
      </c>
      <c r="I33" t="s">
        <v>306</v>
      </c>
      <c r="J33" t="s">
        <v>307</v>
      </c>
      <c r="L33" t="s">
        <v>67</v>
      </c>
    </row>
    <row r="34" spans="2:12" x14ac:dyDescent="0.25">
      <c r="F34">
        <v>31</v>
      </c>
      <c r="G34" t="s">
        <v>107</v>
      </c>
      <c r="H34" t="s">
        <v>16</v>
      </c>
      <c r="I34" t="s">
        <v>308</v>
      </c>
      <c r="J34" t="s">
        <v>309</v>
      </c>
      <c r="L34" t="s">
        <v>67</v>
      </c>
    </row>
    <row r="35" spans="2:12" x14ac:dyDescent="0.25">
      <c r="F35">
        <v>32</v>
      </c>
      <c r="G35" t="s">
        <v>108</v>
      </c>
      <c r="H35" t="s">
        <v>16</v>
      </c>
      <c r="I35" t="s">
        <v>310</v>
      </c>
      <c r="J35" t="s">
        <v>311</v>
      </c>
      <c r="L35" t="s">
        <v>67</v>
      </c>
    </row>
    <row r="36" spans="2:12" x14ac:dyDescent="0.25">
      <c r="F36">
        <v>33</v>
      </c>
      <c r="G36" t="s">
        <v>109</v>
      </c>
      <c r="H36" t="s">
        <v>16</v>
      </c>
      <c r="I36" t="s">
        <v>312</v>
      </c>
      <c r="J36" t="s">
        <v>313</v>
      </c>
      <c r="L36" t="s">
        <v>67</v>
      </c>
    </row>
    <row r="37" spans="2:12" x14ac:dyDescent="0.25">
      <c r="F37">
        <v>34</v>
      </c>
      <c r="G37" t="s">
        <v>110</v>
      </c>
      <c r="H37" t="s">
        <v>16</v>
      </c>
      <c r="I37" t="s">
        <v>79</v>
      </c>
      <c r="J37" t="s">
        <v>309</v>
      </c>
      <c r="L37" t="s">
        <v>67</v>
      </c>
    </row>
    <row r="38" spans="2:12" x14ac:dyDescent="0.25">
      <c r="F38">
        <v>35</v>
      </c>
      <c r="G38" t="s">
        <v>111</v>
      </c>
      <c r="H38" t="s">
        <v>16</v>
      </c>
      <c r="I38" t="s">
        <v>314</v>
      </c>
      <c r="J38" t="s">
        <v>315</v>
      </c>
      <c r="L38" t="s">
        <v>67</v>
      </c>
    </row>
    <row r="39" spans="2:12" x14ac:dyDescent="0.25">
      <c r="F39">
        <v>36</v>
      </c>
      <c r="G39" t="s">
        <v>112</v>
      </c>
      <c r="H39" t="s">
        <v>16</v>
      </c>
      <c r="I39" t="s">
        <v>312</v>
      </c>
      <c r="J39" t="s">
        <v>313</v>
      </c>
      <c r="L39" t="s">
        <v>67</v>
      </c>
    </row>
    <row r="40" spans="2:12" x14ac:dyDescent="0.25">
      <c r="F40">
        <v>37</v>
      </c>
      <c r="G40" t="s">
        <v>113</v>
      </c>
      <c r="H40" t="s">
        <v>16</v>
      </c>
      <c r="I40" t="s">
        <v>281</v>
      </c>
      <c r="J40" t="s">
        <v>282</v>
      </c>
      <c r="L40" t="s">
        <v>67</v>
      </c>
    </row>
    <row r="41" spans="2:12" x14ac:dyDescent="0.25">
      <c r="B41" t="s">
        <v>316</v>
      </c>
      <c r="C41" t="s">
        <v>66</v>
      </c>
      <c r="D41" t="s">
        <v>115</v>
      </c>
      <c r="E41" t="s">
        <v>116</v>
      </c>
      <c r="F41">
        <v>1</v>
      </c>
      <c r="G41" t="s">
        <v>64</v>
      </c>
      <c r="H41" t="s">
        <v>39</v>
      </c>
      <c r="I41" t="s">
        <v>317</v>
      </c>
      <c r="J41" t="s">
        <v>318</v>
      </c>
      <c r="L41" t="s">
        <v>67</v>
      </c>
    </row>
    <row r="42" spans="2:12" x14ac:dyDescent="0.25">
      <c r="F42">
        <v>2</v>
      </c>
      <c r="G42" t="s">
        <v>69</v>
      </c>
      <c r="H42" t="s">
        <v>16</v>
      </c>
      <c r="I42" t="s">
        <v>319</v>
      </c>
      <c r="J42" t="s">
        <v>320</v>
      </c>
      <c r="L42" t="s">
        <v>67</v>
      </c>
    </row>
    <row r="43" spans="2:12" x14ac:dyDescent="0.25">
      <c r="F43">
        <v>3</v>
      </c>
      <c r="G43" t="s">
        <v>70</v>
      </c>
      <c r="H43" t="s">
        <v>16</v>
      </c>
      <c r="I43" t="s">
        <v>321</v>
      </c>
      <c r="J43" t="s">
        <v>322</v>
      </c>
      <c r="L43" t="s">
        <v>67</v>
      </c>
    </row>
    <row r="44" spans="2:12" x14ac:dyDescent="0.25">
      <c r="F44">
        <v>4</v>
      </c>
      <c r="G44" t="s">
        <v>71</v>
      </c>
      <c r="H44" t="s">
        <v>39</v>
      </c>
      <c r="I44" t="s">
        <v>323</v>
      </c>
      <c r="J44" t="s">
        <v>318</v>
      </c>
    </row>
    <row r="45" spans="2:12" x14ac:dyDescent="0.25">
      <c r="F45">
        <v>5</v>
      </c>
      <c r="G45" t="s">
        <v>73</v>
      </c>
      <c r="H45" t="s">
        <v>39</v>
      </c>
      <c r="I45" t="s">
        <v>324</v>
      </c>
      <c r="J45" t="s">
        <v>325</v>
      </c>
      <c r="L45" t="s">
        <v>67</v>
      </c>
    </row>
    <row r="46" spans="2:12" x14ac:dyDescent="0.25">
      <c r="F46">
        <v>6</v>
      </c>
      <c r="G46" t="s">
        <v>74</v>
      </c>
      <c r="H46" t="s">
        <v>16</v>
      </c>
      <c r="I46" t="s">
        <v>326</v>
      </c>
      <c r="J46" t="s">
        <v>327</v>
      </c>
      <c r="L46" t="s">
        <v>67</v>
      </c>
    </row>
    <row r="47" spans="2:12" x14ac:dyDescent="0.25">
      <c r="F47">
        <v>7</v>
      </c>
      <c r="G47" t="s">
        <v>75</v>
      </c>
      <c r="H47" t="s">
        <v>18</v>
      </c>
    </row>
    <row r="48" spans="2:12" x14ac:dyDescent="0.25">
      <c r="F48">
        <v>8</v>
      </c>
      <c r="G48" t="s">
        <v>76</v>
      </c>
      <c r="H48" t="s">
        <v>16</v>
      </c>
      <c r="I48" t="s">
        <v>328</v>
      </c>
      <c r="J48" t="s">
        <v>329</v>
      </c>
      <c r="L48" t="s">
        <v>67</v>
      </c>
    </row>
    <row r="49" spans="6:12" x14ac:dyDescent="0.25">
      <c r="F49">
        <v>9</v>
      </c>
      <c r="G49" t="s">
        <v>78</v>
      </c>
      <c r="H49" t="s">
        <v>16</v>
      </c>
      <c r="I49" t="s">
        <v>79</v>
      </c>
      <c r="J49" t="s">
        <v>330</v>
      </c>
      <c r="L49" t="s">
        <v>67</v>
      </c>
    </row>
    <row r="50" spans="6:12" x14ac:dyDescent="0.25">
      <c r="F50">
        <v>10</v>
      </c>
      <c r="G50" t="s">
        <v>80</v>
      </c>
      <c r="H50" t="s">
        <v>16</v>
      </c>
      <c r="I50" t="s">
        <v>79</v>
      </c>
      <c r="J50" t="s">
        <v>331</v>
      </c>
      <c r="L50" t="s">
        <v>67</v>
      </c>
    </row>
    <row r="51" spans="6:12" x14ac:dyDescent="0.25">
      <c r="F51">
        <v>11</v>
      </c>
      <c r="G51" t="s">
        <v>81</v>
      </c>
      <c r="H51" t="s">
        <v>16</v>
      </c>
      <c r="I51" t="s">
        <v>332</v>
      </c>
      <c r="J51" t="s">
        <v>333</v>
      </c>
      <c r="L51" t="s">
        <v>67</v>
      </c>
    </row>
    <row r="52" spans="6:12" x14ac:dyDescent="0.25">
      <c r="F52">
        <v>12</v>
      </c>
      <c r="G52" t="s">
        <v>82</v>
      </c>
      <c r="H52" t="s">
        <v>16</v>
      </c>
      <c r="I52" t="s">
        <v>334</v>
      </c>
      <c r="J52" t="s">
        <v>335</v>
      </c>
      <c r="L52" t="s">
        <v>67</v>
      </c>
    </row>
    <row r="53" spans="6:12" x14ac:dyDescent="0.25">
      <c r="F53">
        <v>13</v>
      </c>
      <c r="G53" t="s">
        <v>84</v>
      </c>
      <c r="H53" t="s">
        <v>16</v>
      </c>
      <c r="I53" t="s">
        <v>336</v>
      </c>
      <c r="J53" t="s">
        <v>337</v>
      </c>
      <c r="L53" t="s">
        <v>67</v>
      </c>
    </row>
    <row r="54" spans="6:12" x14ac:dyDescent="0.25">
      <c r="F54">
        <v>14</v>
      </c>
      <c r="G54" t="s">
        <v>85</v>
      </c>
      <c r="H54" t="s">
        <v>16</v>
      </c>
      <c r="I54" t="s">
        <v>79</v>
      </c>
      <c r="J54" t="s">
        <v>338</v>
      </c>
      <c r="L54" t="s">
        <v>67</v>
      </c>
    </row>
    <row r="55" spans="6:12" x14ac:dyDescent="0.25">
      <c r="F55">
        <v>15</v>
      </c>
      <c r="G55" t="s">
        <v>87</v>
      </c>
      <c r="H55" t="s">
        <v>16</v>
      </c>
      <c r="I55" t="s">
        <v>79</v>
      </c>
      <c r="J55" t="s">
        <v>339</v>
      </c>
      <c r="L55" t="s">
        <v>67</v>
      </c>
    </row>
    <row r="56" spans="6:12" x14ac:dyDescent="0.25">
      <c r="F56">
        <v>16</v>
      </c>
      <c r="G56" t="s">
        <v>88</v>
      </c>
      <c r="H56" t="s">
        <v>16</v>
      </c>
      <c r="I56" t="s">
        <v>79</v>
      </c>
      <c r="J56" t="s">
        <v>340</v>
      </c>
      <c r="L56" t="s">
        <v>67</v>
      </c>
    </row>
    <row r="57" spans="6:12" x14ac:dyDescent="0.25">
      <c r="F57">
        <v>17</v>
      </c>
      <c r="G57" t="s">
        <v>89</v>
      </c>
      <c r="H57" t="s">
        <v>16</v>
      </c>
      <c r="I57" t="s">
        <v>79</v>
      </c>
      <c r="J57" t="s">
        <v>341</v>
      </c>
      <c r="L57" t="s">
        <v>67</v>
      </c>
    </row>
    <row r="58" spans="6:12" x14ac:dyDescent="0.25">
      <c r="F58">
        <v>18</v>
      </c>
      <c r="G58" t="s">
        <v>90</v>
      </c>
      <c r="H58" t="s">
        <v>16</v>
      </c>
      <c r="I58" t="s">
        <v>79</v>
      </c>
      <c r="J58" t="s">
        <v>342</v>
      </c>
      <c r="L58" t="s">
        <v>67</v>
      </c>
    </row>
    <row r="59" spans="6:12" x14ac:dyDescent="0.25">
      <c r="F59">
        <v>19</v>
      </c>
      <c r="G59" t="s">
        <v>91</v>
      </c>
      <c r="H59" t="s">
        <v>16</v>
      </c>
      <c r="I59" t="s">
        <v>79</v>
      </c>
      <c r="J59" t="s">
        <v>343</v>
      </c>
      <c r="L59" t="s">
        <v>67</v>
      </c>
    </row>
    <row r="60" spans="6:12" x14ac:dyDescent="0.25">
      <c r="F60">
        <v>20</v>
      </c>
      <c r="G60" t="s">
        <v>92</v>
      </c>
      <c r="H60" t="s">
        <v>16</v>
      </c>
      <c r="I60" t="s">
        <v>344</v>
      </c>
      <c r="J60" t="s">
        <v>345</v>
      </c>
      <c r="L60" t="s">
        <v>67</v>
      </c>
    </row>
    <row r="61" spans="6:12" x14ac:dyDescent="0.25">
      <c r="F61">
        <v>21</v>
      </c>
      <c r="G61" t="s">
        <v>93</v>
      </c>
      <c r="H61" t="s">
        <v>16</v>
      </c>
      <c r="I61" t="s">
        <v>336</v>
      </c>
      <c r="J61" t="s">
        <v>337</v>
      </c>
      <c r="L61" t="s">
        <v>67</v>
      </c>
    </row>
    <row r="62" spans="6:12" x14ac:dyDescent="0.25">
      <c r="F62">
        <v>22</v>
      </c>
      <c r="G62" t="s">
        <v>95</v>
      </c>
      <c r="H62" t="s">
        <v>16</v>
      </c>
      <c r="I62" t="s">
        <v>336</v>
      </c>
      <c r="J62" t="s">
        <v>337</v>
      </c>
      <c r="L62" t="s">
        <v>67</v>
      </c>
    </row>
    <row r="63" spans="6:12" x14ac:dyDescent="0.25">
      <c r="F63">
        <v>23</v>
      </c>
      <c r="G63" t="s">
        <v>96</v>
      </c>
      <c r="H63" t="s">
        <v>16</v>
      </c>
      <c r="I63" t="s">
        <v>79</v>
      </c>
      <c r="J63" t="s">
        <v>297</v>
      </c>
      <c r="L63" t="s">
        <v>67</v>
      </c>
    </row>
    <row r="64" spans="6:12" x14ac:dyDescent="0.25">
      <c r="F64">
        <v>24</v>
      </c>
      <c r="G64" t="s">
        <v>97</v>
      </c>
      <c r="H64" t="s">
        <v>16</v>
      </c>
      <c r="I64" t="s">
        <v>346</v>
      </c>
      <c r="J64" t="s">
        <v>347</v>
      </c>
      <c r="L64" t="s">
        <v>67</v>
      </c>
    </row>
    <row r="65" spans="2:12" x14ac:dyDescent="0.25">
      <c r="F65">
        <v>25</v>
      </c>
      <c r="G65" t="s">
        <v>99</v>
      </c>
      <c r="H65" t="s">
        <v>16</v>
      </c>
      <c r="I65" t="s">
        <v>348</v>
      </c>
      <c r="J65" t="s">
        <v>349</v>
      </c>
      <c r="L65" t="s">
        <v>67</v>
      </c>
    </row>
    <row r="66" spans="2:12" x14ac:dyDescent="0.25">
      <c r="F66">
        <v>26</v>
      </c>
      <c r="G66" t="s">
        <v>100</v>
      </c>
      <c r="H66" t="s">
        <v>16</v>
      </c>
      <c r="I66" t="s">
        <v>348</v>
      </c>
      <c r="J66" t="s">
        <v>349</v>
      </c>
      <c r="L66" t="s">
        <v>67</v>
      </c>
    </row>
    <row r="67" spans="2:12" x14ac:dyDescent="0.25">
      <c r="F67">
        <v>27</v>
      </c>
      <c r="G67" t="s">
        <v>101</v>
      </c>
      <c r="H67" t="s">
        <v>16</v>
      </c>
      <c r="I67" t="s">
        <v>79</v>
      </c>
      <c r="J67" t="s">
        <v>350</v>
      </c>
      <c r="L67" t="s">
        <v>67</v>
      </c>
    </row>
    <row r="68" spans="2:12" x14ac:dyDescent="0.25">
      <c r="F68">
        <v>28</v>
      </c>
      <c r="G68" t="s">
        <v>103</v>
      </c>
      <c r="H68" t="s">
        <v>16</v>
      </c>
      <c r="I68" t="s">
        <v>351</v>
      </c>
      <c r="J68" t="s">
        <v>352</v>
      </c>
      <c r="L68" t="s">
        <v>67</v>
      </c>
    </row>
    <row r="69" spans="2:12" x14ac:dyDescent="0.25">
      <c r="F69">
        <v>29</v>
      </c>
      <c r="G69" t="s">
        <v>104</v>
      </c>
      <c r="H69" t="s">
        <v>16</v>
      </c>
      <c r="I69" t="s">
        <v>353</v>
      </c>
      <c r="J69" t="s">
        <v>354</v>
      </c>
      <c r="L69" t="s">
        <v>67</v>
      </c>
    </row>
    <row r="70" spans="2:12" x14ac:dyDescent="0.25">
      <c r="F70">
        <v>30</v>
      </c>
      <c r="G70" t="s">
        <v>106</v>
      </c>
      <c r="H70" t="s">
        <v>16</v>
      </c>
      <c r="I70" t="s">
        <v>346</v>
      </c>
      <c r="J70" t="s">
        <v>347</v>
      </c>
      <c r="L70" t="s">
        <v>67</v>
      </c>
    </row>
    <row r="71" spans="2:12" x14ac:dyDescent="0.25">
      <c r="F71">
        <v>31</v>
      </c>
      <c r="G71" t="s">
        <v>107</v>
      </c>
      <c r="H71" t="s">
        <v>16</v>
      </c>
      <c r="I71" t="s">
        <v>355</v>
      </c>
      <c r="J71" t="s">
        <v>347</v>
      </c>
      <c r="L71" t="s">
        <v>67</v>
      </c>
    </row>
    <row r="72" spans="2:12" x14ac:dyDescent="0.25">
      <c r="F72">
        <v>32</v>
      </c>
      <c r="G72" t="s">
        <v>108</v>
      </c>
      <c r="H72" t="s">
        <v>16</v>
      </c>
      <c r="I72" t="s">
        <v>356</v>
      </c>
      <c r="J72" t="s">
        <v>357</v>
      </c>
      <c r="L72" t="s">
        <v>67</v>
      </c>
    </row>
    <row r="73" spans="2:12" x14ac:dyDescent="0.25">
      <c r="F73">
        <v>33</v>
      </c>
      <c r="G73" t="s">
        <v>109</v>
      </c>
      <c r="H73" t="s">
        <v>16</v>
      </c>
      <c r="I73" t="s">
        <v>358</v>
      </c>
      <c r="J73" t="s">
        <v>359</v>
      </c>
      <c r="L73" t="s">
        <v>67</v>
      </c>
    </row>
    <row r="74" spans="2:12" x14ac:dyDescent="0.25">
      <c r="F74">
        <v>34</v>
      </c>
      <c r="G74" t="s">
        <v>110</v>
      </c>
      <c r="H74" t="s">
        <v>16</v>
      </c>
      <c r="I74" t="s">
        <v>79</v>
      </c>
      <c r="J74" t="s">
        <v>360</v>
      </c>
      <c r="L74" t="s">
        <v>67</v>
      </c>
    </row>
    <row r="75" spans="2:12" x14ac:dyDescent="0.25">
      <c r="F75">
        <v>35</v>
      </c>
      <c r="G75" t="s">
        <v>111</v>
      </c>
      <c r="H75" t="s">
        <v>16</v>
      </c>
      <c r="I75" t="s">
        <v>336</v>
      </c>
      <c r="J75" t="s">
        <v>337</v>
      </c>
      <c r="L75" t="s">
        <v>67</v>
      </c>
    </row>
    <row r="76" spans="2:12" x14ac:dyDescent="0.25">
      <c r="F76">
        <v>36</v>
      </c>
      <c r="G76" t="s">
        <v>112</v>
      </c>
      <c r="H76" t="s">
        <v>16</v>
      </c>
      <c r="I76" t="s">
        <v>314</v>
      </c>
      <c r="J76" t="s">
        <v>315</v>
      </c>
      <c r="L76" t="s">
        <v>67</v>
      </c>
    </row>
    <row r="77" spans="2:12" x14ac:dyDescent="0.25">
      <c r="F77">
        <v>37</v>
      </c>
      <c r="G77" t="s">
        <v>113</v>
      </c>
      <c r="H77" t="s">
        <v>16</v>
      </c>
      <c r="I77" t="s">
        <v>314</v>
      </c>
      <c r="J77" t="s">
        <v>315</v>
      </c>
      <c r="L77" t="s">
        <v>67</v>
      </c>
    </row>
    <row r="78" spans="2:12" x14ac:dyDescent="0.25">
      <c r="B78" t="s">
        <v>361</v>
      </c>
      <c r="C78" t="s">
        <v>120</v>
      </c>
      <c r="D78" t="s">
        <v>118</v>
      </c>
      <c r="E78" t="s">
        <v>119</v>
      </c>
      <c r="F78">
        <v>2</v>
      </c>
      <c r="G78" t="s">
        <v>69</v>
      </c>
      <c r="H78" t="s">
        <v>16</v>
      </c>
      <c r="I78" t="s">
        <v>362</v>
      </c>
      <c r="J78" t="s">
        <v>363</v>
      </c>
    </row>
    <row r="79" spans="2:12" x14ac:dyDescent="0.25">
      <c r="F79">
        <v>3</v>
      </c>
      <c r="G79" t="s">
        <v>70</v>
      </c>
      <c r="H79" t="s">
        <v>16</v>
      </c>
      <c r="I79" t="s">
        <v>364</v>
      </c>
      <c r="J79" t="s">
        <v>365</v>
      </c>
      <c r="L79" t="s">
        <v>67</v>
      </c>
    </row>
    <row r="80" spans="2:12" x14ac:dyDescent="0.25">
      <c r="F80">
        <v>4</v>
      </c>
      <c r="G80" t="s">
        <v>71</v>
      </c>
      <c r="H80" t="s">
        <v>16</v>
      </c>
      <c r="I80" t="s">
        <v>366</v>
      </c>
      <c r="J80" t="s">
        <v>367</v>
      </c>
    </row>
    <row r="81" spans="6:12" x14ac:dyDescent="0.25">
      <c r="F81">
        <v>5</v>
      </c>
      <c r="G81" t="s">
        <v>73</v>
      </c>
      <c r="H81" t="s">
        <v>16</v>
      </c>
      <c r="I81" t="s">
        <v>368</v>
      </c>
      <c r="J81" t="s">
        <v>369</v>
      </c>
      <c r="L81" t="s">
        <v>67</v>
      </c>
    </row>
    <row r="82" spans="6:12" x14ac:dyDescent="0.25">
      <c r="F82">
        <v>6</v>
      </c>
      <c r="G82" t="s">
        <v>74</v>
      </c>
      <c r="H82" t="s">
        <v>16</v>
      </c>
      <c r="I82" t="s">
        <v>370</v>
      </c>
      <c r="J82" t="s">
        <v>371</v>
      </c>
      <c r="L82" t="s">
        <v>67</v>
      </c>
    </row>
    <row r="83" spans="6:12" x14ac:dyDescent="0.25">
      <c r="F83">
        <v>7</v>
      </c>
      <c r="G83" t="s">
        <v>75</v>
      </c>
      <c r="H83" t="s">
        <v>16</v>
      </c>
      <c r="I83" t="s">
        <v>372</v>
      </c>
      <c r="J83" t="s">
        <v>373</v>
      </c>
      <c r="L83" t="s">
        <v>67</v>
      </c>
    </row>
    <row r="84" spans="6:12" x14ac:dyDescent="0.25">
      <c r="F84">
        <v>8</v>
      </c>
      <c r="G84" t="s">
        <v>76</v>
      </c>
      <c r="H84" t="s">
        <v>16</v>
      </c>
      <c r="I84" t="s">
        <v>374</v>
      </c>
      <c r="J84" t="s">
        <v>375</v>
      </c>
      <c r="L84" t="s">
        <v>67</v>
      </c>
    </row>
    <row r="85" spans="6:12" x14ac:dyDescent="0.25">
      <c r="F85">
        <v>9</v>
      </c>
      <c r="G85" t="s">
        <v>78</v>
      </c>
      <c r="H85" t="s">
        <v>16</v>
      </c>
      <c r="I85" t="s">
        <v>79</v>
      </c>
      <c r="J85" t="s">
        <v>376</v>
      </c>
      <c r="L85" t="s">
        <v>67</v>
      </c>
    </row>
    <row r="86" spans="6:12" x14ac:dyDescent="0.25">
      <c r="F86">
        <v>10</v>
      </c>
      <c r="G86" t="s">
        <v>80</v>
      </c>
      <c r="H86" t="s">
        <v>16</v>
      </c>
      <c r="I86" t="s">
        <v>79</v>
      </c>
      <c r="J86" t="s">
        <v>377</v>
      </c>
      <c r="L86" t="s">
        <v>67</v>
      </c>
    </row>
    <row r="87" spans="6:12" x14ac:dyDescent="0.25">
      <c r="F87">
        <v>11</v>
      </c>
      <c r="G87" t="s">
        <v>81</v>
      </c>
      <c r="H87" t="s">
        <v>16</v>
      </c>
      <c r="I87" t="s">
        <v>362</v>
      </c>
      <c r="J87" t="s">
        <v>378</v>
      </c>
      <c r="L87" t="s">
        <v>67</v>
      </c>
    </row>
    <row r="88" spans="6:12" x14ac:dyDescent="0.25">
      <c r="F88">
        <v>12</v>
      </c>
      <c r="G88" t="s">
        <v>82</v>
      </c>
      <c r="H88" t="s">
        <v>16</v>
      </c>
      <c r="I88" t="s">
        <v>362</v>
      </c>
      <c r="J88" t="s">
        <v>378</v>
      </c>
      <c r="L88" t="s">
        <v>67</v>
      </c>
    </row>
    <row r="89" spans="6:12" x14ac:dyDescent="0.25">
      <c r="F89">
        <v>13</v>
      </c>
      <c r="G89" t="s">
        <v>84</v>
      </c>
      <c r="H89" t="s">
        <v>16</v>
      </c>
      <c r="I89" t="s">
        <v>362</v>
      </c>
      <c r="J89" t="s">
        <v>378</v>
      </c>
      <c r="L89" t="s">
        <v>67</v>
      </c>
    </row>
    <row r="90" spans="6:12" x14ac:dyDescent="0.25">
      <c r="F90">
        <v>19</v>
      </c>
      <c r="G90" t="s">
        <v>91</v>
      </c>
      <c r="H90" t="s">
        <v>16</v>
      </c>
      <c r="I90" t="s">
        <v>79</v>
      </c>
      <c r="J90" t="s">
        <v>343</v>
      </c>
      <c r="L90" t="s">
        <v>67</v>
      </c>
    </row>
    <row r="91" spans="6:12" x14ac:dyDescent="0.25">
      <c r="F91">
        <v>21</v>
      </c>
      <c r="G91" t="s">
        <v>93</v>
      </c>
      <c r="H91" t="s">
        <v>16</v>
      </c>
      <c r="I91" t="s">
        <v>379</v>
      </c>
      <c r="J91" t="s">
        <v>380</v>
      </c>
      <c r="L91" t="s">
        <v>67</v>
      </c>
    </row>
    <row r="92" spans="6:12" x14ac:dyDescent="0.25">
      <c r="F92">
        <v>22</v>
      </c>
      <c r="G92" t="s">
        <v>95</v>
      </c>
      <c r="H92" t="s">
        <v>16</v>
      </c>
      <c r="I92" t="s">
        <v>379</v>
      </c>
      <c r="J92" t="s">
        <v>380</v>
      </c>
      <c r="L92" t="s">
        <v>67</v>
      </c>
    </row>
    <row r="93" spans="6:12" x14ac:dyDescent="0.25">
      <c r="F93">
        <v>23</v>
      </c>
      <c r="G93" t="s">
        <v>96</v>
      </c>
      <c r="H93" t="s">
        <v>16</v>
      </c>
      <c r="I93" t="s">
        <v>79</v>
      </c>
      <c r="J93" t="s">
        <v>381</v>
      </c>
      <c r="L93" t="s">
        <v>67</v>
      </c>
    </row>
    <row r="94" spans="6:12" x14ac:dyDescent="0.25">
      <c r="F94">
        <v>24</v>
      </c>
      <c r="G94" t="s">
        <v>97</v>
      </c>
      <c r="H94" t="s">
        <v>16</v>
      </c>
      <c r="I94" t="s">
        <v>382</v>
      </c>
      <c r="J94" t="s">
        <v>360</v>
      </c>
      <c r="L94" t="s">
        <v>67</v>
      </c>
    </row>
    <row r="95" spans="6:12" x14ac:dyDescent="0.25">
      <c r="F95">
        <v>27</v>
      </c>
      <c r="G95" t="s">
        <v>101</v>
      </c>
      <c r="H95" t="s">
        <v>16</v>
      </c>
      <c r="I95" t="s">
        <v>79</v>
      </c>
      <c r="J95" t="s">
        <v>383</v>
      </c>
      <c r="L95" t="s">
        <v>67</v>
      </c>
    </row>
    <row r="96" spans="6:12" x14ac:dyDescent="0.25">
      <c r="F96">
        <v>28</v>
      </c>
      <c r="G96" t="s">
        <v>103</v>
      </c>
      <c r="H96" t="s">
        <v>16</v>
      </c>
      <c r="I96" t="s">
        <v>384</v>
      </c>
      <c r="J96" t="s">
        <v>385</v>
      </c>
      <c r="L96" t="s">
        <v>67</v>
      </c>
    </row>
    <row r="97" spans="2:12" x14ac:dyDescent="0.25">
      <c r="F97">
        <v>29</v>
      </c>
      <c r="G97" t="s">
        <v>104</v>
      </c>
      <c r="H97" t="s">
        <v>16</v>
      </c>
      <c r="I97" t="s">
        <v>312</v>
      </c>
      <c r="J97" t="s">
        <v>313</v>
      </c>
      <c r="L97" t="s">
        <v>67</v>
      </c>
    </row>
    <row r="98" spans="2:12" x14ac:dyDescent="0.25">
      <c r="F98">
        <v>30</v>
      </c>
      <c r="G98" t="s">
        <v>106</v>
      </c>
      <c r="H98" t="s">
        <v>16</v>
      </c>
      <c r="I98" t="s">
        <v>382</v>
      </c>
      <c r="J98" t="s">
        <v>360</v>
      </c>
      <c r="L98" t="s">
        <v>67</v>
      </c>
    </row>
    <row r="99" spans="2:12" x14ac:dyDescent="0.25">
      <c r="F99">
        <v>31</v>
      </c>
      <c r="G99" t="s">
        <v>107</v>
      </c>
      <c r="H99" t="s">
        <v>16</v>
      </c>
      <c r="I99" t="s">
        <v>386</v>
      </c>
      <c r="J99" t="s">
        <v>360</v>
      </c>
      <c r="L99" t="s">
        <v>67</v>
      </c>
    </row>
    <row r="100" spans="2:12" x14ac:dyDescent="0.25">
      <c r="F100">
        <v>32</v>
      </c>
      <c r="G100" t="s">
        <v>108</v>
      </c>
      <c r="H100" t="s">
        <v>16</v>
      </c>
      <c r="I100" t="s">
        <v>387</v>
      </c>
      <c r="J100" t="s">
        <v>388</v>
      </c>
      <c r="L100" t="s">
        <v>67</v>
      </c>
    </row>
    <row r="101" spans="2:12" x14ac:dyDescent="0.25">
      <c r="F101">
        <v>33</v>
      </c>
      <c r="G101" t="s">
        <v>109</v>
      </c>
      <c r="H101" t="s">
        <v>16</v>
      </c>
      <c r="I101" t="s">
        <v>389</v>
      </c>
      <c r="J101" t="s">
        <v>390</v>
      </c>
      <c r="L101" t="s">
        <v>67</v>
      </c>
    </row>
    <row r="102" spans="2:12" x14ac:dyDescent="0.25">
      <c r="F102">
        <v>34</v>
      </c>
      <c r="G102" t="s">
        <v>110</v>
      </c>
      <c r="H102" t="s">
        <v>16</v>
      </c>
      <c r="I102" t="s">
        <v>79</v>
      </c>
      <c r="J102" t="s">
        <v>391</v>
      </c>
      <c r="L102" t="s">
        <v>67</v>
      </c>
    </row>
    <row r="103" spans="2:12" x14ac:dyDescent="0.25">
      <c r="F103">
        <v>35</v>
      </c>
      <c r="G103" t="s">
        <v>111</v>
      </c>
      <c r="H103" t="s">
        <v>16</v>
      </c>
      <c r="I103" t="s">
        <v>392</v>
      </c>
      <c r="J103" t="s">
        <v>393</v>
      </c>
      <c r="L103" t="s">
        <v>67</v>
      </c>
    </row>
    <row r="104" spans="2:12" x14ac:dyDescent="0.25">
      <c r="F104">
        <v>36</v>
      </c>
      <c r="G104" t="s">
        <v>112</v>
      </c>
      <c r="H104" t="s">
        <v>16</v>
      </c>
      <c r="I104" t="s">
        <v>314</v>
      </c>
      <c r="J104" t="s">
        <v>315</v>
      </c>
      <c r="L104" t="s">
        <v>67</v>
      </c>
    </row>
    <row r="105" spans="2:12" x14ac:dyDescent="0.25">
      <c r="F105">
        <v>37</v>
      </c>
      <c r="G105" t="s">
        <v>113</v>
      </c>
      <c r="H105" t="s">
        <v>16</v>
      </c>
      <c r="I105" t="s">
        <v>332</v>
      </c>
      <c r="J105" t="s">
        <v>333</v>
      </c>
      <c r="L105" t="s">
        <v>67</v>
      </c>
    </row>
    <row r="106" spans="2:12" x14ac:dyDescent="0.25">
      <c r="F106">
        <v>38</v>
      </c>
      <c r="G106" t="s">
        <v>121</v>
      </c>
      <c r="H106" t="s">
        <v>16</v>
      </c>
      <c r="I106" t="s">
        <v>319</v>
      </c>
      <c r="J106" t="s">
        <v>320</v>
      </c>
      <c r="L106" t="s">
        <v>67</v>
      </c>
    </row>
    <row r="107" spans="2:12" x14ac:dyDescent="0.25">
      <c r="F107">
        <v>39</v>
      </c>
      <c r="G107" t="s">
        <v>124</v>
      </c>
      <c r="H107" t="s">
        <v>18</v>
      </c>
    </row>
    <row r="108" spans="2:12" x14ac:dyDescent="0.25">
      <c r="B108" t="s">
        <v>394</v>
      </c>
      <c r="C108" t="s">
        <v>130</v>
      </c>
      <c r="D108" t="s">
        <v>127</v>
      </c>
      <c r="E108" t="s">
        <v>128</v>
      </c>
      <c r="F108">
        <v>2</v>
      </c>
      <c r="G108" t="s">
        <v>69</v>
      </c>
      <c r="H108" t="s">
        <v>16</v>
      </c>
      <c r="I108" t="s">
        <v>395</v>
      </c>
      <c r="J108" t="s">
        <v>313</v>
      </c>
      <c r="L108" t="s">
        <v>67</v>
      </c>
    </row>
    <row r="109" spans="2:12" x14ac:dyDescent="0.25">
      <c r="F109">
        <v>3</v>
      </c>
      <c r="G109" t="s">
        <v>70</v>
      </c>
      <c r="H109" t="s">
        <v>16</v>
      </c>
      <c r="I109" t="s">
        <v>396</v>
      </c>
      <c r="J109" t="s">
        <v>397</v>
      </c>
      <c r="L109" t="s">
        <v>67</v>
      </c>
    </row>
    <row r="110" spans="2:12" x14ac:dyDescent="0.25">
      <c r="F110">
        <v>4</v>
      </c>
      <c r="G110" t="s">
        <v>71</v>
      </c>
      <c r="H110" t="s">
        <v>25</v>
      </c>
      <c r="I110" t="s">
        <v>398</v>
      </c>
      <c r="J110" t="s">
        <v>399</v>
      </c>
    </row>
    <row r="111" spans="2:12" x14ac:dyDescent="0.25">
      <c r="F111">
        <v>5</v>
      </c>
      <c r="G111" t="s">
        <v>73</v>
      </c>
      <c r="H111" t="s">
        <v>16</v>
      </c>
      <c r="I111" t="s">
        <v>400</v>
      </c>
      <c r="J111" t="s">
        <v>401</v>
      </c>
      <c r="L111" t="s">
        <v>67</v>
      </c>
    </row>
    <row r="112" spans="2:12" x14ac:dyDescent="0.25">
      <c r="F112">
        <v>6</v>
      </c>
      <c r="G112" t="s">
        <v>74</v>
      </c>
      <c r="H112" t="s">
        <v>16</v>
      </c>
      <c r="I112" t="s">
        <v>402</v>
      </c>
      <c r="J112" t="s">
        <v>403</v>
      </c>
      <c r="L112" t="s">
        <v>67</v>
      </c>
    </row>
    <row r="113" spans="6:12" x14ac:dyDescent="0.25">
      <c r="F113">
        <v>7</v>
      </c>
      <c r="G113" t="s">
        <v>75</v>
      </c>
      <c r="H113" t="s">
        <v>39</v>
      </c>
      <c r="I113" t="s">
        <v>404</v>
      </c>
      <c r="J113" t="s">
        <v>405</v>
      </c>
      <c r="L113" t="s">
        <v>67</v>
      </c>
    </row>
    <row r="114" spans="6:12" x14ac:dyDescent="0.25">
      <c r="F114">
        <v>8</v>
      </c>
      <c r="G114" t="s">
        <v>76</v>
      </c>
      <c r="H114" t="s">
        <v>16</v>
      </c>
      <c r="I114" t="s">
        <v>406</v>
      </c>
      <c r="J114" t="s">
        <v>407</v>
      </c>
      <c r="L114" t="s">
        <v>67</v>
      </c>
    </row>
    <row r="115" spans="6:12" x14ac:dyDescent="0.25">
      <c r="F115">
        <v>9</v>
      </c>
      <c r="G115" t="s">
        <v>78</v>
      </c>
      <c r="H115" t="s">
        <v>16</v>
      </c>
      <c r="I115" t="s">
        <v>79</v>
      </c>
      <c r="J115" t="s">
        <v>408</v>
      </c>
      <c r="L115" t="s">
        <v>67</v>
      </c>
    </row>
    <row r="116" spans="6:12" x14ac:dyDescent="0.25">
      <c r="F116">
        <v>10</v>
      </c>
      <c r="G116" t="s">
        <v>80</v>
      </c>
      <c r="H116" t="s">
        <v>16</v>
      </c>
      <c r="I116" t="s">
        <v>79</v>
      </c>
      <c r="J116" t="s">
        <v>331</v>
      </c>
      <c r="L116" t="s">
        <v>67</v>
      </c>
    </row>
    <row r="117" spans="6:12" x14ac:dyDescent="0.25">
      <c r="F117">
        <v>11</v>
      </c>
      <c r="G117" t="s">
        <v>81</v>
      </c>
      <c r="H117" t="s">
        <v>16</v>
      </c>
      <c r="I117" t="s">
        <v>409</v>
      </c>
      <c r="J117" t="s">
        <v>349</v>
      </c>
      <c r="L117" t="s">
        <v>67</v>
      </c>
    </row>
    <row r="118" spans="6:12" x14ac:dyDescent="0.25">
      <c r="F118">
        <v>12</v>
      </c>
      <c r="G118" t="s">
        <v>82</v>
      </c>
      <c r="H118" t="s">
        <v>16</v>
      </c>
      <c r="I118" t="s">
        <v>362</v>
      </c>
      <c r="J118" t="s">
        <v>378</v>
      </c>
      <c r="L118" t="s">
        <v>67</v>
      </c>
    </row>
    <row r="119" spans="6:12" x14ac:dyDescent="0.25">
      <c r="F119">
        <v>13</v>
      </c>
      <c r="G119" t="s">
        <v>84</v>
      </c>
      <c r="H119" t="s">
        <v>16</v>
      </c>
      <c r="I119" t="s">
        <v>410</v>
      </c>
      <c r="J119" t="s">
        <v>411</v>
      </c>
      <c r="L119" t="s">
        <v>67</v>
      </c>
    </row>
    <row r="120" spans="6:12" x14ac:dyDescent="0.25">
      <c r="F120">
        <v>19</v>
      </c>
      <c r="G120" t="s">
        <v>91</v>
      </c>
      <c r="H120" t="s">
        <v>16</v>
      </c>
      <c r="I120" t="s">
        <v>79</v>
      </c>
      <c r="J120" t="s">
        <v>290</v>
      </c>
      <c r="L120" t="s">
        <v>67</v>
      </c>
    </row>
    <row r="121" spans="6:12" x14ac:dyDescent="0.25">
      <c r="F121">
        <v>21</v>
      </c>
      <c r="G121" t="s">
        <v>93</v>
      </c>
      <c r="H121" t="s">
        <v>16</v>
      </c>
      <c r="I121" t="s">
        <v>412</v>
      </c>
      <c r="J121" t="s">
        <v>413</v>
      </c>
      <c r="L121" t="s">
        <v>67</v>
      </c>
    </row>
    <row r="122" spans="6:12" x14ac:dyDescent="0.25">
      <c r="F122">
        <v>22</v>
      </c>
      <c r="G122" t="s">
        <v>95</v>
      </c>
      <c r="H122" t="s">
        <v>16</v>
      </c>
      <c r="I122" t="s">
        <v>412</v>
      </c>
      <c r="J122" t="s">
        <v>413</v>
      </c>
      <c r="L122" t="s">
        <v>67</v>
      </c>
    </row>
    <row r="123" spans="6:12" x14ac:dyDescent="0.25">
      <c r="F123">
        <v>23</v>
      </c>
      <c r="G123" t="s">
        <v>96</v>
      </c>
      <c r="H123" t="s">
        <v>16</v>
      </c>
      <c r="I123" t="s">
        <v>79</v>
      </c>
      <c r="J123" t="s">
        <v>297</v>
      </c>
      <c r="L123" t="s">
        <v>67</v>
      </c>
    </row>
    <row r="124" spans="6:12" x14ac:dyDescent="0.25">
      <c r="F124">
        <v>24</v>
      </c>
      <c r="G124" t="s">
        <v>97</v>
      </c>
      <c r="H124" t="s">
        <v>16</v>
      </c>
      <c r="I124" t="s">
        <v>414</v>
      </c>
      <c r="J124" t="s">
        <v>415</v>
      </c>
      <c r="L124" t="s">
        <v>67</v>
      </c>
    </row>
    <row r="125" spans="6:12" x14ac:dyDescent="0.25">
      <c r="F125">
        <v>27</v>
      </c>
      <c r="G125" t="s">
        <v>101</v>
      </c>
      <c r="H125" t="s">
        <v>16</v>
      </c>
      <c r="I125" t="s">
        <v>79</v>
      </c>
      <c r="J125" t="s">
        <v>383</v>
      </c>
      <c r="L125" t="s">
        <v>67</v>
      </c>
    </row>
    <row r="126" spans="6:12" x14ac:dyDescent="0.25">
      <c r="F126">
        <v>28</v>
      </c>
      <c r="G126" t="s">
        <v>103</v>
      </c>
      <c r="H126" t="s">
        <v>16</v>
      </c>
      <c r="I126" t="s">
        <v>416</v>
      </c>
      <c r="J126" t="s">
        <v>417</v>
      </c>
      <c r="L126" t="s">
        <v>67</v>
      </c>
    </row>
    <row r="127" spans="6:12" x14ac:dyDescent="0.25">
      <c r="F127">
        <v>29</v>
      </c>
      <c r="G127" t="s">
        <v>104</v>
      </c>
      <c r="H127" t="s">
        <v>16</v>
      </c>
      <c r="I127" t="s">
        <v>418</v>
      </c>
      <c r="J127" t="s">
        <v>369</v>
      </c>
      <c r="L127" t="s">
        <v>67</v>
      </c>
    </row>
    <row r="128" spans="6:12" x14ac:dyDescent="0.25">
      <c r="F128">
        <v>30</v>
      </c>
      <c r="G128" t="s">
        <v>106</v>
      </c>
      <c r="H128" t="s">
        <v>16</v>
      </c>
      <c r="I128" t="s">
        <v>414</v>
      </c>
      <c r="J128" t="s">
        <v>415</v>
      </c>
      <c r="L128" t="s">
        <v>67</v>
      </c>
    </row>
    <row r="129" spans="2:12" x14ac:dyDescent="0.25">
      <c r="F129">
        <v>31</v>
      </c>
      <c r="G129" t="s">
        <v>107</v>
      </c>
      <c r="H129" t="s">
        <v>16</v>
      </c>
      <c r="I129" t="s">
        <v>419</v>
      </c>
      <c r="J129" t="s">
        <v>415</v>
      </c>
      <c r="L129" t="s">
        <v>67</v>
      </c>
    </row>
    <row r="130" spans="2:12" x14ac:dyDescent="0.25">
      <c r="F130">
        <v>32</v>
      </c>
      <c r="G130" t="s">
        <v>108</v>
      </c>
      <c r="H130" t="s">
        <v>16</v>
      </c>
      <c r="I130" t="s">
        <v>420</v>
      </c>
      <c r="J130" t="s">
        <v>357</v>
      </c>
      <c r="L130" t="s">
        <v>67</v>
      </c>
    </row>
    <row r="131" spans="2:12" x14ac:dyDescent="0.25">
      <c r="F131">
        <v>33</v>
      </c>
      <c r="G131" t="s">
        <v>109</v>
      </c>
      <c r="H131" t="s">
        <v>16</v>
      </c>
      <c r="I131" t="s">
        <v>421</v>
      </c>
      <c r="J131" t="s">
        <v>422</v>
      </c>
      <c r="L131" t="s">
        <v>67</v>
      </c>
    </row>
    <row r="132" spans="2:12" x14ac:dyDescent="0.25">
      <c r="F132">
        <v>34</v>
      </c>
      <c r="G132" t="s">
        <v>110</v>
      </c>
      <c r="H132" t="s">
        <v>16</v>
      </c>
      <c r="I132" t="s">
        <v>79</v>
      </c>
      <c r="J132" t="s">
        <v>415</v>
      </c>
      <c r="L132" t="s">
        <v>67</v>
      </c>
    </row>
    <row r="133" spans="2:12" x14ac:dyDescent="0.25">
      <c r="F133">
        <v>35</v>
      </c>
      <c r="G133" t="s">
        <v>111</v>
      </c>
      <c r="H133" t="s">
        <v>16</v>
      </c>
      <c r="I133" t="s">
        <v>423</v>
      </c>
      <c r="J133" t="s">
        <v>424</v>
      </c>
      <c r="L133" t="s">
        <v>67</v>
      </c>
    </row>
    <row r="134" spans="2:12" x14ac:dyDescent="0.25">
      <c r="F134">
        <v>36</v>
      </c>
      <c r="G134" t="s">
        <v>112</v>
      </c>
      <c r="H134" t="s">
        <v>16</v>
      </c>
      <c r="I134" t="s">
        <v>425</v>
      </c>
      <c r="J134" t="s">
        <v>426</v>
      </c>
      <c r="L134" t="s">
        <v>67</v>
      </c>
    </row>
    <row r="135" spans="2:12" x14ac:dyDescent="0.25">
      <c r="F135">
        <v>37</v>
      </c>
      <c r="G135" t="s">
        <v>113</v>
      </c>
      <c r="H135" t="s">
        <v>16</v>
      </c>
      <c r="I135" t="s">
        <v>423</v>
      </c>
      <c r="J135" t="s">
        <v>424</v>
      </c>
      <c r="L135" t="s">
        <v>67</v>
      </c>
    </row>
    <row r="136" spans="2:12" x14ac:dyDescent="0.25">
      <c r="F136">
        <v>39</v>
      </c>
      <c r="G136" t="s">
        <v>124</v>
      </c>
      <c r="H136" t="s">
        <v>18</v>
      </c>
    </row>
    <row r="137" spans="2:12" x14ac:dyDescent="0.25">
      <c r="F137">
        <v>40</v>
      </c>
      <c r="G137" t="s">
        <v>129</v>
      </c>
      <c r="H137" t="s">
        <v>16</v>
      </c>
      <c r="I137" t="s">
        <v>427</v>
      </c>
      <c r="J137" t="s">
        <v>428</v>
      </c>
      <c r="L137" t="s">
        <v>67</v>
      </c>
    </row>
    <row r="138" spans="2:12" x14ac:dyDescent="0.25">
      <c r="F138">
        <v>41</v>
      </c>
      <c r="G138" t="s">
        <v>131</v>
      </c>
      <c r="H138" t="s">
        <v>16</v>
      </c>
      <c r="I138" t="s">
        <v>429</v>
      </c>
      <c r="J138" t="s">
        <v>313</v>
      </c>
      <c r="L138" t="s">
        <v>67</v>
      </c>
    </row>
    <row r="139" spans="2:12" x14ac:dyDescent="0.25">
      <c r="F139">
        <v>42</v>
      </c>
      <c r="G139" t="s">
        <v>132</v>
      </c>
      <c r="H139" t="s">
        <v>16</v>
      </c>
      <c r="I139" t="s">
        <v>396</v>
      </c>
      <c r="J139" t="s">
        <v>397</v>
      </c>
    </row>
    <row r="140" spans="2:12" x14ac:dyDescent="0.25">
      <c r="F140">
        <v>43</v>
      </c>
      <c r="G140" t="s">
        <v>122</v>
      </c>
      <c r="H140" t="s">
        <v>16</v>
      </c>
      <c r="I140" t="s">
        <v>79</v>
      </c>
      <c r="J140" t="s">
        <v>430</v>
      </c>
      <c r="L140" t="s">
        <v>67</v>
      </c>
    </row>
    <row r="141" spans="2:12" x14ac:dyDescent="0.25">
      <c r="B141" t="s">
        <v>431</v>
      </c>
      <c r="C141" t="s">
        <v>137</v>
      </c>
      <c r="D141" t="s">
        <v>134</v>
      </c>
      <c r="E141" t="s">
        <v>135</v>
      </c>
      <c r="F141">
        <v>2</v>
      </c>
      <c r="G141" t="s">
        <v>69</v>
      </c>
      <c r="H141" t="s">
        <v>16</v>
      </c>
      <c r="I141" t="s">
        <v>432</v>
      </c>
      <c r="J141" t="s">
        <v>433</v>
      </c>
      <c r="L141" t="s">
        <v>67</v>
      </c>
    </row>
    <row r="142" spans="2:12" x14ac:dyDescent="0.25">
      <c r="F142">
        <v>4</v>
      </c>
      <c r="G142" t="s">
        <v>71</v>
      </c>
      <c r="H142" t="s">
        <v>18</v>
      </c>
    </row>
    <row r="143" spans="2:12" x14ac:dyDescent="0.25">
      <c r="F143">
        <v>5</v>
      </c>
      <c r="G143" t="s">
        <v>73</v>
      </c>
      <c r="H143" t="s">
        <v>16</v>
      </c>
      <c r="I143" t="s">
        <v>434</v>
      </c>
      <c r="J143" t="s">
        <v>435</v>
      </c>
      <c r="L143" t="s">
        <v>67</v>
      </c>
    </row>
    <row r="144" spans="2:12" x14ac:dyDescent="0.25">
      <c r="F144">
        <v>6</v>
      </c>
      <c r="G144" t="s">
        <v>74</v>
      </c>
      <c r="H144" t="s">
        <v>16</v>
      </c>
      <c r="I144" t="s">
        <v>436</v>
      </c>
      <c r="J144" t="s">
        <v>437</v>
      </c>
      <c r="L144" t="s">
        <v>67</v>
      </c>
    </row>
    <row r="145" spans="6:12" x14ac:dyDescent="0.25">
      <c r="F145">
        <v>7</v>
      </c>
      <c r="G145" t="s">
        <v>75</v>
      </c>
      <c r="H145" t="s">
        <v>39</v>
      </c>
      <c r="I145" t="s">
        <v>326</v>
      </c>
      <c r="J145" t="s">
        <v>438</v>
      </c>
      <c r="L145" t="s">
        <v>67</v>
      </c>
    </row>
    <row r="146" spans="6:12" x14ac:dyDescent="0.25">
      <c r="F146">
        <v>8</v>
      </c>
      <c r="G146" t="s">
        <v>76</v>
      </c>
      <c r="H146" t="s">
        <v>16</v>
      </c>
      <c r="I146" t="s">
        <v>439</v>
      </c>
      <c r="J146" t="s">
        <v>440</v>
      </c>
      <c r="L146" t="s">
        <v>67</v>
      </c>
    </row>
    <row r="147" spans="6:12" x14ac:dyDescent="0.25">
      <c r="F147">
        <v>9</v>
      </c>
      <c r="G147" t="s">
        <v>78</v>
      </c>
      <c r="H147" t="s">
        <v>16</v>
      </c>
      <c r="I147" t="s">
        <v>79</v>
      </c>
      <c r="J147" t="s">
        <v>441</v>
      </c>
      <c r="L147" t="s">
        <v>67</v>
      </c>
    </row>
    <row r="148" spans="6:12" x14ac:dyDescent="0.25">
      <c r="F148">
        <v>10</v>
      </c>
      <c r="G148" t="s">
        <v>80</v>
      </c>
      <c r="H148" t="s">
        <v>16</v>
      </c>
      <c r="I148" t="s">
        <v>79</v>
      </c>
      <c r="J148" t="s">
        <v>442</v>
      </c>
      <c r="L148" t="s">
        <v>67</v>
      </c>
    </row>
    <row r="149" spans="6:12" x14ac:dyDescent="0.25">
      <c r="F149">
        <v>11</v>
      </c>
      <c r="G149" t="s">
        <v>81</v>
      </c>
      <c r="H149" t="s">
        <v>16</v>
      </c>
      <c r="I149" t="s">
        <v>443</v>
      </c>
      <c r="J149" t="s">
        <v>444</v>
      </c>
      <c r="L149" t="s">
        <v>67</v>
      </c>
    </row>
    <row r="150" spans="6:12" x14ac:dyDescent="0.25">
      <c r="F150">
        <v>12</v>
      </c>
      <c r="G150" t="s">
        <v>82</v>
      </c>
      <c r="H150" t="s">
        <v>16</v>
      </c>
      <c r="I150" t="s">
        <v>281</v>
      </c>
      <c r="J150" t="s">
        <v>282</v>
      </c>
      <c r="L150" t="s">
        <v>67</v>
      </c>
    </row>
    <row r="151" spans="6:12" x14ac:dyDescent="0.25">
      <c r="F151">
        <v>13</v>
      </c>
      <c r="G151" t="s">
        <v>84</v>
      </c>
      <c r="H151" t="s">
        <v>16</v>
      </c>
      <c r="I151" t="s">
        <v>410</v>
      </c>
      <c r="J151" t="s">
        <v>411</v>
      </c>
      <c r="L151" t="s">
        <v>67</v>
      </c>
    </row>
    <row r="152" spans="6:12" x14ac:dyDescent="0.25">
      <c r="F152">
        <v>21</v>
      </c>
      <c r="G152" t="s">
        <v>93</v>
      </c>
      <c r="H152" t="s">
        <v>16</v>
      </c>
      <c r="I152" t="s">
        <v>445</v>
      </c>
      <c r="J152" t="s">
        <v>446</v>
      </c>
      <c r="L152" t="s">
        <v>67</v>
      </c>
    </row>
    <row r="153" spans="6:12" x14ac:dyDescent="0.25">
      <c r="F153">
        <v>22</v>
      </c>
      <c r="G153" t="s">
        <v>95</v>
      </c>
      <c r="H153" t="s">
        <v>16</v>
      </c>
      <c r="I153" t="s">
        <v>410</v>
      </c>
      <c r="J153" t="s">
        <v>411</v>
      </c>
      <c r="L153" t="s">
        <v>67</v>
      </c>
    </row>
    <row r="154" spans="6:12" x14ac:dyDescent="0.25">
      <c r="F154">
        <v>23</v>
      </c>
      <c r="G154" t="s">
        <v>96</v>
      </c>
      <c r="H154" t="s">
        <v>16</v>
      </c>
      <c r="I154" t="s">
        <v>79</v>
      </c>
      <c r="J154" t="s">
        <v>297</v>
      </c>
      <c r="L154" t="s">
        <v>67</v>
      </c>
    </row>
    <row r="155" spans="6:12" x14ac:dyDescent="0.25">
      <c r="F155">
        <v>24</v>
      </c>
      <c r="G155" t="s">
        <v>97</v>
      </c>
      <c r="H155" t="s">
        <v>16</v>
      </c>
      <c r="I155" t="s">
        <v>447</v>
      </c>
      <c r="J155" t="s">
        <v>391</v>
      </c>
      <c r="L155" t="s">
        <v>67</v>
      </c>
    </row>
    <row r="156" spans="6:12" x14ac:dyDescent="0.25">
      <c r="F156">
        <v>27</v>
      </c>
      <c r="G156" t="s">
        <v>101</v>
      </c>
      <c r="H156" t="s">
        <v>16</v>
      </c>
      <c r="I156" t="s">
        <v>79</v>
      </c>
      <c r="J156" t="s">
        <v>383</v>
      </c>
      <c r="L156" t="s">
        <v>67</v>
      </c>
    </row>
    <row r="157" spans="6:12" x14ac:dyDescent="0.25">
      <c r="F157">
        <v>28</v>
      </c>
      <c r="G157" t="s">
        <v>103</v>
      </c>
      <c r="H157" t="s">
        <v>16</v>
      </c>
      <c r="I157" t="s">
        <v>302</v>
      </c>
      <c r="J157" t="s">
        <v>303</v>
      </c>
      <c r="L157" t="s">
        <v>67</v>
      </c>
    </row>
    <row r="158" spans="6:12" x14ac:dyDescent="0.25">
      <c r="F158">
        <v>29</v>
      </c>
      <c r="G158" t="s">
        <v>104</v>
      </c>
      <c r="H158" t="s">
        <v>16</v>
      </c>
      <c r="I158" t="s">
        <v>448</v>
      </c>
      <c r="J158" t="s">
        <v>449</v>
      </c>
      <c r="L158" t="s">
        <v>67</v>
      </c>
    </row>
    <row r="159" spans="6:12" x14ac:dyDescent="0.25">
      <c r="F159">
        <v>30</v>
      </c>
      <c r="G159" t="s">
        <v>106</v>
      </c>
      <c r="H159" t="s">
        <v>16</v>
      </c>
      <c r="I159" t="s">
        <v>382</v>
      </c>
      <c r="J159" t="s">
        <v>360</v>
      </c>
      <c r="L159" t="s">
        <v>67</v>
      </c>
    </row>
    <row r="160" spans="6:12" x14ac:dyDescent="0.25">
      <c r="F160">
        <v>31</v>
      </c>
      <c r="G160" t="s">
        <v>107</v>
      </c>
      <c r="H160" t="s">
        <v>16</v>
      </c>
      <c r="I160" t="s">
        <v>450</v>
      </c>
      <c r="J160" t="s">
        <v>391</v>
      </c>
      <c r="L160" t="s">
        <v>67</v>
      </c>
    </row>
    <row r="161" spans="2:12" x14ac:dyDescent="0.25">
      <c r="F161">
        <v>32</v>
      </c>
      <c r="G161" t="s">
        <v>108</v>
      </c>
      <c r="H161" t="s">
        <v>16</v>
      </c>
      <c r="I161" t="s">
        <v>451</v>
      </c>
      <c r="J161" t="s">
        <v>452</v>
      </c>
      <c r="L161" t="s">
        <v>67</v>
      </c>
    </row>
    <row r="162" spans="2:12" x14ac:dyDescent="0.25">
      <c r="F162">
        <v>33</v>
      </c>
      <c r="G162" t="s">
        <v>109</v>
      </c>
      <c r="H162" t="s">
        <v>16</v>
      </c>
      <c r="I162" t="s">
        <v>448</v>
      </c>
      <c r="J162" t="s">
        <v>449</v>
      </c>
      <c r="L162" t="s">
        <v>67</v>
      </c>
    </row>
    <row r="163" spans="2:12" x14ac:dyDescent="0.25">
      <c r="F163">
        <v>34</v>
      </c>
      <c r="G163" t="s">
        <v>110</v>
      </c>
      <c r="H163" t="s">
        <v>16</v>
      </c>
      <c r="I163" t="s">
        <v>79</v>
      </c>
      <c r="J163" t="s">
        <v>391</v>
      </c>
      <c r="L163" t="s">
        <v>67</v>
      </c>
    </row>
    <row r="164" spans="2:12" x14ac:dyDescent="0.25">
      <c r="F164">
        <v>35</v>
      </c>
      <c r="G164" t="s">
        <v>111</v>
      </c>
      <c r="H164" t="s">
        <v>16</v>
      </c>
      <c r="I164" t="s">
        <v>453</v>
      </c>
      <c r="J164" t="s">
        <v>454</v>
      </c>
      <c r="L164" t="s">
        <v>67</v>
      </c>
    </row>
    <row r="165" spans="2:12" x14ac:dyDescent="0.25">
      <c r="F165">
        <v>36</v>
      </c>
      <c r="G165" t="s">
        <v>112</v>
      </c>
      <c r="H165" t="s">
        <v>16</v>
      </c>
      <c r="I165" t="s">
        <v>448</v>
      </c>
      <c r="J165" t="s">
        <v>449</v>
      </c>
      <c r="L165" t="s">
        <v>67</v>
      </c>
    </row>
    <row r="166" spans="2:12" x14ac:dyDescent="0.25">
      <c r="F166">
        <v>37</v>
      </c>
      <c r="G166" t="s">
        <v>113</v>
      </c>
      <c r="H166" t="s">
        <v>16</v>
      </c>
      <c r="I166" t="s">
        <v>362</v>
      </c>
      <c r="J166" t="s">
        <v>378</v>
      </c>
      <c r="L166" t="s">
        <v>67</v>
      </c>
    </row>
    <row r="167" spans="2:12" x14ac:dyDescent="0.25">
      <c r="F167">
        <v>39</v>
      </c>
      <c r="G167" t="s">
        <v>124</v>
      </c>
      <c r="H167" t="s">
        <v>18</v>
      </c>
    </row>
    <row r="168" spans="2:12" x14ac:dyDescent="0.25">
      <c r="F168">
        <v>41</v>
      </c>
      <c r="G168" t="s">
        <v>131</v>
      </c>
      <c r="H168" t="s">
        <v>16</v>
      </c>
      <c r="I168" t="s">
        <v>455</v>
      </c>
      <c r="J168" t="s">
        <v>456</v>
      </c>
    </row>
    <row r="169" spans="2:12" x14ac:dyDescent="0.25">
      <c r="F169">
        <v>42</v>
      </c>
      <c r="G169" t="s">
        <v>132</v>
      </c>
      <c r="H169" t="s">
        <v>16</v>
      </c>
      <c r="I169" t="s">
        <v>457</v>
      </c>
      <c r="J169" t="s">
        <v>458</v>
      </c>
    </row>
    <row r="170" spans="2:12" x14ac:dyDescent="0.25">
      <c r="F170">
        <v>44</v>
      </c>
      <c r="G170" t="s">
        <v>136</v>
      </c>
      <c r="H170" t="s">
        <v>16</v>
      </c>
      <c r="I170" t="s">
        <v>455</v>
      </c>
      <c r="J170" t="s">
        <v>456</v>
      </c>
      <c r="L170" t="s">
        <v>67</v>
      </c>
    </row>
    <row r="171" spans="2:12" x14ac:dyDescent="0.25">
      <c r="B171" t="s">
        <v>459</v>
      </c>
      <c r="C171" t="s">
        <v>137</v>
      </c>
      <c r="D171" t="s">
        <v>139</v>
      </c>
      <c r="E171" t="s">
        <v>140</v>
      </c>
      <c r="F171">
        <v>2</v>
      </c>
      <c r="G171" t="s">
        <v>69</v>
      </c>
      <c r="H171" t="s">
        <v>16</v>
      </c>
      <c r="I171" t="s">
        <v>460</v>
      </c>
      <c r="J171" t="s">
        <v>461</v>
      </c>
      <c r="L171" t="s">
        <v>67</v>
      </c>
    </row>
    <row r="172" spans="2:12" x14ac:dyDescent="0.25">
      <c r="F172">
        <v>4</v>
      </c>
      <c r="G172" t="s">
        <v>71</v>
      </c>
      <c r="H172" t="s">
        <v>18</v>
      </c>
    </row>
    <row r="173" spans="2:12" x14ac:dyDescent="0.25">
      <c r="F173">
        <v>5</v>
      </c>
      <c r="G173" t="s">
        <v>73</v>
      </c>
      <c r="H173" t="s">
        <v>16</v>
      </c>
      <c r="I173" t="s">
        <v>462</v>
      </c>
      <c r="J173" t="s">
        <v>463</v>
      </c>
      <c r="L173" t="s">
        <v>67</v>
      </c>
    </row>
    <row r="174" spans="2:12" x14ac:dyDescent="0.25">
      <c r="F174">
        <v>6</v>
      </c>
      <c r="G174" t="s">
        <v>74</v>
      </c>
      <c r="H174" t="s">
        <v>16</v>
      </c>
      <c r="I174" t="s">
        <v>464</v>
      </c>
      <c r="J174" t="s">
        <v>465</v>
      </c>
      <c r="L174" t="s">
        <v>67</v>
      </c>
    </row>
    <row r="175" spans="2:12" x14ac:dyDescent="0.25">
      <c r="F175">
        <v>7</v>
      </c>
      <c r="G175" t="s">
        <v>75</v>
      </c>
      <c r="H175" t="s">
        <v>18</v>
      </c>
    </row>
    <row r="176" spans="2:12" x14ac:dyDescent="0.25">
      <c r="F176">
        <v>8</v>
      </c>
      <c r="G176" t="s">
        <v>76</v>
      </c>
      <c r="H176" t="s">
        <v>16</v>
      </c>
      <c r="I176" t="s">
        <v>466</v>
      </c>
      <c r="J176" t="s">
        <v>467</v>
      </c>
      <c r="L176" t="s">
        <v>67</v>
      </c>
    </row>
    <row r="177" spans="6:12" x14ac:dyDescent="0.25">
      <c r="F177">
        <v>9</v>
      </c>
      <c r="G177" t="s">
        <v>78</v>
      </c>
      <c r="H177" t="s">
        <v>16</v>
      </c>
      <c r="I177" t="s">
        <v>79</v>
      </c>
      <c r="J177" t="s">
        <v>468</v>
      </c>
      <c r="L177" t="s">
        <v>67</v>
      </c>
    </row>
    <row r="178" spans="6:12" x14ac:dyDescent="0.25">
      <c r="F178">
        <v>10</v>
      </c>
      <c r="G178" t="s">
        <v>80</v>
      </c>
      <c r="H178" t="s">
        <v>16</v>
      </c>
      <c r="I178" t="s">
        <v>79</v>
      </c>
      <c r="J178" t="s">
        <v>469</v>
      </c>
      <c r="L178" t="s">
        <v>67</v>
      </c>
    </row>
    <row r="179" spans="6:12" x14ac:dyDescent="0.25">
      <c r="F179">
        <v>11</v>
      </c>
      <c r="G179" t="s">
        <v>81</v>
      </c>
      <c r="H179" t="s">
        <v>16</v>
      </c>
      <c r="I179" t="s">
        <v>470</v>
      </c>
      <c r="J179" t="s">
        <v>471</v>
      </c>
      <c r="L179" t="s">
        <v>67</v>
      </c>
    </row>
    <row r="180" spans="6:12" x14ac:dyDescent="0.25">
      <c r="F180">
        <v>12</v>
      </c>
      <c r="G180" t="s">
        <v>82</v>
      </c>
      <c r="H180" t="s">
        <v>16</v>
      </c>
      <c r="I180" t="s">
        <v>443</v>
      </c>
      <c r="J180" t="s">
        <v>444</v>
      </c>
      <c r="L180" t="s">
        <v>67</v>
      </c>
    </row>
    <row r="181" spans="6:12" x14ac:dyDescent="0.25">
      <c r="F181">
        <v>13</v>
      </c>
      <c r="G181" t="s">
        <v>84</v>
      </c>
      <c r="H181" t="s">
        <v>16</v>
      </c>
      <c r="I181" t="s">
        <v>410</v>
      </c>
      <c r="J181" t="s">
        <v>411</v>
      </c>
      <c r="L181" t="s">
        <v>67</v>
      </c>
    </row>
    <row r="182" spans="6:12" x14ac:dyDescent="0.25">
      <c r="F182">
        <v>21</v>
      </c>
      <c r="G182" t="s">
        <v>93</v>
      </c>
      <c r="H182" t="s">
        <v>16</v>
      </c>
      <c r="I182" t="s">
        <v>410</v>
      </c>
      <c r="J182" t="s">
        <v>411</v>
      </c>
      <c r="L182" t="s">
        <v>67</v>
      </c>
    </row>
    <row r="183" spans="6:12" x14ac:dyDescent="0.25">
      <c r="F183">
        <v>22</v>
      </c>
      <c r="G183" t="s">
        <v>95</v>
      </c>
      <c r="H183" t="s">
        <v>16</v>
      </c>
      <c r="I183" t="s">
        <v>472</v>
      </c>
      <c r="J183" t="s">
        <v>343</v>
      </c>
      <c r="L183" t="s">
        <v>67</v>
      </c>
    </row>
    <row r="184" spans="6:12" x14ac:dyDescent="0.25">
      <c r="F184">
        <v>23</v>
      </c>
      <c r="G184" t="s">
        <v>96</v>
      </c>
      <c r="H184" t="s">
        <v>16</v>
      </c>
      <c r="I184" t="s">
        <v>79</v>
      </c>
      <c r="J184" t="s">
        <v>297</v>
      </c>
      <c r="L184" t="s">
        <v>67</v>
      </c>
    </row>
    <row r="185" spans="6:12" x14ac:dyDescent="0.25">
      <c r="F185">
        <v>24</v>
      </c>
      <c r="G185" t="s">
        <v>97</v>
      </c>
      <c r="H185" t="s">
        <v>16</v>
      </c>
      <c r="I185" t="s">
        <v>447</v>
      </c>
      <c r="J185" t="s">
        <v>391</v>
      </c>
      <c r="L185" t="s">
        <v>67</v>
      </c>
    </row>
    <row r="186" spans="6:12" x14ac:dyDescent="0.25">
      <c r="F186">
        <v>27</v>
      </c>
      <c r="G186" t="s">
        <v>101</v>
      </c>
      <c r="H186" t="s">
        <v>16</v>
      </c>
      <c r="I186" t="s">
        <v>79</v>
      </c>
      <c r="J186" t="s">
        <v>473</v>
      </c>
      <c r="L186" t="s">
        <v>67</v>
      </c>
    </row>
    <row r="187" spans="6:12" x14ac:dyDescent="0.25">
      <c r="F187">
        <v>28</v>
      </c>
      <c r="G187" t="s">
        <v>103</v>
      </c>
      <c r="H187" t="s">
        <v>16</v>
      </c>
      <c r="I187" t="s">
        <v>416</v>
      </c>
      <c r="J187" t="s">
        <v>417</v>
      </c>
      <c r="L187" t="s">
        <v>67</v>
      </c>
    </row>
    <row r="188" spans="6:12" x14ac:dyDescent="0.25">
      <c r="F188">
        <v>29</v>
      </c>
      <c r="G188" t="s">
        <v>104</v>
      </c>
      <c r="H188" t="s">
        <v>16</v>
      </c>
      <c r="I188" t="s">
        <v>474</v>
      </c>
      <c r="J188" t="s">
        <v>405</v>
      </c>
      <c r="L188" t="s">
        <v>67</v>
      </c>
    </row>
    <row r="189" spans="6:12" x14ac:dyDescent="0.25">
      <c r="F189">
        <v>30</v>
      </c>
      <c r="G189" t="s">
        <v>106</v>
      </c>
      <c r="H189" t="s">
        <v>16</v>
      </c>
      <c r="I189" t="s">
        <v>475</v>
      </c>
      <c r="J189" t="s">
        <v>476</v>
      </c>
      <c r="L189" t="s">
        <v>67</v>
      </c>
    </row>
    <row r="190" spans="6:12" x14ac:dyDescent="0.25">
      <c r="F190">
        <v>31</v>
      </c>
      <c r="G190" t="s">
        <v>107</v>
      </c>
      <c r="H190" t="s">
        <v>16</v>
      </c>
      <c r="I190" t="s">
        <v>372</v>
      </c>
      <c r="J190" t="s">
        <v>476</v>
      </c>
      <c r="L190" t="s">
        <v>67</v>
      </c>
    </row>
    <row r="191" spans="6:12" x14ac:dyDescent="0.25">
      <c r="F191">
        <v>32</v>
      </c>
      <c r="G191" t="s">
        <v>108</v>
      </c>
      <c r="H191" t="s">
        <v>16</v>
      </c>
      <c r="I191" t="s">
        <v>477</v>
      </c>
      <c r="J191" t="s">
        <v>478</v>
      </c>
      <c r="L191" t="s">
        <v>67</v>
      </c>
    </row>
    <row r="192" spans="6:12" x14ac:dyDescent="0.25">
      <c r="F192">
        <v>33</v>
      </c>
      <c r="G192" t="s">
        <v>109</v>
      </c>
      <c r="H192" t="s">
        <v>16</v>
      </c>
      <c r="I192" t="s">
        <v>474</v>
      </c>
      <c r="J192" t="s">
        <v>405</v>
      </c>
      <c r="L192" t="s">
        <v>67</v>
      </c>
    </row>
    <row r="193" spans="2:12" x14ac:dyDescent="0.25">
      <c r="F193">
        <v>34</v>
      </c>
      <c r="G193" t="s">
        <v>110</v>
      </c>
      <c r="H193" t="s">
        <v>16</v>
      </c>
      <c r="I193" t="s">
        <v>79</v>
      </c>
      <c r="J193" t="s">
        <v>476</v>
      </c>
      <c r="L193" t="s">
        <v>67</v>
      </c>
    </row>
    <row r="194" spans="2:12" x14ac:dyDescent="0.25">
      <c r="F194">
        <v>35</v>
      </c>
      <c r="G194" t="s">
        <v>111</v>
      </c>
      <c r="H194" t="s">
        <v>16</v>
      </c>
      <c r="I194" t="s">
        <v>410</v>
      </c>
      <c r="J194" t="s">
        <v>411</v>
      </c>
      <c r="L194" t="s">
        <v>67</v>
      </c>
    </row>
    <row r="195" spans="2:12" x14ac:dyDescent="0.25">
      <c r="F195">
        <v>36</v>
      </c>
      <c r="G195" t="s">
        <v>112</v>
      </c>
      <c r="H195" t="s">
        <v>16</v>
      </c>
      <c r="I195" t="s">
        <v>479</v>
      </c>
      <c r="J195" t="s">
        <v>480</v>
      </c>
      <c r="L195" t="s">
        <v>67</v>
      </c>
    </row>
    <row r="196" spans="2:12" x14ac:dyDescent="0.25">
      <c r="F196">
        <v>37</v>
      </c>
      <c r="G196" t="s">
        <v>113</v>
      </c>
      <c r="H196" t="s">
        <v>16</v>
      </c>
      <c r="I196" t="s">
        <v>281</v>
      </c>
      <c r="J196" t="s">
        <v>282</v>
      </c>
      <c r="L196" t="s">
        <v>67</v>
      </c>
    </row>
    <row r="197" spans="2:12" x14ac:dyDescent="0.25">
      <c r="F197">
        <v>39</v>
      </c>
      <c r="G197" t="s">
        <v>124</v>
      </c>
      <c r="H197" t="s">
        <v>18</v>
      </c>
    </row>
    <row r="198" spans="2:12" x14ac:dyDescent="0.25">
      <c r="F198">
        <v>41</v>
      </c>
      <c r="G198" t="s">
        <v>131</v>
      </c>
      <c r="H198" t="s">
        <v>39</v>
      </c>
      <c r="I198" t="s">
        <v>317</v>
      </c>
      <c r="J198" t="s">
        <v>481</v>
      </c>
      <c r="L198" t="s">
        <v>67</v>
      </c>
    </row>
    <row r="199" spans="2:12" x14ac:dyDescent="0.25">
      <c r="F199">
        <v>42</v>
      </c>
      <c r="G199" t="s">
        <v>132</v>
      </c>
      <c r="H199" t="s">
        <v>16</v>
      </c>
      <c r="I199" t="s">
        <v>482</v>
      </c>
      <c r="J199" t="s">
        <v>483</v>
      </c>
    </row>
    <row r="200" spans="2:12" x14ac:dyDescent="0.25">
      <c r="F200">
        <v>44</v>
      </c>
      <c r="G200" t="s">
        <v>136</v>
      </c>
      <c r="H200" t="s">
        <v>16</v>
      </c>
      <c r="I200" t="s">
        <v>484</v>
      </c>
      <c r="J200" t="s">
        <v>485</v>
      </c>
      <c r="L200" t="s">
        <v>67</v>
      </c>
    </row>
    <row r="201" spans="2:12" x14ac:dyDescent="0.25">
      <c r="B201" t="s">
        <v>486</v>
      </c>
      <c r="C201" t="s">
        <v>145</v>
      </c>
      <c r="D201" t="s">
        <v>142</v>
      </c>
      <c r="E201" t="s">
        <v>143</v>
      </c>
      <c r="F201">
        <v>4</v>
      </c>
      <c r="G201" t="s">
        <v>71</v>
      </c>
      <c r="H201" t="s">
        <v>18</v>
      </c>
    </row>
    <row r="202" spans="2:12" x14ac:dyDescent="0.25">
      <c r="F202">
        <v>5</v>
      </c>
      <c r="G202" t="s">
        <v>73</v>
      </c>
      <c r="H202" t="s">
        <v>16</v>
      </c>
      <c r="I202" t="s">
        <v>487</v>
      </c>
      <c r="J202" t="s">
        <v>488</v>
      </c>
      <c r="L202" t="s">
        <v>67</v>
      </c>
    </row>
    <row r="203" spans="2:12" x14ac:dyDescent="0.25">
      <c r="F203">
        <v>6</v>
      </c>
      <c r="G203" t="s">
        <v>74</v>
      </c>
      <c r="H203" t="s">
        <v>16</v>
      </c>
      <c r="I203" t="s">
        <v>489</v>
      </c>
      <c r="J203" t="s">
        <v>490</v>
      </c>
      <c r="L203" t="s">
        <v>67</v>
      </c>
    </row>
    <row r="204" spans="2:12" x14ac:dyDescent="0.25">
      <c r="F204">
        <v>7</v>
      </c>
      <c r="G204" t="s">
        <v>75</v>
      </c>
      <c r="H204" t="s">
        <v>18</v>
      </c>
    </row>
    <row r="205" spans="2:12" x14ac:dyDescent="0.25">
      <c r="F205">
        <v>8</v>
      </c>
      <c r="G205" t="s">
        <v>76</v>
      </c>
      <c r="H205" t="s">
        <v>16</v>
      </c>
      <c r="I205" t="s">
        <v>491</v>
      </c>
      <c r="J205" t="s">
        <v>492</v>
      </c>
      <c r="L205" t="s">
        <v>67</v>
      </c>
    </row>
    <row r="206" spans="2:12" x14ac:dyDescent="0.25">
      <c r="F206">
        <v>10</v>
      </c>
      <c r="G206" t="s">
        <v>80</v>
      </c>
      <c r="H206" t="s">
        <v>16</v>
      </c>
      <c r="I206" t="s">
        <v>79</v>
      </c>
      <c r="J206" t="s">
        <v>331</v>
      </c>
      <c r="L206" t="s">
        <v>67</v>
      </c>
    </row>
    <row r="207" spans="2:12" x14ac:dyDescent="0.25">
      <c r="F207">
        <v>13</v>
      </c>
      <c r="G207" t="s">
        <v>84</v>
      </c>
      <c r="H207" t="s">
        <v>16</v>
      </c>
      <c r="I207" t="s">
        <v>283</v>
      </c>
      <c r="J207" t="s">
        <v>284</v>
      </c>
      <c r="L207" t="s">
        <v>67</v>
      </c>
    </row>
    <row r="208" spans="2:12" x14ac:dyDescent="0.25">
      <c r="F208">
        <v>21</v>
      </c>
      <c r="G208" t="s">
        <v>93</v>
      </c>
      <c r="H208" t="s">
        <v>16</v>
      </c>
      <c r="I208" t="s">
        <v>410</v>
      </c>
      <c r="J208" t="s">
        <v>411</v>
      </c>
      <c r="L208" t="s">
        <v>67</v>
      </c>
    </row>
    <row r="209" spans="6:12" x14ac:dyDescent="0.25">
      <c r="F209">
        <v>22</v>
      </c>
      <c r="G209" t="s">
        <v>95</v>
      </c>
      <c r="H209" t="s">
        <v>16</v>
      </c>
      <c r="I209" t="s">
        <v>295</v>
      </c>
      <c r="J209" t="s">
        <v>296</v>
      </c>
      <c r="L209" t="s">
        <v>67</v>
      </c>
    </row>
    <row r="210" spans="6:12" x14ac:dyDescent="0.25">
      <c r="F210">
        <v>24</v>
      </c>
      <c r="G210" t="s">
        <v>97</v>
      </c>
      <c r="H210" t="s">
        <v>16</v>
      </c>
      <c r="I210" t="s">
        <v>382</v>
      </c>
      <c r="J210" t="s">
        <v>360</v>
      </c>
      <c r="L210" t="s">
        <v>67</v>
      </c>
    </row>
    <row r="211" spans="6:12" x14ac:dyDescent="0.25">
      <c r="F211">
        <v>25</v>
      </c>
      <c r="G211" t="s">
        <v>99</v>
      </c>
      <c r="H211" t="s">
        <v>16</v>
      </c>
      <c r="I211" t="s">
        <v>493</v>
      </c>
      <c r="J211" t="s">
        <v>494</v>
      </c>
      <c r="L211" t="s">
        <v>67</v>
      </c>
    </row>
    <row r="212" spans="6:12" x14ac:dyDescent="0.25">
      <c r="F212">
        <v>26</v>
      </c>
      <c r="G212" t="s">
        <v>100</v>
      </c>
      <c r="H212" t="s">
        <v>16</v>
      </c>
      <c r="I212" t="s">
        <v>493</v>
      </c>
      <c r="J212" t="s">
        <v>494</v>
      </c>
      <c r="L212" t="s">
        <v>67</v>
      </c>
    </row>
    <row r="213" spans="6:12" x14ac:dyDescent="0.25">
      <c r="F213">
        <v>27</v>
      </c>
      <c r="G213" t="s">
        <v>101</v>
      </c>
      <c r="H213" t="s">
        <v>16</v>
      </c>
      <c r="I213" t="s">
        <v>79</v>
      </c>
      <c r="J213" t="s">
        <v>350</v>
      </c>
      <c r="L213" t="s">
        <v>67</v>
      </c>
    </row>
    <row r="214" spans="6:12" x14ac:dyDescent="0.25">
      <c r="F214">
        <v>28</v>
      </c>
      <c r="G214" t="s">
        <v>103</v>
      </c>
      <c r="H214" t="s">
        <v>16</v>
      </c>
      <c r="I214" t="s">
        <v>495</v>
      </c>
      <c r="J214" t="s">
        <v>496</v>
      </c>
      <c r="L214" t="s">
        <v>67</v>
      </c>
    </row>
    <row r="215" spans="6:12" x14ac:dyDescent="0.25">
      <c r="F215">
        <v>29</v>
      </c>
      <c r="G215" t="s">
        <v>104</v>
      </c>
      <c r="H215" t="s">
        <v>16</v>
      </c>
      <c r="I215" t="s">
        <v>283</v>
      </c>
      <c r="J215" t="s">
        <v>284</v>
      </c>
      <c r="L215" t="s">
        <v>67</v>
      </c>
    </row>
    <row r="216" spans="6:12" x14ac:dyDescent="0.25">
      <c r="F216">
        <v>30</v>
      </c>
      <c r="G216" t="s">
        <v>106</v>
      </c>
      <c r="H216" t="s">
        <v>16</v>
      </c>
      <c r="I216" t="s">
        <v>382</v>
      </c>
      <c r="J216" t="s">
        <v>360</v>
      </c>
      <c r="L216" t="s">
        <v>67</v>
      </c>
    </row>
    <row r="217" spans="6:12" x14ac:dyDescent="0.25">
      <c r="F217">
        <v>31</v>
      </c>
      <c r="G217" t="s">
        <v>107</v>
      </c>
      <c r="H217" t="s">
        <v>16</v>
      </c>
      <c r="I217" t="s">
        <v>450</v>
      </c>
      <c r="J217" t="s">
        <v>391</v>
      </c>
      <c r="L217" t="s">
        <v>67</v>
      </c>
    </row>
    <row r="218" spans="6:12" x14ac:dyDescent="0.25">
      <c r="F218">
        <v>32</v>
      </c>
      <c r="G218" t="s">
        <v>108</v>
      </c>
      <c r="H218" t="s">
        <v>16</v>
      </c>
      <c r="I218" t="s">
        <v>497</v>
      </c>
      <c r="J218" t="s">
        <v>498</v>
      </c>
      <c r="L218" t="s">
        <v>67</v>
      </c>
    </row>
    <row r="219" spans="6:12" x14ac:dyDescent="0.25">
      <c r="F219">
        <v>33</v>
      </c>
      <c r="G219" t="s">
        <v>109</v>
      </c>
      <c r="H219" t="s">
        <v>16</v>
      </c>
      <c r="I219" t="s">
        <v>283</v>
      </c>
      <c r="J219" t="s">
        <v>284</v>
      </c>
      <c r="L219" t="s">
        <v>67</v>
      </c>
    </row>
    <row r="220" spans="6:12" x14ac:dyDescent="0.25">
      <c r="F220">
        <v>34</v>
      </c>
      <c r="G220" t="s">
        <v>110</v>
      </c>
      <c r="H220" t="s">
        <v>16</v>
      </c>
      <c r="I220" t="s">
        <v>79</v>
      </c>
      <c r="J220" t="s">
        <v>391</v>
      </c>
      <c r="L220" t="s">
        <v>67</v>
      </c>
    </row>
    <row r="221" spans="6:12" x14ac:dyDescent="0.25">
      <c r="F221">
        <v>35</v>
      </c>
      <c r="G221" t="s">
        <v>111</v>
      </c>
      <c r="H221" t="s">
        <v>16</v>
      </c>
      <c r="I221" t="s">
        <v>283</v>
      </c>
      <c r="J221" t="s">
        <v>284</v>
      </c>
      <c r="L221" t="s">
        <v>67</v>
      </c>
    </row>
    <row r="222" spans="6:12" x14ac:dyDescent="0.25">
      <c r="F222">
        <v>36</v>
      </c>
      <c r="G222" t="s">
        <v>112</v>
      </c>
      <c r="H222" t="s">
        <v>16</v>
      </c>
      <c r="I222" t="s">
        <v>499</v>
      </c>
      <c r="J222" t="s">
        <v>500</v>
      </c>
      <c r="L222" t="s">
        <v>67</v>
      </c>
    </row>
    <row r="223" spans="6:12" x14ac:dyDescent="0.25">
      <c r="F223">
        <v>37</v>
      </c>
      <c r="G223" t="s">
        <v>113</v>
      </c>
      <c r="H223" t="s">
        <v>16</v>
      </c>
      <c r="I223" t="s">
        <v>279</v>
      </c>
      <c r="J223" t="s">
        <v>280</v>
      </c>
      <c r="L223" t="s">
        <v>67</v>
      </c>
    </row>
    <row r="224" spans="6:12" x14ac:dyDescent="0.25">
      <c r="F224">
        <v>45</v>
      </c>
      <c r="G224" t="s">
        <v>144</v>
      </c>
      <c r="H224" t="s">
        <v>16</v>
      </c>
      <c r="I224" t="s">
        <v>501</v>
      </c>
      <c r="J224" t="s">
        <v>502</v>
      </c>
      <c r="L224" t="s">
        <v>67</v>
      </c>
    </row>
    <row r="225" spans="2:12" x14ac:dyDescent="0.25">
      <c r="B225" t="s">
        <v>503</v>
      </c>
      <c r="C225" t="s">
        <v>150</v>
      </c>
      <c r="D225" t="s">
        <v>147</v>
      </c>
      <c r="E225" t="s">
        <v>148</v>
      </c>
      <c r="F225">
        <v>4</v>
      </c>
      <c r="G225" t="s">
        <v>71</v>
      </c>
      <c r="H225" t="s">
        <v>18</v>
      </c>
    </row>
    <row r="226" spans="2:12" x14ac:dyDescent="0.25">
      <c r="F226">
        <v>5</v>
      </c>
      <c r="G226" t="s">
        <v>73</v>
      </c>
      <c r="H226" t="s">
        <v>16</v>
      </c>
      <c r="I226" t="s">
        <v>504</v>
      </c>
      <c r="J226" t="s">
        <v>505</v>
      </c>
      <c r="L226" t="s">
        <v>67</v>
      </c>
    </row>
    <row r="227" spans="2:12" x14ac:dyDescent="0.25">
      <c r="F227">
        <v>6</v>
      </c>
      <c r="G227" t="s">
        <v>74</v>
      </c>
      <c r="H227" t="s">
        <v>16</v>
      </c>
      <c r="I227" t="s">
        <v>506</v>
      </c>
      <c r="J227" t="s">
        <v>507</v>
      </c>
      <c r="L227" t="s">
        <v>67</v>
      </c>
    </row>
    <row r="228" spans="2:12" x14ac:dyDescent="0.25">
      <c r="F228">
        <v>7</v>
      </c>
      <c r="G228" t="s">
        <v>75</v>
      </c>
      <c r="H228" t="s">
        <v>18</v>
      </c>
    </row>
    <row r="229" spans="2:12" x14ac:dyDescent="0.25">
      <c r="F229">
        <v>8</v>
      </c>
      <c r="G229" t="s">
        <v>76</v>
      </c>
      <c r="H229" t="s">
        <v>16</v>
      </c>
      <c r="I229" t="s">
        <v>410</v>
      </c>
      <c r="J229" t="s">
        <v>508</v>
      </c>
      <c r="L229" t="s">
        <v>67</v>
      </c>
    </row>
    <row r="230" spans="2:12" x14ac:dyDescent="0.25">
      <c r="F230">
        <v>10</v>
      </c>
      <c r="G230" t="s">
        <v>80</v>
      </c>
      <c r="H230" t="s">
        <v>16</v>
      </c>
      <c r="I230" t="s">
        <v>79</v>
      </c>
      <c r="J230" t="s">
        <v>509</v>
      </c>
      <c r="L230" t="s">
        <v>67</v>
      </c>
    </row>
    <row r="231" spans="2:12" x14ac:dyDescent="0.25">
      <c r="F231">
        <v>13</v>
      </c>
      <c r="G231" t="s">
        <v>84</v>
      </c>
      <c r="H231" t="s">
        <v>16</v>
      </c>
      <c r="I231" t="s">
        <v>510</v>
      </c>
      <c r="J231" t="s">
        <v>511</v>
      </c>
      <c r="L231" t="s">
        <v>67</v>
      </c>
    </row>
    <row r="232" spans="2:12" x14ac:dyDescent="0.25">
      <c r="F232">
        <v>21</v>
      </c>
      <c r="G232" t="s">
        <v>93</v>
      </c>
      <c r="H232" t="s">
        <v>16</v>
      </c>
      <c r="I232" t="s">
        <v>293</v>
      </c>
      <c r="J232" t="s">
        <v>294</v>
      </c>
      <c r="L232" t="s">
        <v>67</v>
      </c>
    </row>
    <row r="233" spans="2:12" x14ac:dyDescent="0.25">
      <c r="F233">
        <v>22</v>
      </c>
      <c r="G233" t="s">
        <v>95</v>
      </c>
      <c r="H233" t="s">
        <v>16</v>
      </c>
      <c r="I233" t="s">
        <v>293</v>
      </c>
      <c r="J233" t="s">
        <v>294</v>
      </c>
      <c r="L233" t="s">
        <v>67</v>
      </c>
    </row>
    <row r="234" spans="2:12" x14ac:dyDescent="0.25">
      <c r="F234">
        <v>24</v>
      </c>
      <c r="G234" t="s">
        <v>97</v>
      </c>
      <c r="H234" t="s">
        <v>16</v>
      </c>
      <c r="I234" t="s">
        <v>512</v>
      </c>
      <c r="J234" t="s">
        <v>513</v>
      </c>
      <c r="L234" t="s">
        <v>67</v>
      </c>
    </row>
    <row r="235" spans="2:12" x14ac:dyDescent="0.25">
      <c r="F235">
        <v>25</v>
      </c>
      <c r="G235" t="s">
        <v>99</v>
      </c>
      <c r="H235" t="s">
        <v>16</v>
      </c>
      <c r="I235" t="s">
        <v>514</v>
      </c>
      <c r="J235" t="s">
        <v>515</v>
      </c>
      <c r="L235" t="s">
        <v>67</v>
      </c>
    </row>
    <row r="236" spans="2:12" x14ac:dyDescent="0.25">
      <c r="F236">
        <v>26</v>
      </c>
      <c r="G236" t="s">
        <v>100</v>
      </c>
      <c r="H236" t="s">
        <v>16</v>
      </c>
      <c r="I236" t="s">
        <v>516</v>
      </c>
      <c r="J236" t="s">
        <v>517</v>
      </c>
      <c r="L236" t="s">
        <v>67</v>
      </c>
    </row>
    <row r="237" spans="2:12" x14ac:dyDescent="0.25">
      <c r="F237">
        <v>27</v>
      </c>
      <c r="G237" t="s">
        <v>101</v>
      </c>
      <c r="H237" t="s">
        <v>16</v>
      </c>
      <c r="I237" t="s">
        <v>79</v>
      </c>
      <c r="J237" t="s">
        <v>518</v>
      </c>
      <c r="L237" t="s">
        <v>67</v>
      </c>
    </row>
    <row r="238" spans="2:12" x14ac:dyDescent="0.25">
      <c r="F238">
        <v>28</v>
      </c>
      <c r="G238" t="s">
        <v>103</v>
      </c>
      <c r="H238" t="s">
        <v>16</v>
      </c>
      <c r="I238" t="s">
        <v>392</v>
      </c>
      <c r="J238" t="s">
        <v>393</v>
      </c>
      <c r="L238" t="s">
        <v>67</v>
      </c>
    </row>
    <row r="239" spans="2:12" x14ac:dyDescent="0.25">
      <c r="F239">
        <v>29</v>
      </c>
      <c r="G239" t="s">
        <v>104</v>
      </c>
      <c r="H239" t="s">
        <v>16</v>
      </c>
      <c r="I239" t="s">
        <v>519</v>
      </c>
      <c r="J239" t="s">
        <v>520</v>
      </c>
      <c r="L239" t="s">
        <v>67</v>
      </c>
    </row>
    <row r="240" spans="2:12" x14ac:dyDescent="0.25">
      <c r="F240">
        <v>30</v>
      </c>
      <c r="G240" t="s">
        <v>106</v>
      </c>
      <c r="H240" t="s">
        <v>16</v>
      </c>
      <c r="I240" t="s">
        <v>512</v>
      </c>
      <c r="J240" t="s">
        <v>513</v>
      </c>
      <c r="L240" t="s">
        <v>67</v>
      </c>
    </row>
    <row r="241" spans="2:12" x14ac:dyDescent="0.25">
      <c r="F241">
        <v>31</v>
      </c>
      <c r="G241" t="s">
        <v>107</v>
      </c>
      <c r="H241" t="s">
        <v>16</v>
      </c>
      <c r="I241" t="s">
        <v>521</v>
      </c>
      <c r="J241" t="s">
        <v>522</v>
      </c>
      <c r="L241" t="s">
        <v>67</v>
      </c>
    </row>
    <row r="242" spans="2:12" x14ac:dyDescent="0.25">
      <c r="F242">
        <v>32</v>
      </c>
      <c r="G242" t="s">
        <v>108</v>
      </c>
      <c r="H242" t="s">
        <v>16</v>
      </c>
      <c r="I242" t="s">
        <v>310</v>
      </c>
      <c r="J242" t="s">
        <v>311</v>
      </c>
      <c r="L242" t="s">
        <v>67</v>
      </c>
    </row>
    <row r="243" spans="2:12" x14ac:dyDescent="0.25">
      <c r="F243">
        <v>33</v>
      </c>
      <c r="G243" t="s">
        <v>109</v>
      </c>
      <c r="H243" t="s">
        <v>16</v>
      </c>
      <c r="I243" t="s">
        <v>389</v>
      </c>
      <c r="J243" t="s">
        <v>390</v>
      </c>
      <c r="L243" t="s">
        <v>67</v>
      </c>
    </row>
    <row r="244" spans="2:12" x14ac:dyDescent="0.25">
      <c r="F244">
        <v>34</v>
      </c>
      <c r="G244" t="s">
        <v>110</v>
      </c>
      <c r="H244" t="s">
        <v>16</v>
      </c>
      <c r="I244" t="s">
        <v>79</v>
      </c>
      <c r="J244" t="s">
        <v>522</v>
      </c>
      <c r="L244" t="s">
        <v>67</v>
      </c>
    </row>
    <row r="245" spans="2:12" x14ac:dyDescent="0.25">
      <c r="F245">
        <v>35</v>
      </c>
      <c r="G245" t="s">
        <v>111</v>
      </c>
      <c r="H245" t="s">
        <v>16</v>
      </c>
      <c r="I245" t="s">
        <v>510</v>
      </c>
      <c r="J245" t="s">
        <v>511</v>
      </c>
      <c r="L245" t="s">
        <v>67</v>
      </c>
    </row>
    <row r="246" spans="2:12" x14ac:dyDescent="0.25">
      <c r="F246">
        <v>36</v>
      </c>
      <c r="G246" t="s">
        <v>112</v>
      </c>
      <c r="H246" t="s">
        <v>16</v>
      </c>
      <c r="I246" t="s">
        <v>523</v>
      </c>
      <c r="J246" t="s">
        <v>513</v>
      </c>
      <c r="L246" t="s">
        <v>67</v>
      </c>
    </row>
    <row r="247" spans="2:12" x14ac:dyDescent="0.25">
      <c r="F247">
        <v>37</v>
      </c>
      <c r="G247" t="s">
        <v>113</v>
      </c>
      <c r="H247" t="s">
        <v>16</v>
      </c>
      <c r="I247" t="s">
        <v>279</v>
      </c>
      <c r="J247" t="s">
        <v>280</v>
      </c>
      <c r="L247" t="s">
        <v>67</v>
      </c>
    </row>
    <row r="248" spans="2:12" x14ac:dyDescent="0.25">
      <c r="F248">
        <v>46</v>
      </c>
      <c r="G248" t="s">
        <v>149</v>
      </c>
      <c r="H248" t="s">
        <v>16</v>
      </c>
      <c r="I248" t="s">
        <v>447</v>
      </c>
      <c r="J248" t="s">
        <v>524</v>
      </c>
      <c r="L248" t="s">
        <v>67</v>
      </c>
    </row>
    <row r="249" spans="2:12" x14ac:dyDescent="0.25">
      <c r="B249" t="s">
        <v>525</v>
      </c>
      <c r="C249" t="s">
        <v>155</v>
      </c>
      <c r="D249" t="s">
        <v>152</v>
      </c>
      <c r="E249" t="s">
        <v>153</v>
      </c>
      <c r="F249">
        <v>4</v>
      </c>
      <c r="G249" t="s">
        <v>71</v>
      </c>
      <c r="H249" t="s">
        <v>18</v>
      </c>
    </row>
    <row r="250" spans="2:12" x14ac:dyDescent="0.25">
      <c r="F250">
        <v>5</v>
      </c>
      <c r="G250" t="s">
        <v>73</v>
      </c>
      <c r="H250" t="s">
        <v>16</v>
      </c>
      <c r="I250" t="s">
        <v>526</v>
      </c>
      <c r="J250" t="s">
        <v>527</v>
      </c>
      <c r="L250" t="s">
        <v>67</v>
      </c>
    </row>
    <row r="251" spans="2:12" x14ac:dyDescent="0.25">
      <c r="F251">
        <v>6</v>
      </c>
      <c r="G251" t="s">
        <v>74</v>
      </c>
      <c r="H251" t="s">
        <v>16</v>
      </c>
      <c r="I251" t="s">
        <v>528</v>
      </c>
      <c r="J251" t="s">
        <v>529</v>
      </c>
      <c r="L251" t="s">
        <v>67</v>
      </c>
    </row>
    <row r="252" spans="2:12" x14ac:dyDescent="0.25">
      <c r="F252">
        <v>7</v>
      </c>
      <c r="G252" t="s">
        <v>75</v>
      </c>
      <c r="H252" t="s">
        <v>18</v>
      </c>
    </row>
    <row r="253" spans="2:12" x14ac:dyDescent="0.25">
      <c r="F253">
        <v>8</v>
      </c>
      <c r="G253" t="s">
        <v>76</v>
      </c>
      <c r="H253" t="s">
        <v>16</v>
      </c>
      <c r="I253" t="s">
        <v>530</v>
      </c>
      <c r="J253" t="s">
        <v>531</v>
      </c>
      <c r="L253" t="s">
        <v>67</v>
      </c>
    </row>
    <row r="254" spans="2:12" x14ac:dyDescent="0.25">
      <c r="F254">
        <v>10</v>
      </c>
      <c r="G254" t="s">
        <v>80</v>
      </c>
      <c r="H254" t="s">
        <v>16</v>
      </c>
      <c r="I254" t="s">
        <v>79</v>
      </c>
      <c r="J254" t="s">
        <v>532</v>
      </c>
      <c r="L254" t="s">
        <v>67</v>
      </c>
    </row>
    <row r="255" spans="2:12" x14ac:dyDescent="0.25">
      <c r="F255">
        <v>13</v>
      </c>
      <c r="G255" t="s">
        <v>84</v>
      </c>
      <c r="H255" t="s">
        <v>16</v>
      </c>
      <c r="I255" t="s">
        <v>279</v>
      </c>
      <c r="J255" t="s">
        <v>280</v>
      </c>
      <c r="L255" t="s">
        <v>67</v>
      </c>
    </row>
    <row r="256" spans="2:12" x14ac:dyDescent="0.25">
      <c r="F256">
        <v>21</v>
      </c>
      <c r="G256" t="s">
        <v>93</v>
      </c>
      <c r="H256" t="s">
        <v>16</v>
      </c>
      <c r="I256" t="s">
        <v>533</v>
      </c>
      <c r="J256" t="s">
        <v>534</v>
      </c>
      <c r="L256" t="s">
        <v>67</v>
      </c>
    </row>
    <row r="257" spans="6:12" x14ac:dyDescent="0.25">
      <c r="F257">
        <v>22</v>
      </c>
      <c r="G257" t="s">
        <v>95</v>
      </c>
      <c r="H257" t="s">
        <v>16</v>
      </c>
      <c r="I257" t="s">
        <v>533</v>
      </c>
      <c r="J257" t="s">
        <v>534</v>
      </c>
      <c r="L257" t="s">
        <v>67</v>
      </c>
    </row>
    <row r="258" spans="6:12" x14ac:dyDescent="0.25">
      <c r="F258">
        <v>24</v>
      </c>
      <c r="G258" t="s">
        <v>97</v>
      </c>
      <c r="H258" t="s">
        <v>16</v>
      </c>
      <c r="I258" t="s">
        <v>535</v>
      </c>
      <c r="J258" t="s">
        <v>536</v>
      </c>
      <c r="L258" t="s">
        <v>67</v>
      </c>
    </row>
    <row r="259" spans="6:12" x14ac:dyDescent="0.25">
      <c r="F259">
        <v>26</v>
      </c>
      <c r="G259" t="s">
        <v>100</v>
      </c>
      <c r="H259" t="s">
        <v>16</v>
      </c>
      <c r="I259" t="s">
        <v>537</v>
      </c>
      <c r="J259" t="s">
        <v>538</v>
      </c>
      <c r="L259" t="s">
        <v>67</v>
      </c>
    </row>
    <row r="260" spans="6:12" x14ac:dyDescent="0.25">
      <c r="F260">
        <v>27</v>
      </c>
      <c r="G260" t="s">
        <v>101</v>
      </c>
      <c r="H260" t="s">
        <v>16</v>
      </c>
      <c r="I260" t="s">
        <v>79</v>
      </c>
      <c r="J260" t="s">
        <v>539</v>
      </c>
      <c r="L260" t="s">
        <v>67</v>
      </c>
    </row>
    <row r="261" spans="6:12" x14ac:dyDescent="0.25">
      <c r="F261">
        <v>28</v>
      </c>
      <c r="G261" t="s">
        <v>103</v>
      </c>
      <c r="H261" t="s">
        <v>16</v>
      </c>
      <c r="I261" t="s">
        <v>416</v>
      </c>
      <c r="J261" t="s">
        <v>417</v>
      </c>
      <c r="L261" t="s">
        <v>67</v>
      </c>
    </row>
    <row r="262" spans="6:12" x14ac:dyDescent="0.25">
      <c r="F262">
        <v>29</v>
      </c>
      <c r="G262" t="s">
        <v>104</v>
      </c>
      <c r="H262" t="s">
        <v>16</v>
      </c>
      <c r="I262" t="s">
        <v>528</v>
      </c>
      <c r="J262" t="s">
        <v>540</v>
      </c>
      <c r="L262" t="s">
        <v>67</v>
      </c>
    </row>
    <row r="263" spans="6:12" x14ac:dyDescent="0.25">
      <c r="F263">
        <v>30</v>
      </c>
      <c r="G263" t="s">
        <v>106</v>
      </c>
      <c r="H263" t="s">
        <v>16</v>
      </c>
      <c r="I263" t="s">
        <v>541</v>
      </c>
      <c r="J263" t="s">
        <v>542</v>
      </c>
      <c r="L263" t="s">
        <v>67</v>
      </c>
    </row>
    <row r="264" spans="6:12" x14ac:dyDescent="0.25">
      <c r="F264">
        <v>31</v>
      </c>
      <c r="G264" t="s">
        <v>107</v>
      </c>
      <c r="H264" t="s">
        <v>16</v>
      </c>
      <c r="I264" t="s">
        <v>543</v>
      </c>
      <c r="J264" t="s">
        <v>542</v>
      </c>
      <c r="L264" t="s">
        <v>67</v>
      </c>
    </row>
    <row r="265" spans="6:12" x14ac:dyDescent="0.25">
      <c r="F265">
        <v>32</v>
      </c>
      <c r="G265" t="s">
        <v>108</v>
      </c>
      <c r="H265" t="s">
        <v>16</v>
      </c>
      <c r="I265" t="s">
        <v>497</v>
      </c>
      <c r="J265" t="s">
        <v>498</v>
      </c>
      <c r="L265" t="s">
        <v>67</v>
      </c>
    </row>
    <row r="266" spans="6:12" x14ac:dyDescent="0.25">
      <c r="F266">
        <v>33</v>
      </c>
      <c r="G266" t="s">
        <v>109</v>
      </c>
      <c r="H266" t="s">
        <v>16</v>
      </c>
      <c r="I266" t="s">
        <v>528</v>
      </c>
      <c r="J266" t="s">
        <v>540</v>
      </c>
      <c r="L266" t="s">
        <v>67</v>
      </c>
    </row>
    <row r="267" spans="6:12" x14ac:dyDescent="0.25">
      <c r="F267">
        <v>34</v>
      </c>
      <c r="G267" t="s">
        <v>110</v>
      </c>
      <c r="H267" t="s">
        <v>16</v>
      </c>
      <c r="I267" t="s">
        <v>79</v>
      </c>
      <c r="J267" t="s">
        <v>544</v>
      </c>
      <c r="L267" t="s">
        <v>67</v>
      </c>
    </row>
    <row r="268" spans="6:12" x14ac:dyDescent="0.25">
      <c r="F268">
        <v>35</v>
      </c>
      <c r="G268" t="s">
        <v>111</v>
      </c>
      <c r="H268" t="s">
        <v>16</v>
      </c>
      <c r="I268" t="s">
        <v>528</v>
      </c>
      <c r="J268" t="s">
        <v>540</v>
      </c>
      <c r="L268" t="s">
        <v>67</v>
      </c>
    </row>
    <row r="269" spans="6:12" x14ac:dyDescent="0.25">
      <c r="F269">
        <v>36</v>
      </c>
      <c r="G269" t="s">
        <v>112</v>
      </c>
      <c r="H269" t="s">
        <v>16</v>
      </c>
      <c r="I269" t="s">
        <v>314</v>
      </c>
      <c r="J269" t="s">
        <v>315</v>
      </c>
      <c r="L269" t="s">
        <v>67</v>
      </c>
    </row>
    <row r="270" spans="6:12" x14ac:dyDescent="0.25">
      <c r="F270">
        <v>37</v>
      </c>
      <c r="G270" t="s">
        <v>113</v>
      </c>
      <c r="H270" t="s">
        <v>16</v>
      </c>
      <c r="I270" t="s">
        <v>279</v>
      </c>
      <c r="J270" t="s">
        <v>280</v>
      </c>
      <c r="L270" t="s">
        <v>67</v>
      </c>
    </row>
    <row r="271" spans="6:12" x14ac:dyDescent="0.25">
      <c r="F271">
        <v>39</v>
      </c>
      <c r="G271" t="s">
        <v>124</v>
      </c>
      <c r="H271" t="s">
        <v>16</v>
      </c>
      <c r="I271" t="s">
        <v>545</v>
      </c>
      <c r="J271" t="s">
        <v>539</v>
      </c>
    </row>
    <row r="272" spans="6:12" x14ac:dyDescent="0.25">
      <c r="F272">
        <v>41</v>
      </c>
      <c r="G272" t="s">
        <v>131</v>
      </c>
      <c r="H272" t="s">
        <v>16</v>
      </c>
      <c r="I272" t="s">
        <v>546</v>
      </c>
      <c r="J272" t="s">
        <v>547</v>
      </c>
    </row>
    <row r="273" spans="2:12" x14ac:dyDescent="0.25">
      <c r="F273">
        <v>47</v>
      </c>
      <c r="G273" t="s">
        <v>154</v>
      </c>
      <c r="H273" t="s">
        <v>16</v>
      </c>
      <c r="I273" t="s">
        <v>546</v>
      </c>
      <c r="J273" t="s">
        <v>547</v>
      </c>
    </row>
    <row r="274" spans="2:12" x14ac:dyDescent="0.25">
      <c r="F274">
        <v>48</v>
      </c>
      <c r="G274" t="s">
        <v>156</v>
      </c>
      <c r="H274" t="s">
        <v>16</v>
      </c>
      <c r="I274" t="s">
        <v>545</v>
      </c>
      <c r="J274" t="s">
        <v>539</v>
      </c>
      <c r="L274" t="s">
        <v>67</v>
      </c>
    </row>
    <row r="275" spans="2:12" x14ac:dyDescent="0.25">
      <c r="B275" t="s">
        <v>548</v>
      </c>
      <c r="C275" t="s">
        <v>155</v>
      </c>
      <c r="D275" t="s">
        <v>158</v>
      </c>
      <c r="E275" t="s">
        <v>159</v>
      </c>
      <c r="F275">
        <v>4</v>
      </c>
      <c r="G275" t="s">
        <v>71</v>
      </c>
      <c r="H275" t="s">
        <v>18</v>
      </c>
    </row>
    <row r="276" spans="2:12" x14ac:dyDescent="0.25">
      <c r="F276">
        <v>5</v>
      </c>
      <c r="G276" t="s">
        <v>73</v>
      </c>
      <c r="H276" t="s">
        <v>16</v>
      </c>
      <c r="I276" t="s">
        <v>549</v>
      </c>
      <c r="J276" t="s">
        <v>550</v>
      </c>
      <c r="L276" t="s">
        <v>67</v>
      </c>
    </row>
    <row r="277" spans="2:12" x14ac:dyDescent="0.25">
      <c r="F277">
        <v>6</v>
      </c>
      <c r="G277" t="s">
        <v>74</v>
      </c>
      <c r="H277" t="s">
        <v>16</v>
      </c>
      <c r="I277" t="s">
        <v>551</v>
      </c>
      <c r="J277" t="s">
        <v>552</v>
      </c>
      <c r="L277" t="s">
        <v>67</v>
      </c>
    </row>
    <row r="278" spans="2:12" x14ac:dyDescent="0.25">
      <c r="F278">
        <v>7</v>
      </c>
      <c r="G278" t="s">
        <v>75</v>
      </c>
      <c r="H278" t="s">
        <v>39</v>
      </c>
      <c r="I278" t="s">
        <v>553</v>
      </c>
      <c r="J278" t="s">
        <v>554</v>
      </c>
      <c r="L278" t="s">
        <v>67</v>
      </c>
    </row>
    <row r="279" spans="2:12" x14ac:dyDescent="0.25">
      <c r="F279">
        <v>8</v>
      </c>
      <c r="G279" t="s">
        <v>76</v>
      </c>
      <c r="H279" t="s">
        <v>16</v>
      </c>
      <c r="I279" t="s">
        <v>555</v>
      </c>
      <c r="J279" t="s">
        <v>313</v>
      </c>
      <c r="L279" t="s">
        <v>67</v>
      </c>
    </row>
    <row r="280" spans="2:12" x14ac:dyDescent="0.25">
      <c r="F280">
        <v>10</v>
      </c>
      <c r="G280" t="s">
        <v>80</v>
      </c>
      <c r="H280" t="s">
        <v>16</v>
      </c>
      <c r="I280" t="s">
        <v>79</v>
      </c>
      <c r="J280" t="s">
        <v>331</v>
      </c>
      <c r="L280" t="s">
        <v>67</v>
      </c>
    </row>
    <row r="281" spans="2:12" x14ac:dyDescent="0.25">
      <c r="F281">
        <v>13</v>
      </c>
      <c r="G281" t="s">
        <v>84</v>
      </c>
      <c r="H281" t="s">
        <v>16</v>
      </c>
      <c r="I281" t="s">
        <v>423</v>
      </c>
      <c r="J281" t="s">
        <v>424</v>
      </c>
      <c r="L281" t="s">
        <v>67</v>
      </c>
    </row>
    <row r="282" spans="2:12" x14ac:dyDescent="0.25">
      <c r="F282">
        <v>21</v>
      </c>
      <c r="G282" t="s">
        <v>93</v>
      </c>
      <c r="H282" t="s">
        <v>16</v>
      </c>
      <c r="I282" t="s">
        <v>528</v>
      </c>
      <c r="J282" t="s">
        <v>540</v>
      </c>
      <c r="L282" t="s">
        <v>67</v>
      </c>
    </row>
    <row r="283" spans="2:12" x14ac:dyDescent="0.25">
      <c r="F283">
        <v>22</v>
      </c>
      <c r="G283" t="s">
        <v>95</v>
      </c>
      <c r="H283" t="s">
        <v>16</v>
      </c>
      <c r="I283" t="s">
        <v>528</v>
      </c>
      <c r="J283" t="s">
        <v>540</v>
      </c>
      <c r="L283" t="s">
        <v>67</v>
      </c>
    </row>
    <row r="284" spans="2:12" x14ac:dyDescent="0.25">
      <c r="F284">
        <v>24</v>
      </c>
      <c r="G284" t="s">
        <v>97</v>
      </c>
      <c r="H284" t="s">
        <v>16</v>
      </c>
      <c r="I284" t="s">
        <v>556</v>
      </c>
      <c r="J284" t="s">
        <v>557</v>
      </c>
      <c r="L284" t="s">
        <v>67</v>
      </c>
    </row>
    <row r="285" spans="2:12" x14ac:dyDescent="0.25">
      <c r="F285">
        <v>26</v>
      </c>
      <c r="G285" t="s">
        <v>100</v>
      </c>
      <c r="H285" t="s">
        <v>18</v>
      </c>
    </row>
    <row r="286" spans="2:12" x14ac:dyDescent="0.25">
      <c r="F286">
        <v>27</v>
      </c>
      <c r="G286" t="s">
        <v>101</v>
      </c>
      <c r="H286" t="s">
        <v>16</v>
      </c>
      <c r="I286" t="s">
        <v>79</v>
      </c>
      <c r="J286" t="s">
        <v>473</v>
      </c>
      <c r="L286" t="s">
        <v>67</v>
      </c>
    </row>
    <row r="287" spans="2:12" x14ac:dyDescent="0.25">
      <c r="F287">
        <v>28</v>
      </c>
      <c r="G287" t="s">
        <v>103</v>
      </c>
      <c r="H287" t="s">
        <v>16</v>
      </c>
      <c r="I287" t="s">
        <v>495</v>
      </c>
      <c r="J287" t="s">
        <v>496</v>
      </c>
      <c r="L287" t="s">
        <v>67</v>
      </c>
    </row>
    <row r="288" spans="2:12" x14ac:dyDescent="0.25">
      <c r="F288">
        <v>29</v>
      </c>
      <c r="G288" t="s">
        <v>104</v>
      </c>
      <c r="H288" t="s">
        <v>16</v>
      </c>
      <c r="I288" t="s">
        <v>558</v>
      </c>
      <c r="J288" t="s">
        <v>559</v>
      </c>
      <c r="L288" t="s">
        <v>67</v>
      </c>
    </row>
    <row r="289" spans="2:12" x14ac:dyDescent="0.25">
      <c r="F289">
        <v>30</v>
      </c>
      <c r="G289" t="s">
        <v>106</v>
      </c>
      <c r="H289" t="s">
        <v>16</v>
      </c>
      <c r="I289" t="s">
        <v>560</v>
      </c>
      <c r="J289" t="s">
        <v>561</v>
      </c>
      <c r="L289" t="s">
        <v>67</v>
      </c>
    </row>
    <row r="290" spans="2:12" x14ac:dyDescent="0.25">
      <c r="F290">
        <v>31</v>
      </c>
      <c r="G290" t="s">
        <v>107</v>
      </c>
      <c r="H290" t="s">
        <v>16</v>
      </c>
      <c r="I290" t="s">
        <v>562</v>
      </c>
      <c r="J290" t="s">
        <v>557</v>
      </c>
      <c r="L290" t="s">
        <v>67</v>
      </c>
    </row>
    <row r="291" spans="2:12" x14ac:dyDescent="0.25">
      <c r="F291">
        <v>32</v>
      </c>
      <c r="G291" t="s">
        <v>108</v>
      </c>
      <c r="H291" t="s">
        <v>16</v>
      </c>
      <c r="I291" t="s">
        <v>563</v>
      </c>
      <c r="J291" t="s">
        <v>564</v>
      </c>
      <c r="L291" t="s">
        <v>67</v>
      </c>
    </row>
    <row r="292" spans="2:12" x14ac:dyDescent="0.25">
      <c r="F292">
        <v>33</v>
      </c>
      <c r="G292" t="s">
        <v>109</v>
      </c>
      <c r="H292" t="s">
        <v>16</v>
      </c>
      <c r="I292" t="s">
        <v>558</v>
      </c>
      <c r="J292" t="s">
        <v>559</v>
      </c>
      <c r="L292" t="s">
        <v>67</v>
      </c>
    </row>
    <row r="293" spans="2:12" x14ac:dyDescent="0.25">
      <c r="F293">
        <v>34</v>
      </c>
      <c r="G293" t="s">
        <v>110</v>
      </c>
      <c r="H293" t="s">
        <v>16</v>
      </c>
      <c r="I293" t="s">
        <v>79</v>
      </c>
      <c r="J293" t="s">
        <v>557</v>
      </c>
      <c r="L293" t="s">
        <v>67</v>
      </c>
    </row>
    <row r="294" spans="2:12" x14ac:dyDescent="0.25">
      <c r="F294">
        <v>35</v>
      </c>
      <c r="G294" t="s">
        <v>111</v>
      </c>
      <c r="H294" t="s">
        <v>16</v>
      </c>
      <c r="I294" t="s">
        <v>565</v>
      </c>
      <c r="J294" t="s">
        <v>566</v>
      </c>
      <c r="L294" t="s">
        <v>67</v>
      </c>
    </row>
    <row r="295" spans="2:12" x14ac:dyDescent="0.25">
      <c r="F295">
        <v>36</v>
      </c>
      <c r="G295" t="s">
        <v>112</v>
      </c>
      <c r="H295" t="s">
        <v>16</v>
      </c>
      <c r="I295" t="s">
        <v>565</v>
      </c>
      <c r="J295" t="s">
        <v>566</v>
      </c>
      <c r="L295" t="s">
        <v>67</v>
      </c>
    </row>
    <row r="296" spans="2:12" x14ac:dyDescent="0.25">
      <c r="F296">
        <v>37</v>
      </c>
      <c r="G296" t="s">
        <v>113</v>
      </c>
      <c r="H296" t="s">
        <v>16</v>
      </c>
      <c r="I296" t="s">
        <v>567</v>
      </c>
      <c r="J296" t="s">
        <v>568</v>
      </c>
      <c r="L296" t="s">
        <v>67</v>
      </c>
    </row>
    <row r="297" spans="2:12" x14ac:dyDescent="0.25">
      <c r="F297">
        <v>39</v>
      </c>
      <c r="G297" t="s">
        <v>124</v>
      </c>
      <c r="H297" t="s">
        <v>18</v>
      </c>
    </row>
    <row r="298" spans="2:12" x14ac:dyDescent="0.25">
      <c r="F298">
        <v>41</v>
      </c>
      <c r="G298" t="s">
        <v>131</v>
      </c>
      <c r="H298" t="s">
        <v>39</v>
      </c>
      <c r="I298" t="s">
        <v>569</v>
      </c>
      <c r="J298" t="s">
        <v>570</v>
      </c>
      <c r="L298" t="s">
        <v>67</v>
      </c>
    </row>
    <row r="299" spans="2:12" x14ac:dyDescent="0.25">
      <c r="F299">
        <v>47</v>
      </c>
      <c r="G299" t="s">
        <v>154</v>
      </c>
      <c r="H299" t="s">
        <v>16</v>
      </c>
      <c r="I299" t="s">
        <v>571</v>
      </c>
      <c r="J299" t="s">
        <v>572</v>
      </c>
      <c r="L299" t="s">
        <v>67</v>
      </c>
    </row>
    <row r="300" spans="2:12" x14ac:dyDescent="0.25">
      <c r="F300">
        <v>48</v>
      </c>
      <c r="G300" t="s">
        <v>156</v>
      </c>
      <c r="H300" t="s">
        <v>16</v>
      </c>
      <c r="I300" t="s">
        <v>573</v>
      </c>
      <c r="J300" t="s">
        <v>574</v>
      </c>
    </row>
    <row r="301" spans="2:12" x14ac:dyDescent="0.25">
      <c r="B301" t="s">
        <v>575</v>
      </c>
      <c r="C301" t="s">
        <v>164</v>
      </c>
      <c r="D301" t="s">
        <v>161</v>
      </c>
      <c r="E301" t="s">
        <v>162</v>
      </c>
      <c r="F301">
        <v>4</v>
      </c>
      <c r="G301" t="s">
        <v>71</v>
      </c>
      <c r="H301" t="s">
        <v>16</v>
      </c>
      <c r="I301" t="s">
        <v>576</v>
      </c>
      <c r="J301" t="s">
        <v>577</v>
      </c>
      <c r="L301" t="s">
        <v>67</v>
      </c>
    </row>
    <row r="302" spans="2:12" x14ac:dyDescent="0.25">
      <c r="F302">
        <v>5</v>
      </c>
      <c r="G302" t="s">
        <v>73</v>
      </c>
      <c r="H302" t="s">
        <v>16</v>
      </c>
      <c r="I302" t="s">
        <v>578</v>
      </c>
      <c r="J302" t="s">
        <v>579</v>
      </c>
      <c r="L302" t="s">
        <v>67</v>
      </c>
    </row>
    <row r="303" spans="2:12" x14ac:dyDescent="0.25">
      <c r="F303">
        <v>6</v>
      </c>
      <c r="G303" t="s">
        <v>74</v>
      </c>
      <c r="H303" t="s">
        <v>16</v>
      </c>
      <c r="I303" t="s">
        <v>580</v>
      </c>
      <c r="J303" t="s">
        <v>581</v>
      </c>
      <c r="L303" t="s">
        <v>67</v>
      </c>
    </row>
    <row r="304" spans="2:12" x14ac:dyDescent="0.25">
      <c r="F304">
        <v>7</v>
      </c>
      <c r="G304" t="s">
        <v>75</v>
      </c>
      <c r="H304" t="s">
        <v>39</v>
      </c>
      <c r="I304" t="s">
        <v>326</v>
      </c>
      <c r="J304" t="s">
        <v>582</v>
      </c>
      <c r="L304" t="s">
        <v>67</v>
      </c>
    </row>
    <row r="305" spans="6:12" x14ac:dyDescent="0.25">
      <c r="F305">
        <v>8</v>
      </c>
      <c r="G305" t="s">
        <v>76</v>
      </c>
      <c r="H305" t="s">
        <v>16</v>
      </c>
      <c r="I305" t="s">
        <v>583</v>
      </c>
      <c r="J305" t="s">
        <v>584</v>
      </c>
      <c r="L305" t="s">
        <v>67</v>
      </c>
    </row>
    <row r="306" spans="6:12" x14ac:dyDescent="0.25">
      <c r="F306">
        <v>10</v>
      </c>
      <c r="G306" t="s">
        <v>80</v>
      </c>
      <c r="H306" t="s">
        <v>16</v>
      </c>
      <c r="I306" t="s">
        <v>79</v>
      </c>
      <c r="J306" t="s">
        <v>442</v>
      </c>
      <c r="L306" t="s">
        <v>67</v>
      </c>
    </row>
    <row r="307" spans="6:12" x14ac:dyDescent="0.25">
      <c r="F307">
        <v>13</v>
      </c>
      <c r="G307" t="s">
        <v>84</v>
      </c>
      <c r="H307" t="s">
        <v>16</v>
      </c>
      <c r="I307" t="s">
        <v>510</v>
      </c>
      <c r="J307" t="s">
        <v>511</v>
      </c>
      <c r="L307" t="s">
        <v>67</v>
      </c>
    </row>
    <row r="308" spans="6:12" x14ac:dyDescent="0.25">
      <c r="F308">
        <v>21</v>
      </c>
      <c r="G308" t="s">
        <v>93</v>
      </c>
      <c r="H308" t="s">
        <v>16</v>
      </c>
      <c r="I308" t="s">
        <v>412</v>
      </c>
      <c r="J308" t="s">
        <v>413</v>
      </c>
      <c r="L308" t="s">
        <v>67</v>
      </c>
    </row>
    <row r="309" spans="6:12" x14ac:dyDescent="0.25">
      <c r="F309">
        <v>22</v>
      </c>
      <c r="G309" t="s">
        <v>95</v>
      </c>
      <c r="H309" t="s">
        <v>16</v>
      </c>
      <c r="I309" t="s">
        <v>412</v>
      </c>
      <c r="J309" t="s">
        <v>413</v>
      </c>
      <c r="L309" t="s">
        <v>67</v>
      </c>
    </row>
    <row r="310" spans="6:12" x14ac:dyDescent="0.25">
      <c r="F310">
        <v>24</v>
      </c>
      <c r="G310" t="s">
        <v>97</v>
      </c>
      <c r="H310" t="s">
        <v>16</v>
      </c>
      <c r="I310" t="s">
        <v>585</v>
      </c>
      <c r="J310" t="s">
        <v>586</v>
      </c>
      <c r="L310" t="s">
        <v>67</v>
      </c>
    </row>
    <row r="311" spans="6:12" x14ac:dyDescent="0.25">
      <c r="F311">
        <v>26</v>
      </c>
      <c r="G311" t="s">
        <v>100</v>
      </c>
      <c r="H311" t="s">
        <v>16</v>
      </c>
      <c r="I311" t="s">
        <v>587</v>
      </c>
      <c r="J311" t="s">
        <v>588</v>
      </c>
      <c r="L311" t="s">
        <v>67</v>
      </c>
    </row>
    <row r="312" spans="6:12" x14ac:dyDescent="0.25">
      <c r="F312">
        <v>27</v>
      </c>
      <c r="G312" t="s">
        <v>101</v>
      </c>
      <c r="H312" t="s">
        <v>16</v>
      </c>
      <c r="I312" t="s">
        <v>79</v>
      </c>
      <c r="J312" t="s">
        <v>383</v>
      </c>
      <c r="L312" t="s">
        <v>67</v>
      </c>
    </row>
    <row r="313" spans="6:12" x14ac:dyDescent="0.25">
      <c r="F313">
        <v>28</v>
      </c>
      <c r="G313" t="s">
        <v>103</v>
      </c>
      <c r="H313" t="s">
        <v>16</v>
      </c>
      <c r="I313" t="s">
        <v>416</v>
      </c>
      <c r="J313" t="s">
        <v>417</v>
      </c>
      <c r="L313" t="s">
        <v>67</v>
      </c>
    </row>
    <row r="314" spans="6:12" x14ac:dyDescent="0.25">
      <c r="F314">
        <v>29</v>
      </c>
      <c r="G314" t="s">
        <v>104</v>
      </c>
      <c r="H314" t="s">
        <v>16</v>
      </c>
      <c r="I314" t="s">
        <v>589</v>
      </c>
      <c r="J314" t="s">
        <v>590</v>
      </c>
      <c r="L314" t="s">
        <v>67</v>
      </c>
    </row>
    <row r="315" spans="6:12" x14ac:dyDescent="0.25">
      <c r="F315">
        <v>30</v>
      </c>
      <c r="G315" t="s">
        <v>106</v>
      </c>
      <c r="H315" t="s">
        <v>16</v>
      </c>
      <c r="I315" t="s">
        <v>585</v>
      </c>
      <c r="J315" t="s">
        <v>586</v>
      </c>
      <c r="L315" t="s">
        <v>67</v>
      </c>
    </row>
    <row r="316" spans="6:12" x14ac:dyDescent="0.25">
      <c r="F316">
        <v>31</v>
      </c>
      <c r="G316" t="s">
        <v>107</v>
      </c>
      <c r="H316" t="s">
        <v>16</v>
      </c>
      <c r="I316" t="s">
        <v>591</v>
      </c>
      <c r="J316" t="s">
        <v>586</v>
      </c>
      <c r="L316" t="s">
        <v>67</v>
      </c>
    </row>
    <row r="317" spans="6:12" x14ac:dyDescent="0.25">
      <c r="F317">
        <v>32</v>
      </c>
      <c r="G317" t="s">
        <v>108</v>
      </c>
      <c r="H317" t="s">
        <v>16</v>
      </c>
      <c r="I317" t="s">
        <v>592</v>
      </c>
      <c r="J317" t="s">
        <v>593</v>
      </c>
      <c r="L317" t="s">
        <v>67</v>
      </c>
    </row>
    <row r="318" spans="6:12" x14ac:dyDescent="0.25">
      <c r="F318">
        <v>33</v>
      </c>
      <c r="G318" t="s">
        <v>109</v>
      </c>
      <c r="H318" t="s">
        <v>16</v>
      </c>
      <c r="I318" t="s">
        <v>589</v>
      </c>
      <c r="J318" t="s">
        <v>590</v>
      </c>
      <c r="L318" t="s">
        <v>67</v>
      </c>
    </row>
    <row r="319" spans="6:12" x14ac:dyDescent="0.25">
      <c r="F319">
        <v>34</v>
      </c>
      <c r="G319" t="s">
        <v>110</v>
      </c>
      <c r="H319" t="s">
        <v>16</v>
      </c>
      <c r="I319" t="s">
        <v>79</v>
      </c>
      <c r="J319" t="s">
        <v>594</v>
      </c>
      <c r="L319" t="s">
        <v>67</v>
      </c>
    </row>
    <row r="320" spans="6:12" x14ac:dyDescent="0.25">
      <c r="F320">
        <v>35</v>
      </c>
      <c r="G320" t="s">
        <v>111</v>
      </c>
      <c r="H320" t="s">
        <v>16</v>
      </c>
      <c r="I320" t="s">
        <v>510</v>
      </c>
      <c r="J320" t="s">
        <v>511</v>
      </c>
      <c r="L320" t="s">
        <v>67</v>
      </c>
    </row>
    <row r="321" spans="2:12" x14ac:dyDescent="0.25">
      <c r="F321">
        <v>36</v>
      </c>
      <c r="G321" t="s">
        <v>112</v>
      </c>
      <c r="H321" t="s">
        <v>16</v>
      </c>
      <c r="I321" t="s">
        <v>425</v>
      </c>
      <c r="J321" t="s">
        <v>426</v>
      </c>
      <c r="L321" t="s">
        <v>67</v>
      </c>
    </row>
    <row r="322" spans="2:12" x14ac:dyDescent="0.25">
      <c r="F322">
        <v>37</v>
      </c>
      <c r="G322" t="s">
        <v>113</v>
      </c>
      <c r="H322" t="s">
        <v>16</v>
      </c>
      <c r="I322" t="s">
        <v>281</v>
      </c>
      <c r="J322" t="s">
        <v>282</v>
      </c>
      <c r="L322" t="s">
        <v>67</v>
      </c>
    </row>
    <row r="323" spans="2:12" x14ac:dyDescent="0.25">
      <c r="F323">
        <v>39</v>
      </c>
      <c r="G323" t="s">
        <v>124</v>
      </c>
      <c r="H323" t="s">
        <v>16</v>
      </c>
      <c r="I323" t="s">
        <v>595</v>
      </c>
      <c r="J323" t="s">
        <v>294</v>
      </c>
      <c r="L323" t="s">
        <v>67</v>
      </c>
    </row>
    <row r="324" spans="2:12" x14ac:dyDescent="0.25">
      <c r="F324">
        <v>41</v>
      </c>
      <c r="G324" t="s">
        <v>131</v>
      </c>
      <c r="H324" t="s">
        <v>16</v>
      </c>
      <c r="I324" t="s">
        <v>596</v>
      </c>
      <c r="J324" t="s">
        <v>276</v>
      </c>
    </row>
    <row r="325" spans="2:12" x14ac:dyDescent="0.25">
      <c r="F325">
        <v>48</v>
      </c>
      <c r="G325" t="s">
        <v>156</v>
      </c>
      <c r="H325" t="s">
        <v>16</v>
      </c>
      <c r="I325" t="s">
        <v>595</v>
      </c>
      <c r="J325" t="s">
        <v>294</v>
      </c>
    </row>
    <row r="326" spans="2:12" x14ac:dyDescent="0.25">
      <c r="F326">
        <v>49</v>
      </c>
      <c r="G326" t="s">
        <v>163</v>
      </c>
      <c r="H326" t="s">
        <v>16</v>
      </c>
      <c r="I326" t="s">
        <v>597</v>
      </c>
      <c r="J326" t="s">
        <v>598</v>
      </c>
    </row>
    <row r="327" spans="2:12" x14ac:dyDescent="0.25">
      <c r="F327">
        <v>50</v>
      </c>
      <c r="G327" t="s">
        <v>165</v>
      </c>
      <c r="H327" t="s">
        <v>16</v>
      </c>
      <c r="I327" t="s">
        <v>79</v>
      </c>
      <c r="J327" t="s">
        <v>403</v>
      </c>
      <c r="L327" t="s">
        <v>67</v>
      </c>
    </row>
    <row r="328" spans="2:12" x14ac:dyDescent="0.25">
      <c r="B328" t="s">
        <v>599</v>
      </c>
      <c r="C328" t="s">
        <v>164</v>
      </c>
      <c r="D328" t="s">
        <v>167</v>
      </c>
      <c r="E328" t="s">
        <v>168</v>
      </c>
      <c r="F328">
        <v>4</v>
      </c>
      <c r="G328" t="s">
        <v>71</v>
      </c>
      <c r="H328" t="s">
        <v>18</v>
      </c>
    </row>
    <row r="329" spans="2:12" x14ac:dyDescent="0.25">
      <c r="F329">
        <v>5</v>
      </c>
      <c r="G329" t="s">
        <v>73</v>
      </c>
      <c r="H329" t="s">
        <v>16</v>
      </c>
      <c r="I329" t="s">
        <v>504</v>
      </c>
      <c r="J329" t="s">
        <v>505</v>
      </c>
      <c r="L329" t="s">
        <v>67</v>
      </c>
    </row>
    <row r="330" spans="2:12" x14ac:dyDescent="0.25">
      <c r="F330">
        <v>6</v>
      </c>
      <c r="G330" t="s">
        <v>74</v>
      </c>
      <c r="H330" t="s">
        <v>16</v>
      </c>
      <c r="I330" t="s">
        <v>600</v>
      </c>
      <c r="J330" t="s">
        <v>601</v>
      </c>
      <c r="L330" t="s">
        <v>67</v>
      </c>
    </row>
    <row r="331" spans="2:12" x14ac:dyDescent="0.25">
      <c r="F331">
        <v>7</v>
      </c>
      <c r="G331" t="s">
        <v>75</v>
      </c>
      <c r="H331" t="s">
        <v>18</v>
      </c>
    </row>
    <row r="332" spans="2:12" x14ac:dyDescent="0.25">
      <c r="F332">
        <v>8</v>
      </c>
      <c r="G332" t="s">
        <v>76</v>
      </c>
      <c r="H332" t="s">
        <v>16</v>
      </c>
      <c r="I332" t="s">
        <v>602</v>
      </c>
      <c r="J332" t="s">
        <v>603</v>
      </c>
      <c r="L332" t="s">
        <v>67</v>
      </c>
    </row>
    <row r="333" spans="2:12" x14ac:dyDescent="0.25">
      <c r="F333">
        <v>10</v>
      </c>
      <c r="G333" t="s">
        <v>80</v>
      </c>
      <c r="H333" t="s">
        <v>16</v>
      </c>
      <c r="I333" t="s">
        <v>79</v>
      </c>
      <c r="J333" t="s">
        <v>604</v>
      </c>
      <c r="L333" t="s">
        <v>67</v>
      </c>
    </row>
    <row r="334" spans="2:12" x14ac:dyDescent="0.25">
      <c r="F334">
        <v>13</v>
      </c>
      <c r="G334" t="s">
        <v>84</v>
      </c>
      <c r="H334" t="s">
        <v>16</v>
      </c>
      <c r="I334" t="s">
        <v>423</v>
      </c>
      <c r="J334" t="s">
        <v>424</v>
      </c>
      <c r="L334" t="s">
        <v>67</v>
      </c>
    </row>
    <row r="335" spans="2:12" x14ac:dyDescent="0.25">
      <c r="F335">
        <v>21</v>
      </c>
      <c r="G335" t="s">
        <v>93</v>
      </c>
      <c r="H335" t="s">
        <v>16</v>
      </c>
      <c r="I335" t="s">
        <v>605</v>
      </c>
      <c r="J335" t="s">
        <v>606</v>
      </c>
      <c r="L335" t="s">
        <v>67</v>
      </c>
    </row>
    <row r="336" spans="2:12" x14ac:dyDescent="0.25">
      <c r="F336">
        <v>22</v>
      </c>
      <c r="G336" t="s">
        <v>95</v>
      </c>
      <c r="H336" t="s">
        <v>16</v>
      </c>
      <c r="I336" t="s">
        <v>605</v>
      </c>
      <c r="J336" t="s">
        <v>606</v>
      </c>
      <c r="L336" t="s">
        <v>67</v>
      </c>
    </row>
    <row r="337" spans="6:12" x14ac:dyDescent="0.25">
      <c r="F337">
        <v>24</v>
      </c>
      <c r="G337" t="s">
        <v>97</v>
      </c>
      <c r="H337" t="s">
        <v>16</v>
      </c>
      <c r="I337" t="s">
        <v>607</v>
      </c>
      <c r="J337" t="s">
        <v>601</v>
      </c>
      <c r="L337" t="s">
        <v>67</v>
      </c>
    </row>
    <row r="338" spans="6:12" x14ac:dyDescent="0.25">
      <c r="F338">
        <v>26</v>
      </c>
      <c r="G338" t="s">
        <v>100</v>
      </c>
      <c r="H338" t="s">
        <v>16</v>
      </c>
      <c r="I338" t="s">
        <v>608</v>
      </c>
      <c r="J338" t="s">
        <v>609</v>
      </c>
      <c r="L338" t="s">
        <v>67</v>
      </c>
    </row>
    <row r="339" spans="6:12" x14ac:dyDescent="0.25">
      <c r="F339">
        <v>27</v>
      </c>
      <c r="G339" t="s">
        <v>101</v>
      </c>
      <c r="H339" t="s">
        <v>16</v>
      </c>
      <c r="I339" t="s">
        <v>79</v>
      </c>
      <c r="J339" t="s">
        <v>610</v>
      </c>
      <c r="L339" t="s">
        <v>67</v>
      </c>
    </row>
    <row r="340" spans="6:12" x14ac:dyDescent="0.25">
      <c r="F340">
        <v>28</v>
      </c>
      <c r="G340" t="s">
        <v>103</v>
      </c>
      <c r="H340" t="s">
        <v>16</v>
      </c>
      <c r="I340" t="s">
        <v>423</v>
      </c>
      <c r="J340" t="s">
        <v>424</v>
      </c>
      <c r="L340" t="s">
        <v>67</v>
      </c>
    </row>
    <row r="341" spans="6:12" x14ac:dyDescent="0.25">
      <c r="F341">
        <v>29</v>
      </c>
      <c r="G341" t="s">
        <v>104</v>
      </c>
      <c r="H341" t="s">
        <v>16</v>
      </c>
      <c r="I341" t="s">
        <v>611</v>
      </c>
      <c r="J341" t="s">
        <v>522</v>
      </c>
      <c r="L341" t="s">
        <v>67</v>
      </c>
    </row>
    <row r="342" spans="6:12" x14ac:dyDescent="0.25">
      <c r="F342">
        <v>30</v>
      </c>
      <c r="G342" t="s">
        <v>106</v>
      </c>
      <c r="H342" t="s">
        <v>16</v>
      </c>
      <c r="I342" t="s">
        <v>612</v>
      </c>
      <c r="J342" t="s">
        <v>613</v>
      </c>
      <c r="L342" t="s">
        <v>67</v>
      </c>
    </row>
    <row r="343" spans="6:12" x14ac:dyDescent="0.25">
      <c r="F343">
        <v>31</v>
      </c>
      <c r="G343" t="s">
        <v>107</v>
      </c>
      <c r="H343" t="s">
        <v>16</v>
      </c>
      <c r="I343" t="s">
        <v>614</v>
      </c>
      <c r="J343" t="s">
        <v>601</v>
      </c>
      <c r="L343" t="s">
        <v>67</v>
      </c>
    </row>
    <row r="344" spans="6:12" x14ac:dyDescent="0.25">
      <c r="F344">
        <v>32</v>
      </c>
      <c r="G344" t="s">
        <v>108</v>
      </c>
      <c r="H344" t="s">
        <v>16</v>
      </c>
      <c r="I344" t="s">
        <v>615</v>
      </c>
      <c r="J344" t="s">
        <v>616</v>
      </c>
      <c r="L344" t="s">
        <v>67</v>
      </c>
    </row>
    <row r="345" spans="6:12" x14ac:dyDescent="0.25">
      <c r="F345">
        <v>33</v>
      </c>
      <c r="G345" t="s">
        <v>109</v>
      </c>
      <c r="H345" t="s">
        <v>16</v>
      </c>
      <c r="I345" t="s">
        <v>353</v>
      </c>
      <c r="J345" t="s">
        <v>354</v>
      </c>
      <c r="L345" t="s">
        <v>67</v>
      </c>
    </row>
    <row r="346" spans="6:12" x14ac:dyDescent="0.25">
      <c r="F346">
        <v>34</v>
      </c>
      <c r="G346" t="s">
        <v>110</v>
      </c>
      <c r="H346" t="s">
        <v>16</v>
      </c>
      <c r="I346" t="s">
        <v>79</v>
      </c>
      <c r="J346" t="s">
        <v>601</v>
      </c>
      <c r="L346" t="s">
        <v>67</v>
      </c>
    </row>
    <row r="347" spans="6:12" x14ac:dyDescent="0.25">
      <c r="F347">
        <v>35</v>
      </c>
      <c r="G347" t="s">
        <v>111</v>
      </c>
      <c r="H347" t="s">
        <v>16</v>
      </c>
      <c r="I347" t="s">
        <v>602</v>
      </c>
      <c r="J347" t="s">
        <v>617</v>
      </c>
      <c r="L347" t="s">
        <v>67</v>
      </c>
    </row>
    <row r="348" spans="6:12" x14ac:dyDescent="0.25">
      <c r="F348">
        <v>36</v>
      </c>
      <c r="G348" t="s">
        <v>112</v>
      </c>
      <c r="H348" t="s">
        <v>16</v>
      </c>
      <c r="I348" t="s">
        <v>618</v>
      </c>
      <c r="J348" t="s">
        <v>297</v>
      </c>
      <c r="L348" t="s">
        <v>67</v>
      </c>
    </row>
    <row r="349" spans="6:12" x14ac:dyDescent="0.25">
      <c r="F349">
        <v>37</v>
      </c>
      <c r="G349" t="s">
        <v>113</v>
      </c>
      <c r="H349" t="s">
        <v>16</v>
      </c>
      <c r="I349" t="s">
        <v>602</v>
      </c>
      <c r="J349" t="s">
        <v>617</v>
      </c>
      <c r="L349" t="s">
        <v>67</v>
      </c>
    </row>
    <row r="350" spans="6:12" x14ac:dyDescent="0.25">
      <c r="F350">
        <v>39</v>
      </c>
      <c r="G350" t="s">
        <v>124</v>
      </c>
      <c r="H350" t="s">
        <v>16</v>
      </c>
      <c r="I350" t="s">
        <v>619</v>
      </c>
      <c r="J350" t="s">
        <v>620</v>
      </c>
    </row>
    <row r="351" spans="6:12" x14ac:dyDescent="0.25">
      <c r="F351">
        <v>41</v>
      </c>
      <c r="G351" t="s">
        <v>131</v>
      </c>
      <c r="H351" t="s">
        <v>16</v>
      </c>
      <c r="I351" t="s">
        <v>621</v>
      </c>
      <c r="J351" t="s">
        <v>622</v>
      </c>
      <c r="L351" t="s">
        <v>67</v>
      </c>
    </row>
    <row r="352" spans="6:12" x14ac:dyDescent="0.25">
      <c r="F352">
        <v>48</v>
      </c>
      <c r="G352" t="s">
        <v>156</v>
      </c>
      <c r="H352" t="s">
        <v>16</v>
      </c>
      <c r="I352" t="s">
        <v>619</v>
      </c>
      <c r="J352" t="s">
        <v>620</v>
      </c>
      <c r="L352" t="s">
        <v>67</v>
      </c>
    </row>
    <row r="353" spans="2:12" x14ac:dyDescent="0.25">
      <c r="F353">
        <v>49</v>
      </c>
      <c r="G353" t="s">
        <v>163</v>
      </c>
      <c r="H353" t="s">
        <v>16</v>
      </c>
      <c r="I353" t="s">
        <v>623</v>
      </c>
      <c r="J353" t="s">
        <v>624</v>
      </c>
    </row>
    <row r="354" spans="2:12" x14ac:dyDescent="0.25">
      <c r="F354">
        <v>50</v>
      </c>
      <c r="G354" t="s">
        <v>165</v>
      </c>
      <c r="H354" t="s">
        <v>18</v>
      </c>
    </row>
    <row r="355" spans="2:12" x14ac:dyDescent="0.25">
      <c r="B355" t="s">
        <v>625</v>
      </c>
      <c r="C355" t="s">
        <v>164</v>
      </c>
      <c r="D355" t="s">
        <v>170</v>
      </c>
      <c r="E355" t="s">
        <v>171</v>
      </c>
      <c r="F355">
        <v>4</v>
      </c>
      <c r="G355" t="s">
        <v>71</v>
      </c>
      <c r="H355" t="s">
        <v>18</v>
      </c>
    </row>
    <row r="356" spans="2:12" x14ac:dyDescent="0.25">
      <c r="F356">
        <v>5</v>
      </c>
      <c r="G356" t="s">
        <v>73</v>
      </c>
      <c r="H356" t="s">
        <v>16</v>
      </c>
      <c r="I356" t="s">
        <v>626</v>
      </c>
      <c r="J356" t="s">
        <v>627</v>
      </c>
      <c r="L356" t="s">
        <v>67</v>
      </c>
    </row>
    <row r="357" spans="2:12" x14ac:dyDescent="0.25">
      <c r="F357">
        <v>6</v>
      </c>
      <c r="G357" t="s">
        <v>74</v>
      </c>
      <c r="H357" t="s">
        <v>16</v>
      </c>
      <c r="I357" t="s">
        <v>628</v>
      </c>
      <c r="J357" t="s">
        <v>313</v>
      </c>
      <c r="L357" t="s">
        <v>67</v>
      </c>
    </row>
    <row r="358" spans="2:12" x14ac:dyDescent="0.25">
      <c r="F358">
        <v>7</v>
      </c>
      <c r="G358" t="s">
        <v>75</v>
      </c>
      <c r="H358" t="s">
        <v>16</v>
      </c>
      <c r="I358" t="s">
        <v>629</v>
      </c>
      <c r="J358" t="s">
        <v>313</v>
      </c>
      <c r="L358" t="s">
        <v>67</v>
      </c>
    </row>
    <row r="359" spans="2:12" x14ac:dyDescent="0.25">
      <c r="F359">
        <v>8</v>
      </c>
      <c r="G359" t="s">
        <v>76</v>
      </c>
      <c r="H359" t="s">
        <v>16</v>
      </c>
      <c r="I359" t="s">
        <v>630</v>
      </c>
      <c r="J359" t="s">
        <v>617</v>
      </c>
      <c r="L359" t="s">
        <v>67</v>
      </c>
    </row>
    <row r="360" spans="2:12" x14ac:dyDescent="0.25">
      <c r="F360">
        <v>10</v>
      </c>
      <c r="G360" t="s">
        <v>80</v>
      </c>
      <c r="H360" t="s">
        <v>16</v>
      </c>
      <c r="I360" t="s">
        <v>79</v>
      </c>
      <c r="J360" t="s">
        <v>631</v>
      </c>
      <c r="L360" t="s">
        <v>67</v>
      </c>
    </row>
    <row r="361" spans="2:12" x14ac:dyDescent="0.25">
      <c r="F361">
        <v>13</v>
      </c>
      <c r="G361" t="s">
        <v>84</v>
      </c>
      <c r="H361" t="s">
        <v>16</v>
      </c>
      <c r="I361" t="s">
        <v>392</v>
      </c>
      <c r="J361" t="s">
        <v>393</v>
      </c>
      <c r="L361" t="s">
        <v>67</v>
      </c>
    </row>
    <row r="362" spans="2:12" x14ac:dyDescent="0.25">
      <c r="F362">
        <v>21</v>
      </c>
      <c r="G362" t="s">
        <v>93</v>
      </c>
      <c r="H362" t="s">
        <v>16</v>
      </c>
      <c r="I362" t="s">
        <v>632</v>
      </c>
      <c r="J362" t="s">
        <v>633</v>
      </c>
      <c r="L362" t="s">
        <v>67</v>
      </c>
    </row>
    <row r="363" spans="2:12" x14ac:dyDescent="0.25">
      <c r="F363">
        <v>22</v>
      </c>
      <c r="G363" t="s">
        <v>95</v>
      </c>
      <c r="H363" t="s">
        <v>16</v>
      </c>
      <c r="I363" t="s">
        <v>632</v>
      </c>
      <c r="J363" t="s">
        <v>633</v>
      </c>
      <c r="L363" t="s">
        <v>67</v>
      </c>
    </row>
    <row r="364" spans="2:12" x14ac:dyDescent="0.25">
      <c r="F364">
        <v>24</v>
      </c>
      <c r="G364" t="s">
        <v>97</v>
      </c>
      <c r="H364" t="s">
        <v>16</v>
      </c>
      <c r="I364" t="s">
        <v>382</v>
      </c>
      <c r="J364" t="s">
        <v>360</v>
      </c>
      <c r="L364" t="s">
        <v>67</v>
      </c>
    </row>
    <row r="365" spans="2:12" x14ac:dyDescent="0.25">
      <c r="F365">
        <v>26</v>
      </c>
      <c r="G365" t="s">
        <v>100</v>
      </c>
      <c r="H365" t="s">
        <v>18</v>
      </c>
    </row>
    <row r="366" spans="2:12" x14ac:dyDescent="0.25">
      <c r="F366">
        <v>27</v>
      </c>
      <c r="G366" t="s">
        <v>101</v>
      </c>
      <c r="H366" t="s">
        <v>16</v>
      </c>
      <c r="I366" t="s">
        <v>79</v>
      </c>
      <c r="J366" t="s">
        <v>383</v>
      </c>
      <c r="L366" t="s">
        <v>67</v>
      </c>
    </row>
    <row r="367" spans="2:12" x14ac:dyDescent="0.25">
      <c r="F367">
        <v>28</v>
      </c>
      <c r="G367" t="s">
        <v>103</v>
      </c>
      <c r="H367" t="s">
        <v>16</v>
      </c>
      <c r="I367" t="s">
        <v>634</v>
      </c>
      <c r="J367" t="s">
        <v>635</v>
      </c>
      <c r="L367" t="s">
        <v>67</v>
      </c>
    </row>
    <row r="368" spans="2:12" x14ac:dyDescent="0.25">
      <c r="F368">
        <v>29</v>
      </c>
      <c r="G368" t="s">
        <v>104</v>
      </c>
      <c r="H368" t="s">
        <v>16</v>
      </c>
      <c r="I368" t="s">
        <v>636</v>
      </c>
      <c r="J368" t="s">
        <v>637</v>
      </c>
      <c r="L368" t="s">
        <v>67</v>
      </c>
    </row>
    <row r="369" spans="2:12" x14ac:dyDescent="0.25">
      <c r="F369">
        <v>30</v>
      </c>
      <c r="G369" t="s">
        <v>106</v>
      </c>
      <c r="H369" t="s">
        <v>16</v>
      </c>
      <c r="I369" t="s">
        <v>382</v>
      </c>
      <c r="J369" t="s">
        <v>360</v>
      </c>
      <c r="L369" t="s">
        <v>67</v>
      </c>
    </row>
    <row r="370" spans="2:12" x14ac:dyDescent="0.25">
      <c r="F370">
        <v>31</v>
      </c>
      <c r="G370" t="s">
        <v>107</v>
      </c>
      <c r="H370" t="s">
        <v>16</v>
      </c>
      <c r="I370" t="s">
        <v>386</v>
      </c>
      <c r="J370" t="s">
        <v>360</v>
      </c>
      <c r="L370" t="s">
        <v>67</v>
      </c>
    </row>
    <row r="371" spans="2:12" x14ac:dyDescent="0.25">
      <c r="F371">
        <v>32</v>
      </c>
      <c r="G371" t="s">
        <v>108</v>
      </c>
      <c r="H371" t="s">
        <v>16</v>
      </c>
      <c r="I371" t="s">
        <v>638</v>
      </c>
      <c r="J371" t="s">
        <v>452</v>
      </c>
      <c r="L371" t="s">
        <v>67</v>
      </c>
    </row>
    <row r="372" spans="2:12" x14ac:dyDescent="0.25">
      <c r="F372">
        <v>33</v>
      </c>
      <c r="G372" t="s">
        <v>109</v>
      </c>
      <c r="H372" t="s">
        <v>16</v>
      </c>
      <c r="I372" t="s">
        <v>636</v>
      </c>
      <c r="J372" t="s">
        <v>637</v>
      </c>
      <c r="L372" t="s">
        <v>67</v>
      </c>
    </row>
    <row r="373" spans="2:12" x14ac:dyDescent="0.25">
      <c r="F373">
        <v>34</v>
      </c>
      <c r="G373" t="s">
        <v>110</v>
      </c>
      <c r="H373" t="s">
        <v>16</v>
      </c>
      <c r="I373" t="s">
        <v>79</v>
      </c>
      <c r="J373" t="s">
        <v>360</v>
      </c>
      <c r="L373" t="s">
        <v>67</v>
      </c>
    </row>
    <row r="374" spans="2:12" x14ac:dyDescent="0.25">
      <c r="F374">
        <v>35</v>
      </c>
      <c r="G374" t="s">
        <v>111</v>
      </c>
      <c r="H374" t="s">
        <v>16</v>
      </c>
      <c r="I374" t="s">
        <v>453</v>
      </c>
      <c r="J374" t="s">
        <v>454</v>
      </c>
      <c r="L374" t="s">
        <v>67</v>
      </c>
    </row>
    <row r="375" spans="2:12" x14ac:dyDescent="0.25">
      <c r="F375">
        <v>36</v>
      </c>
      <c r="G375" t="s">
        <v>112</v>
      </c>
      <c r="H375" t="s">
        <v>16</v>
      </c>
      <c r="I375" t="s">
        <v>639</v>
      </c>
      <c r="J375" t="s">
        <v>640</v>
      </c>
      <c r="L375" t="s">
        <v>67</v>
      </c>
    </row>
    <row r="376" spans="2:12" x14ac:dyDescent="0.25">
      <c r="F376">
        <v>37</v>
      </c>
      <c r="G376" t="s">
        <v>113</v>
      </c>
      <c r="H376" t="s">
        <v>16</v>
      </c>
      <c r="I376" t="s">
        <v>314</v>
      </c>
      <c r="J376" t="s">
        <v>315</v>
      </c>
      <c r="L376" t="s">
        <v>67</v>
      </c>
    </row>
    <row r="377" spans="2:12" x14ac:dyDescent="0.25">
      <c r="F377">
        <v>39</v>
      </c>
      <c r="G377" t="s">
        <v>124</v>
      </c>
      <c r="H377" t="s">
        <v>16</v>
      </c>
      <c r="I377" t="s">
        <v>641</v>
      </c>
      <c r="J377" t="s">
        <v>524</v>
      </c>
      <c r="L377" t="s">
        <v>67</v>
      </c>
    </row>
    <row r="378" spans="2:12" x14ac:dyDescent="0.25">
      <c r="F378">
        <v>41</v>
      </c>
      <c r="G378" t="s">
        <v>131</v>
      </c>
      <c r="H378" t="s">
        <v>16</v>
      </c>
      <c r="I378" t="s">
        <v>642</v>
      </c>
      <c r="J378" t="s">
        <v>643</v>
      </c>
    </row>
    <row r="379" spans="2:12" x14ac:dyDescent="0.25">
      <c r="F379">
        <v>48</v>
      </c>
      <c r="G379" t="s">
        <v>156</v>
      </c>
      <c r="H379" t="s">
        <v>16</v>
      </c>
      <c r="I379" t="s">
        <v>641</v>
      </c>
      <c r="J379" t="s">
        <v>524</v>
      </c>
      <c r="L379" t="s">
        <v>67</v>
      </c>
    </row>
    <row r="380" spans="2:12" x14ac:dyDescent="0.25">
      <c r="F380">
        <v>49</v>
      </c>
      <c r="G380" t="s">
        <v>163</v>
      </c>
      <c r="H380" t="s">
        <v>16</v>
      </c>
      <c r="I380" t="s">
        <v>644</v>
      </c>
      <c r="J380" t="s">
        <v>645</v>
      </c>
    </row>
    <row r="381" spans="2:12" x14ac:dyDescent="0.25">
      <c r="F381">
        <v>50</v>
      </c>
      <c r="G381" t="s">
        <v>165</v>
      </c>
      <c r="H381" t="s">
        <v>16</v>
      </c>
      <c r="I381" t="s">
        <v>79</v>
      </c>
      <c r="J381" t="s">
        <v>646</v>
      </c>
      <c r="L381" t="s">
        <v>67</v>
      </c>
    </row>
    <row r="382" spans="2:12" x14ac:dyDescent="0.25">
      <c r="B382" t="s">
        <v>647</v>
      </c>
      <c r="C382" t="s">
        <v>164</v>
      </c>
      <c r="D382" t="s">
        <v>173</v>
      </c>
      <c r="E382" t="s">
        <v>174</v>
      </c>
      <c r="F382">
        <v>4</v>
      </c>
      <c r="G382" t="s">
        <v>71</v>
      </c>
      <c r="H382" t="s">
        <v>18</v>
      </c>
    </row>
    <row r="383" spans="2:12" x14ac:dyDescent="0.25">
      <c r="F383">
        <v>5</v>
      </c>
      <c r="G383" t="s">
        <v>73</v>
      </c>
      <c r="H383" t="s">
        <v>16</v>
      </c>
      <c r="I383" t="s">
        <v>648</v>
      </c>
      <c r="J383" t="s">
        <v>649</v>
      </c>
      <c r="L383" t="s">
        <v>67</v>
      </c>
    </row>
    <row r="384" spans="2:12" x14ac:dyDescent="0.25">
      <c r="F384">
        <v>6</v>
      </c>
      <c r="G384" t="s">
        <v>74</v>
      </c>
      <c r="H384" t="s">
        <v>16</v>
      </c>
      <c r="I384" t="s">
        <v>404</v>
      </c>
      <c r="J384" t="s">
        <v>646</v>
      </c>
      <c r="L384" t="s">
        <v>67</v>
      </c>
    </row>
    <row r="385" spans="6:12" x14ac:dyDescent="0.25">
      <c r="F385">
        <v>7</v>
      </c>
      <c r="G385" t="s">
        <v>75</v>
      </c>
      <c r="H385" t="s">
        <v>25</v>
      </c>
      <c r="I385" t="s">
        <v>650</v>
      </c>
      <c r="J385" t="s">
        <v>646</v>
      </c>
      <c r="L385" t="s">
        <v>67</v>
      </c>
    </row>
    <row r="386" spans="6:12" x14ac:dyDescent="0.25">
      <c r="F386">
        <v>8</v>
      </c>
      <c r="G386" t="s">
        <v>76</v>
      </c>
      <c r="H386" t="s">
        <v>16</v>
      </c>
      <c r="I386" t="s">
        <v>555</v>
      </c>
      <c r="J386" t="s">
        <v>651</v>
      </c>
      <c r="L386" t="s">
        <v>67</v>
      </c>
    </row>
    <row r="387" spans="6:12" x14ac:dyDescent="0.25">
      <c r="F387">
        <v>10</v>
      </c>
      <c r="G387" t="s">
        <v>80</v>
      </c>
      <c r="H387" t="s">
        <v>16</v>
      </c>
      <c r="I387" t="s">
        <v>79</v>
      </c>
      <c r="J387" t="s">
        <v>631</v>
      </c>
      <c r="L387" t="s">
        <v>67</v>
      </c>
    </row>
    <row r="388" spans="6:12" x14ac:dyDescent="0.25">
      <c r="F388">
        <v>13</v>
      </c>
      <c r="G388" t="s">
        <v>84</v>
      </c>
      <c r="H388" t="s">
        <v>16</v>
      </c>
      <c r="I388" t="s">
        <v>336</v>
      </c>
      <c r="J388" t="s">
        <v>337</v>
      </c>
      <c r="L388" t="s">
        <v>67</v>
      </c>
    </row>
    <row r="389" spans="6:12" x14ac:dyDescent="0.25">
      <c r="F389">
        <v>21</v>
      </c>
      <c r="G389" t="s">
        <v>93</v>
      </c>
      <c r="H389" t="s">
        <v>16</v>
      </c>
      <c r="I389" t="s">
        <v>336</v>
      </c>
      <c r="J389" t="s">
        <v>337</v>
      </c>
      <c r="L389" t="s">
        <v>67</v>
      </c>
    </row>
    <row r="390" spans="6:12" x14ac:dyDescent="0.25">
      <c r="F390">
        <v>22</v>
      </c>
      <c r="G390" t="s">
        <v>95</v>
      </c>
      <c r="H390" t="s">
        <v>16</v>
      </c>
      <c r="I390" t="s">
        <v>336</v>
      </c>
      <c r="J390" t="s">
        <v>337</v>
      </c>
      <c r="L390" t="s">
        <v>67</v>
      </c>
    </row>
    <row r="391" spans="6:12" x14ac:dyDescent="0.25">
      <c r="F391">
        <v>24</v>
      </c>
      <c r="G391" t="s">
        <v>97</v>
      </c>
      <c r="H391" t="s">
        <v>16</v>
      </c>
      <c r="I391" t="s">
        <v>382</v>
      </c>
      <c r="J391" t="s">
        <v>360</v>
      </c>
      <c r="L391" t="s">
        <v>67</v>
      </c>
    </row>
    <row r="392" spans="6:12" x14ac:dyDescent="0.25">
      <c r="F392">
        <v>26</v>
      </c>
      <c r="G392" t="s">
        <v>100</v>
      </c>
      <c r="H392" t="s">
        <v>18</v>
      </c>
    </row>
    <row r="393" spans="6:12" x14ac:dyDescent="0.25">
      <c r="F393">
        <v>27</v>
      </c>
      <c r="G393" t="s">
        <v>101</v>
      </c>
      <c r="H393" t="s">
        <v>16</v>
      </c>
      <c r="I393" t="s">
        <v>79</v>
      </c>
      <c r="J393" t="s">
        <v>383</v>
      </c>
      <c r="L393" t="s">
        <v>67</v>
      </c>
    </row>
    <row r="394" spans="6:12" x14ac:dyDescent="0.25">
      <c r="F394">
        <v>28</v>
      </c>
      <c r="G394" t="s">
        <v>103</v>
      </c>
      <c r="H394" t="s">
        <v>16</v>
      </c>
      <c r="I394" t="s">
        <v>652</v>
      </c>
      <c r="J394" t="s">
        <v>653</v>
      </c>
      <c r="L394" t="s">
        <v>67</v>
      </c>
    </row>
    <row r="395" spans="6:12" x14ac:dyDescent="0.25">
      <c r="F395">
        <v>29</v>
      </c>
      <c r="G395" t="s">
        <v>104</v>
      </c>
      <c r="H395" t="s">
        <v>16</v>
      </c>
      <c r="I395" t="s">
        <v>448</v>
      </c>
      <c r="J395" t="s">
        <v>449</v>
      </c>
      <c r="L395" t="s">
        <v>67</v>
      </c>
    </row>
    <row r="396" spans="6:12" x14ac:dyDescent="0.25">
      <c r="F396">
        <v>30</v>
      </c>
      <c r="G396" t="s">
        <v>106</v>
      </c>
      <c r="H396" t="s">
        <v>16</v>
      </c>
      <c r="I396" t="s">
        <v>382</v>
      </c>
      <c r="J396" t="s">
        <v>360</v>
      </c>
      <c r="L396" t="s">
        <v>67</v>
      </c>
    </row>
    <row r="397" spans="6:12" x14ac:dyDescent="0.25">
      <c r="F397">
        <v>31</v>
      </c>
      <c r="G397" t="s">
        <v>107</v>
      </c>
      <c r="H397" t="s">
        <v>16</v>
      </c>
      <c r="I397" t="s">
        <v>386</v>
      </c>
      <c r="J397" t="s">
        <v>360</v>
      </c>
      <c r="L397" t="s">
        <v>67</v>
      </c>
    </row>
    <row r="398" spans="6:12" x14ac:dyDescent="0.25">
      <c r="F398">
        <v>32</v>
      </c>
      <c r="G398" t="s">
        <v>108</v>
      </c>
      <c r="H398" t="s">
        <v>16</v>
      </c>
      <c r="I398" t="s">
        <v>654</v>
      </c>
      <c r="J398" t="s">
        <v>655</v>
      </c>
      <c r="L398" t="s">
        <v>67</v>
      </c>
    </row>
    <row r="399" spans="6:12" x14ac:dyDescent="0.25">
      <c r="F399">
        <v>33</v>
      </c>
      <c r="G399" t="s">
        <v>109</v>
      </c>
      <c r="H399" t="s">
        <v>16</v>
      </c>
      <c r="I399" t="s">
        <v>448</v>
      </c>
      <c r="J399" t="s">
        <v>449</v>
      </c>
      <c r="L399" t="s">
        <v>67</v>
      </c>
    </row>
    <row r="400" spans="6:12" x14ac:dyDescent="0.25">
      <c r="F400">
        <v>34</v>
      </c>
      <c r="G400" t="s">
        <v>110</v>
      </c>
      <c r="H400" t="s">
        <v>16</v>
      </c>
      <c r="I400" t="s">
        <v>79</v>
      </c>
      <c r="J400" t="s">
        <v>360</v>
      </c>
      <c r="L400" t="s">
        <v>67</v>
      </c>
    </row>
    <row r="401" spans="2:12" x14ac:dyDescent="0.25">
      <c r="F401">
        <v>35</v>
      </c>
      <c r="G401" t="s">
        <v>111</v>
      </c>
      <c r="H401" t="s">
        <v>16</v>
      </c>
      <c r="I401" t="s">
        <v>336</v>
      </c>
      <c r="J401" t="s">
        <v>337</v>
      </c>
      <c r="L401" t="s">
        <v>67</v>
      </c>
    </row>
    <row r="402" spans="2:12" x14ac:dyDescent="0.25">
      <c r="F402">
        <v>36</v>
      </c>
      <c r="G402" t="s">
        <v>112</v>
      </c>
      <c r="H402" t="s">
        <v>16</v>
      </c>
      <c r="I402" t="s">
        <v>602</v>
      </c>
      <c r="J402" t="s">
        <v>617</v>
      </c>
      <c r="L402" t="s">
        <v>67</v>
      </c>
    </row>
    <row r="403" spans="2:12" x14ac:dyDescent="0.25">
      <c r="F403">
        <v>37</v>
      </c>
      <c r="G403" t="s">
        <v>113</v>
      </c>
      <c r="H403" t="s">
        <v>16</v>
      </c>
      <c r="I403" t="s">
        <v>656</v>
      </c>
      <c r="J403" t="s">
        <v>590</v>
      </c>
      <c r="L403" t="s">
        <v>67</v>
      </c>
    </row>
    <row r="404" spans="2:12" x14ac:dyDescent="0.25">
      <c r="F404">
        <v>39</v>
      </c>
      <c r="G404" t="s">
        <v>124</v>
      </c>
      <c r="H404" t="s">
        <v>18</v>
      </c>
    </row>
    <row r="405" spans="2:12" x14ac:dyDescent="0.25">
      <c r="F405">
        <v>41</v>
      </c>
      <c r="G405" t="s">
        <v>131</v>
      </c>
      <c r="H405" t="s">
        <v>16</v>
      </c>
      <c r="I405" t="s">
        <v>657</v>
      </c>
      <c r="J405" t="s">
        <v>658</v>
      </c>
      <c r="L405" t="s">
        <v>67</v>
      </c>
    </row>
    <row r="406" spans="2:12" x14ac:dyDescent="0.25">
      <c r="F406">
        <v>48</v>
      </c>
      <c r="G406" t="s">
        <v>156</v>
      </c>
      <c r="H406" t="s">
        <v>18</v>
      </c>
    </row>
    <row r="407" spans="2:12" x14ac:dyDescent="0.25">
      <c r="F407">
        <v>49</v>
      </c>
      <c r="G407" t="s">
        <v>163</v>
      </c>
      <c r="H407" t="s">
        <v>16</v>
      </c>
      <c r="I407" t="s">
        <v>659</v>
      </c>
      <c r="J407" t="s">
        <v>660</v>
      </c>
    </row>
    <row r="408" spans="2:12" x14ac:dyDescent="0.25">
      <c r="F408">
        <v>50</v>
      </c>
      <c r="G408" t="s">
        <v>165</v>
      </c>
      <c r="H408" t="s">
        <v>16</v>
      </c>
      <c r="I408" t="s">
        <v>79</v>
      </c>
      <c r="J408" t="s">
        <v>468</v>
      </c>
      <c r="L408" t="s">
        <v>67</v>
      </c>
    </row>
    <row r="409" spans="2:12" x14ac:dyDescent="0.25">
      <c r="B409" t="s">
        <v>661</v>
      </c>
      <c r="C409" t="s">
        <v>164</v>
      </c>
      <c r="D409" t="s">
        <v>176</v>
      </c>
      <c r="E409" t="s">
        <v>177</v>
      </c>
      <c r="F409">
        <v>4</v>
      </c>
      <c r="G409" t="s">
        <v>71</v>
      </c>
      <c r="H409" t="s">
        <v>16</v>
      </c>
      <c r="I409" t="s">
        <v>662</v>
      </c>
      <c r="J409" t="s">
        <v>663</v>
      </c>
    </row>
    <row r="410" spans="2:12" x14ac:dyDescent="0.25">
      <c r="F410">
        <v>5</v>
      </c>
      <c r="G410" t="s">
        <v>73</v>
      </c>
      <c r="H410" t="s">
        <v>16</v>
      </c>
      <c r="I410" t="s">
        <v>664</v>
      </c>
      <c r="J410" t="s">
        <v>665</v>
      </c>
      <c r="L410" t="s">
        <v>67</v>
      </c>
    </row>
    <row r="411" spans="2:12" x14ac:dyDescent="0.25">
      <c r="F411">
        <v>6</v>
      </c>
      <c r="G411" t="s">
        <v>74</v>
      </c>
      <c r="H411" t="s">
        <v>16</v>
      </c>
      <c r="I411" t="s">
        <v>326</v>
      </c>
      <c r="J411" t="s">
        <v>666</v>
      </c>
      <c r="L411" t="s">
        <v>67</v>
      </c>
    </row>
    <row r="412" spans="2:12" x14ac:dyDescent="0.25">
      <c r="F412">
        <v>7</v>
      </c>
      <c r="G412" t="s">
        <v>75</v>
      </c>
      <c r="H412" t="s">
        <v>39</v>
      </c>
      <c r="I412" t="s">
        <v>326</v>
      </c>
      <c r="J412" t="s">
        <v>582</v>
      </c>
      <c r="L412" t="s">
        <v>67</v>
      </c>
    </row>
    <row r="413" spans="2:12" x14ac:dyDescent="0.25">
      <c r="F413">
        <v>8</v>
      </c>
      <c r="G413" t="s">
        <v>76</v>
      </c>
      <c r="H413" t="s">
        <v>16</v>
      </c>
      <c r="I413" t="s">
        <v>530</v>
      </c>
      <c r="J413" t="s">
        <v>531</v>
      </c>
      <c r="L413" t="s">
        <v>67</v>
      </c>
    </row>
    <row r="414" spans="2:12" x14ac:dyDescent="0.25">
      <c r="F414">
        <v>10</v>
      </c>
      <c r="G414" t="s">
        <v>80</v>
      </c>
      <c r="H414" t="s">
        <v>16</v>
      </c>
      <c r="I414" t="s">
        <v>79</v>
      </c>
      <c r="J414" t="s">
        <v>442</v>
      </c>
      <c r="L414" t="s">
        <v>67</v>
      </c>
    </row>
    <row r="415" spans="2:12" x14ac:dyDescent="0.25">
      <c r="F415">
        <v>13</v>
      </c>
      <c r="G415" t="s">
        <v>84</v>
      </c>
      <c r="H415" t="s">
        <v>16</v>
      </c>
      <c r="I415" t="s">
        <v>510</v>
      </c>
      <c r="J415" t="s">
        <v>511</v>
      </c>
      <c r="L415" t="s">
        <v>67</v>
      </c>
    </row>
    <row r="416" spans="2:12" x14ac:dyDescent="0.25">
      <c r="F416">
        <v>21</v>
      </c>
      <c r="G416" t="s">
        <v>93</v>
      </c>
      <c r="H416" t="s">
        <v>16</v>
      </c>
      <c r="I416" t="s">
        <v>379</v>
      </c>
      <c r="J416" t="s">
        <v>380</v>
      </c>
      <c r="L416" t="s">
        <v>67</v>
      </c>
    </row>
    <row r="417" spans="6:12" x14ac:dyDescent="0.25">
      <c r="F417">
        <v>22</v>
      </c>
      <c r="G417" t="s">
        <v>95</v>
      </c>
      <c r="H417" t="s">
        <v>16</v>
      </c>
      <c r="I417" t="s">
        <v>472</v>
      </c>
      <c r="J417" t="s">
        <v>343</v>
      </c>
      <c r="L417" t="s">
        <v>67</v>
      </c>
    </row>
    <row r="418" spans="6:12" x14ac:dyDescent="0.25">
      <c r="F418">
        <v>24</v>
      </c>
      <c r="G418" t="s">
        <v>97</v>
      </c>
      <c r="H418" t="s">
        <v>16</v>
      </c>
      <c r="I418" t="s">
        <v>667</v>
      </c>
      <c r="J418" t="s">
        <v>373</v>
      </c>
      <c r="L418" t="s">
        <v>67</v>
      </c>
    </row>
    <row r="419" spans="6:12" x14ac:dyDescent="0.25">
      <c r="F419">
        <v>26</v>
      </c>
      <c r="G419" t="s">
        <v>100</v>
      </c>
      <c r="H419" t="s">
        <v>16</v>
      </c>
      <c r="I419" t="s">
        <v>668</v>
      </c>
      <c r="J419" t="s">
        <v>669</v>
      </c>
      <c r="L419" t="s">
        <v>67</v>
      </c>
    </row>
    <row r="420" spans="6:12" x14ac:dyDescent="0.25">
      <c r="F420">
        <v>27</v>
      </c>
      <c r="G420" t="s">
        <v>101</v>
      </c>
      <c r="H420" t="s">
        <v>16</v>
      </c>
      <c r="I420" t="s">
        <v>79</v>
      </c>
      <c r="J420" t="s">
        <v>383</v>
      </c>
      <c r="L420" t="s">
        <v>67</v>
      </c>
    </row>
    <row r="421" spans="6:12" x14ac:dyDescent="0.25">
      <c r="F421">
        <v>28</v>
      </c>
      <c r="G421" t="s">
        <v>103</v>
      </c>
      <c r="H421" t="s">
        <v>16</v>
      </c>
      <c r="I421" t="s">
        <v>670</v>
      </c>
      <c r="J421" t="s">
        <v>671</v>
      </c>
      <c r="L421" t="s">
        <v>67</v>
      </c>
    </row>
    <row r="422" spans="6:12" x14ac:dyDescent="0.25">
      <c r="F422">
        <v>29</v>
      </c>
      <c r="G422" t="s">
        <v>104</v>
      </c>
      <c r="H422" t="s">
        <v>16</v>
      </c>
      <c r="I422" t="s">
        <v>474</v>
      </c>
      <c r="J422" t="s">
        <v>405</v>
      </c>
      <c r="L422" t="s">
        <v>67</v>
      </c>
    </row>
    <row r="423" spans="6:12" x14ac:dyDescent="0.25">
      <c r="F423">
        <v>30</v>
      </c>
      <c r="G423" t="s">
        <v>106</v>
      </c>
      <c r="H423" t="s">
        <v>16</v>
      </c>
      <c r="I423" t="s">
        <v>475</v>
      </c>
      <c r="J423" t="s">
        <v>476</v>
      </c>
      <c r="L423" t="s">
        <v>67</v>
      </c>
    </row>
    <row r="424" spans="6:12" x14ac:dyDescent="0.25">
      <c r="F424">
        <v>31</v>
      </c>
      <c r="G424" t="s">
        <v>107</v>
      </c>
      <c r="H424" t="s">
        <v>16</v>
      </c>
      <c r="I424" t="s">
        <v>372</v>
      </c>
      <c r="J424" t="s">
        <v>476</v>
      </c>
      <c r="L424" t="s">
        <v>67</v>
      </c>
    </row>
    <row r="425" spans="6:12" x14ac:dyDescent="0.25">
      <c r="F425">
        <v>32</v>
      </c>
      <c r="G425" t="s">
        <v>108</v>
      </c>
      <c r="H425" t="s">
        <v>16</v>
      </c>
      <c r="I425" t="s">
        <v>672</v>
      </c>
      <c r="J425" t="s">
        <v>673</v>
      </c>
      <c r="L425" t="s">
        <v>67</v>
      </c>
    </row>
    <row r="426" spans="6:12" x14ac:dyDescent="0.25">
      <c r="F426">
        <v>33</v>
      </c>
      <c r="G426" t="s">
        <v>109</v>
      </c>
      <c r="H426" t="s">
        <v>16</v>
      </c>
      <c r="I426" t="s">
        <v>474</v>
      </c>
      <c r="J426" t="s">
        <v>405</v>
      </c>
      <c r="L426" t="s">
        <v>67</v>
      </c>
    </row>
    <row r="427" spans="6:12" x14ac:dyDescent="0.25">
      <c r="F427">
        <v>34</v>
      </c>
      <c r="G427" t="s">
        <v>110</v>
      </c>
      <c r="H427" t="s">
        <v>16</v>
      </c>
      <c r="I427" t="s">
        <v>79</v>
      </c>
      <c r="J427" t="s">
        <v>476</v>
      </c>
      <c r="L427" t="s">
        <v>67</v>
      </c>
    </row>
    <row r="428" spans="6:12" x14ac:dyDescent="0.25">
      <c r="F428">
        <v>35</v>
      </c>
      <c r="G428" t="s">
        <v>111</v>
      </c>
      <c r="H428" t="s">
        <v>16</v>
      </c>
      <c r="I428" t="s">
        <v>510</v>
      </c>
      <c r="J428" t="s">
        <v>511</v>
      </c>
      <c r="L428" t="s">
        <v>67</v>
      </c>
    </row>
    <row r="429" spans="6:12" x14ac:dyDescent="0.25">
      <c r="F429">
        <v>36</v>
      </c>
      <c r="G429" t="s">
        <v>112</v>
      </c>
      <c r="H429" t="s">
        <v>16</v>
      </c>
      <c r="I429" t="s">
        <v>589</v>
      </c>
      <c r="J429" t="s">
        <v>590</v>
      </c>
      <c r="L429" t="s">
        <v>67</v>
      </c>
    </row>
    <row r="430" spans="6:12" x14ac:dyDescent="0.25">
      <c r="F430">
        <v>37</v>
      </c>
      <c r="G430" t="s">
        <v>113</v>
      </c>
      <c r="H430" t="s">
        <v>16</v>
      </c>
      <c r="I430" t="s">
        <v>510</v>
      </c>
      <c r="J430" t="s">
        <v>511</v>
      </c>
      <c r="L430" t="s">
        <v>67</v>
      </c>
    </row>
    <row r="431" spans="6:12" x14ac:dyDescent="0.25">
      <c r="F431">
        <v>39</v>
      </c>
      <c r="G431" t="s">
        <v>124</v>
      </c>
      <c r="H431" t="s">
        <v>18</v>
      </c>
    </row>
    <row r="432" spans="6:12" x14ac:dyDescent="0.25">
      <c r="F432">
        <v>41</v>
      </c>
      <c r="G432" t="s">
        <v>131</v>
      </c>
      <c r="H432" t="s">
        <v>16</v>
      </c>
      <c r="I432" t="s">
        <v>674</v>
      </c>
      <c r="J432" t="s">
        <v>675</v>
      </c>
      <c r="L432" t="s">
        <v>67</v>
      </c>
    </row>
    <row r="433" spans="2:12" x14ac:dyDescent="0.25">
      <c r="F433">
        <v>48</v>
      </c>
      <c r="G433" t="s">
        <v>156</v>
      </c>
      <c r="H433" t="s">
        <v>18</v>
      </c>
    </row>
    <row r="434" spans="2:12" x14ac:dyDescent="0.25">
      <c r="F434">
        <v>49</v>
      </c>
      <c r="G434" t="s">
        <v>163</v>
      </c>
      <c r="H434" t="s">
        <v>16</v>
      </c>
      <c r="I434" t="s">
        <v>676</v>
      </c>
      <c r="J434" t="s">
        <v>568</v>
      </c>
    </row>
    <row r="435" spans="2:12" x14ac:dyDescent="0.25">
      <c r="F435">
        <v>50</v>
      </c>
      <c r="G435" t="s">
        <v>165</v>
      </c>
      <c r="H435" t="s">
        <v>16</v>
      </c>
      <c r="I435" t="s">
        <v>79</v>
      </c>
      <c r="J435" t="s">
        <v>507</v>
      </c>
      <c r="L435" t="s">
        <v>67</v>
      </c>
    </row>
    <row r="436" spans="2:12" x14ac:dyDescent="0.25">
      <c r="B436" t="s">
        <v>677</v>
      </c>
      <c r="C436" t="s">
        <v>164</v>
      </c>
      <c r="D436" t="s">
        <v>179</v>
      </c>
      <c r="E436" t="s">
        <v>180</v>
      </c>
      <c r="F436">
        <v>4</v>
      </c>
      <c r="G436" t="s">
        <v>71</v>
      </c>
      <c r="H436" t="s">
        <v>18</v>
      </c>
    </row>
    <row r="437" spans="2:12" x14ac:dyDescent="0.25">
      <c r="F437">
        <v>5</v>
      </c>
      <c r="G437" t="s">
        <v>73</v>
      </c>
      <c r="H437" t="s">
        <v>16</v>
      </c>
      <c r="I437" t="s">
        <v>678</v>
      </c>
      <c r="J437" t="s">
        <v>679</v>
      </c>
      <c r="L437" t="s">
        <v>67</v>
      </c>
    </row>
    <row r="438" spans="2:12" x14ac:dyDescent="0.25">
      <c r="F438">
        <v>6</v>
      </c>
      <c r="G438" t="s">
        <v>74</v>
      </c>
      <c r="H438" t="s">
        <v>16</v>
      </c>
      <c r="I438" t="s">
        <v>680</v>
      </c>
      <c r="J438" t="s">
        <v>681</v>
      </c>
      <c r="L438" t="s">
        <v>67</v>
      </c>
    </row>
    <row r="439" spans="2:12" x14ac:dyDescent="0.25">
      <c r="F439">
        <v>7</v>
      </c>
      <c r="G439" t="s">
        <v>75</v>
      </c>
      <c r="H439" t="s">
        <v>18</v>
      </c>
    </row>
    <row r="440" spans="2:12" x14ac:dyDescent="0.25">
      <c r="F440">
        <v>8</v>
      </c>
      <c r="G440" t="s">
        <v>76</v>
      </c>
      <c r="H440" t="s">
        <v>16</v>
      </c>
      <c r="I440" t="s">
        <v>682</v>
      </c>
      <c r="J440" t="s">
        <v>390</v>
      </c>
      <c r="L440" t="s">
        <v>67</v>
      </c>
    </row>
    <row r="441" spans="2:12" x14ac:dyDescent="0.25">
      <c r="F441">
        <v>10</v>
      </c>
      <c r="G441" t="s">
        <v>80</v>
      </c>
      <c r="H441" t="s">
        <v>16</v>
      </c>
      <c r="I441" t="s">
        <v>79</v>
      </c>
      <c r="J441" t="s">
        <v>683</v>
      </c>
      <c r="L441" t="s">
        <v>67</v>
      </c>
    </row>
    <row r="442" spans="2:12" x14ac:dyDescent="0.25">
      <c r="F442">
        <v>13</v>
      </c>
      <c r="G442" t="s">
        <v>84</v>
      </c>
      <c r="H442" t="s">
        <v>16</v>
      </c>
      <c r="I442" t="s">
        <v>392</v>
      </c>
      <c r="J442" t="s">
        <v>393</v>
      </c>
      <c r="L442" t="s">
        <v>67</v>
      </c>
    </row>
    <row r="443" spans="2:12" x14ac:dyDescent="0.25">
      <c r="F443">
        <v>21</v>
      </c>
      <c r="G443" t="s">
        <v>93</v>
      </c>
      <c r="H443" t="s">
        <v>16</v>
      </c>
      <c r="I443" t="s">
        <v>684</v>
      </c>
      <c r="J443" t="s">
        <v>685</v>
      </c>
      <c r="L443" t="s">
        <v>67</v>
      </c>
    </row>
    <row r="444" spans="2:12" x14ac:dyDescent="0.25">
      <c r="F444">
        <v>22</v>
      </c>
      <c r="G444" t="s">
        <v>95</v>
      </c>
      <c r="H444" t="s">
        <v>16</v>
      </c>
      <c r="I444" t="s">
        <v>304</v>
      </c>
      <c r="J444" t="s">
        <v>305</v>
      </c>
      <c r="L444" t="s">
        <v>67</v>
      </c>
    </row>
    <row r="445" spans="2:12" x14ac:dyDescent="0.25">
      <c r="F445">
        <v>24</v>
      </c>
      <c r="G445" t="s">
        <v>97</v>
      </c>
      <c r="H445" t="s">
        <v>16</v>
      </c>
      <c r="I445" t="s">
        <v>447</v>
      </c>
      <c r="J445" t="s">
        <v>391</v>
      </c>
      <c r="L445" t="s">
        <v>67</v>
      </c>
    </row>
    <row r="446" spans="2:12" x14ac:dyDescent="0.25">
      <c r="F446">
        <v>26</v>
      </c>
      <c r="G446" t="s">
        <v>100</v>
      </c>
      <c r="H446" t="s">
        <v>18</v>
      </c>
    </row>
    <row r="447" spans="2:12" x14ac:dyDescent="0.25">
      <c r="F447">
        <v>27</v>
      </c>
      <c r="G447" t="s">
        <v>101</v>
      </c>
      <c r="H447" t="s">
        <v>16</v>
      </c>
      <c r="I447" t="s">
        <v>79</v>
      </c>
      <c r="J447" t="s">
        <v>473</v>
      </c>
      <c r="L447" t="s">
        <v>67</v>
      </c>
    </row>
    <row r="448" spans="2:12" x14ac:dyDescent="0.25">
      <c r="F448">
        <v>28</v>
      </c>
      <c r="G448" t="s">
        <v>103</v>
      </c>
      <c r="H448" t="s">
        <v>16</v>
      </c>
      <c r="I448" t="s">
        <v>686</v>
      </c>
      <c r="J448" t="s">
        <v>687</v>
      </c>
      <c r="L448" t="s">
        <v>67</v>
      </c>
    </row>
    <row r="449" spans="2:12" x14ac:dyDescent="0.25">
      <c r="F449">
        <v>29</v>
      </c>
      <c r="G449" t="s">
        <v>104</v>
      </c>
      <c r="H449" t="s">
        <v>16</v>
      </c>
      <c r="I449" t="s">
        <v>618</v>
      </c>
      <c r="J449" t="s">
        <v>297</v>
      </c>
      <c r="L449" t="s">
        <v>67</v>
      </c>
    </row>
    <row r="450" spans="2:12" x14ac:dyDescent="0.25">
      <c r="F450">
        <v>30</v>
      </c>
      <c r="G450" t="s">
        <v>106</v>
      </c>
      <c r="H450" t="s">
        <v>16</v>
      </c>
      <c r="I450" t="s">
        <v>447</v>
      </c>
      <c r="J450" t="s">
        <v>391</v>
      </c>
      <c r="L450" t="s">
        <v>67</v>
      </c>
    </row>
    <row r="451" spans="2:12" x14ac:dyDescent="0.25">
      <c r="F451">
        <v>31</v>
      </c>
      <c r="G451" t="s">
        <v>107</v>
      </c>
      <c r="H451" t="s">
        <v>16</v>
      </c>
      <c r="I451" t="s">
        <v>450</v>
      </c>
      <c r="J451" t="s">
        <v>391</v>
      </c>
      <c r="L451" t="s">
        <v>67</v>
      </c>
    </row>
    <row r="452" spans="2:12" x14ac:dyDescent="0.25">
      <c r="F452">
        <v>32</v>
      </c>
      <c r="G452" t="s">
        <v>108</v>
      </c>
      <c r="H452" t="s">
        <v>16</v>
      </c>
      <c r="I452" t="s">
        <v>497</v>
      </c>
      <c r="J452" t="s">
        <v>311</v>
      </c>
      <c r="L452" t="s">
        <v>67</v>
      </c>
    </row>
    <row r="453" spans="2:12" x14ac:dyDescent="0.25">
      <c r="F453">
        <v>33</v>
      </c>
      <c r="G453" t="s">
        <v>109</v>
      </c>
      <c r="H453" t="s">
        <v>16</v>
      </c>
      <c r="I453" t="s">
        <v>602</v>
      </c>
      <c r="J453" t="s">
        <v>617</v>
      </c>
      <c r="L453" t="s">
        <v>67</v>
      </c>
    </row>
    <row r="454" spans="2:12" x14ac:dyDescent="0.25">
      <c r="F454">
        <v>34</v>
      </c>
      <c r="G454" t="s">
        <v>110</v>
      </c>
      <c r="H454" t="s">
        <v>16</v>
      </c>
      <c r="I454" t="s">
        <v>79</v>
      </c>
      <c r="J454" t="s">
        <v>391</v>
      </c>
      <c r="L454" t="s">
        <v>67</v>
      </c>
    </row>
    <row r="455" spans="2:12" x14ac:dyDescent="0.25">
      <c r="F455">
        <v>35</v>
      </c>
      <c r="G455" t="s">
        <v>111</v>
      </c>
      <c r="H455" t="s">
        <v>16</v>
      </c>
      <c r="I455" t="s">
        <v>392</v>
      </c>
      <c r="J455" t="s">
        <v>393</v>
      </c>
      <c r="L455" t="s">
        <v>67</v>
      </c>
    </row>
    <row r="456" spans="2:12" x14ac:dyDescent="0.25">
      <c r="F456">
        <v>36</v>
      </c>
      <c r="G456" t="s">
        <v>112</v>
      </c>
      <c r="H456" t="s">
        <v>16</v>
      </c>
      <c r="I456" t="s">
        <v>565</v>
      </c>
      <c r="J456" t="s">
        <v>566</v>
      </c>
      <c r="L456" t="s">
        <v>67</v>
      </c>
    </row>
    <row r="457" spans="2:12" x14ac:dyDescent="0.25">
      <c r="F457">
        <v>37</v>
      </c>
      <c r="G457" t="s">
        <v>113</v>
      </c>
      <c r="H457" t="s">
        <v>16</v>
      </c>
      <c r="I457" t="s">
        <v>565</v>
      </c>
      <c r="J457" t="s">
        <v>566</v>
      </c>
      <c r="L457" t="s">
        <v>67</v>
      </c>
    </row>
    <row r="458" spans="2:12" x14ac:dyDescent="0.25">
      <c r="F458">
        <v>39</v>
      </c>
      <c r="G458" t="s">
        <v>124</v>
      </c>
      <c r="H458" t="s">
        <v>18</v>
      </c>
    </row>
    <row r="459" spans="2:12" x14ac:dyDescent="0.25">
      <c r="F459">
        <v>41</v>
      </c>
      <c r="G459" t="s">
        <v>131</v>
      </c>
      <c r="H459" t="s">
        <v>16</v>
      </c>
      <c r="I459" t="s">
        <v>688</v>
      </c>
      <c r="J459" t="s">
        <v>360</v>
      </c>
      <c r="L459" t="s">
        <v>67</v>
      </c>
    </row>
    <row r="460" spans="2:12" x14ac:dyDescent="0.25">
      <c r="F460">
        <v>48</v>
      </c>
      <c r="G460" t="s">
        <v>156</v>
      </c>
      <c r="H460" t="s">
        <v>16</v>
      </c>
      <c r="I460" t="s">
        <v>689</v>
      </c>
      <c r="J460" t="s">
        <v>690</v>
      </c>
      <c r="L460" t="s">
        <v>67</v>
      </c>
    </row>
    <row r="461" spans="2:12" x14ac:dyDescent="0.25">
      <c r="F461">
        <v>49</v>
      </c>
      <c r="G461" t="s">
        <v>163</v>
      </c>
      <c r="H461" t="s">
        <v>16</v>
      </c>
      <c r="I461" t="s">
        <v>691</v>
      </c>
      <c r="J461" t="s">
        <v>378</v>
      </c>
    </row>
    <row r="462" spans="2:12" x14ac:dyDescent="0.25">
      <c r="F462">
        <v>50</v>
      </c>
      <c r="G462" t="s">
        <v>165</v>
      </c>
      <c r="H462" t="s">
        <v>18</v>
      </c>
    </row>
    <row r="463" spans="2:12" x14ac:dyDescent="0.25">
      <c r="B463" t="s">
        <v>692</v>
      </c>
      <c r="C463" t="s">
        <v>185</v>
      </c>
      <c r="D463" t="s">
        <v>182</v>
      </c>
      <c r="E463" t="s">
        <v>183</v>
      </c>
      <c r="F463">
        <v>4</v>
      </c>
      <c r="G463" t="s">
        <v>71</v>
      </c>
      <c r="H463" t="s">
        <v>18</v>
      </c>
    </row>
    <row r="464" spans="2:12" x14ac:dyDescent="0.25">
      <c r="F464">
        <v>5</v>
      </c>
      <c r="G464" t="s">
        <v>73</v>
      </c>
      <c r="H464" t="s">
        <v>16</v>
      </c>
      <c r="I464" t="s">
        <v>693</v>
      </c>
      <c r="J464" t="s">
        <v>694</v>
      </c>
      <c r="L464" t="s">
        <v>67</v>
      </c>
    </row>
    <row r="465" spans="6:12" x14ac:dyDescent="0.25">
      <c r="F465">
        <v>6</v>
      </c>
      <c r="G465" t="s">
        <v>74</v>
      </c>
      <c r="H465" t="s">
        <v>16</v>
      </c>
      <c r="I465" t="s">
        <v>326</v>
      </c>
      <c r="J465" t="s">
        <v>695</v>
      </c>
      <c r="L465" t="s">
        <v>67</v>
      </c>
    </row>
    <row r="466" spans="6:12" x14ac:dyDescent="0.25">
      <c r="F466">
        <v>7</v>
      </c>
      <c r="G466" t="s">
        <v>75</v>
      </c>
      <c r="H466" t="s">
        <v>18</v>
      </c>
    </row>
    <row r="467" spans="6:12" x14ac:dyDescent="0.25">
      <c r="F467">
        <v>8</v>
      </c>
      <c r="G467" t="s">
        <v>76</v>
      </c>
      <c r="H467" t="s">
        <v>16</v>
      </c>
      <c r="I467" t="s">
        <v>317</v>
      </c>
      <c r="J467" t="s">
        <v>696</v>
      </c>
      <c r="L467" t="s">
        <v>67</v>
      </c>
    </row>
    <row r="468" spans="6:12" x14ac:dyDescent="0.25">
      <c r="F468">
        <v>24</v>
      </c>
      <c r="G468" t="s">
        <v>97</v>
      </c>
      <c r="H468" t="s">
        <v>16</v>
      </c>
      <c r="I468" t="s">
        <v>697</v>
      </c>
      <c r="J468" t="s">
        <v>698</v>
      </c>
      <c r="L468" t="s">
        <v>67</v>
      </c>
    </row>
    <row r="469" spans="6:12" x14ac:dyDescent="0.25">
      <c r="F469">
        <v>27</v>
      </c>
      <c r="G469" t="s">
        <v>101</v>
      </c>
      <c r="H469" t="s">
        <v>16</v>
      </c>
      <c r="I469" t="s">
        <v>79</v>
      </c>
      <c r="J469" t="s">
        <v>349</v>
      </c>
      <c r="L469" t="s">
        <v>67</v>
      </c>
    </row>
    <row r="470" spans="6:12" x14ac:dyDescent="0.25">
      <c r="F470">
        <v>28</v>
      </c>
      <c r="G470" t="s">
        <v>103</v>
      </c>
      <c r="H470" t="s">
        <v>16</v>
      </c>
      <c r="I470" t="s">
        <v>314</v>
      </c>
      <c r="J470" t="s">
        <v>315</v>
      </c>
      <c r="L470" t="s">
        <v>67</v>
      </c>
    </row>
    <row r="471" spans="6:12" x14ac:dyDescent="0.25">
      <c r="F471">
        <v>29</v>
      </c>
      <c r="G471" t="s">
        <v>104</v>
      </c>
      <c r="H471" t="s">
        <v>16</v>
      </c>
      <c r="I471" t="s">
        <v>699</v>
      </c>
      <c r="J471" t="s">
        <v>700</v>
      </c>
      <c r="L471" t="s">
        <v>67</v>
      </c>
    </row>
    <row r="472" spans="6:12" x14ac:dyDescent="0.25">
      <c r="F472">
        <v>30</v>
      </c>
      <c r="G472" t="s">
        <v>106</v>
      </c>
      <c r="H472" t="s">
        <v>16</v>
      </c>
      <c r="I472" t="s">
        <v>697</v>
      </c>
      <c r="J472" t="s">
        <v>698</v>
      </c>
      <c r="L472" t="s">
        <v>67</v>
      </c>
    </row>
    <row r="473" spans="6:12" x14ac:dyDescent="0.25">
      <c r="F473">
        <v>31</v>
      </c>
      <c r="G473" t="s">
        <v>107</v>
      </c>
      <c r="H473" t="s">
        <v>16</v>
      </c>
      <c r="I473" t="s">
        <v>701</v>
      </c>
      <c r="J473" t="s">
        <v>698</v>
      </c>
      <c r="L473" t="s">
        <v>67</v>
      </c>
    </row>
    <row r="474" spans="6:12" x14ac:dyDescent="0.25">
      <c r="F474">
        <v>32</v>
      </c>
      <c r="G474" t="s">
        <v>108</v>
      </c>
      <c r="H474" t="s">
        <v>16</v>
      </c>
      <c r="I474" t="s">
        <v>702</v>
      </c>
      <c r="J474" t="s">
        <v>703</v>
      </c>
      <c r="L474" t="s">
        <v>67</v>
      </c>
    </row>
    <row r="475" spans="6:12" x14ac:dyDescent="0.25">
      <c r="F475">
        <v>33</v>
      </c>
      <c r="G475" t="s">
        <v>109</v>
      </c>
      <c r="H475" t="s">
        <v>16</v>
      </c>
      <c r="I475" t="s">
        <v>699</v>
      </c>
      <c r="J475" t="s">
        <v>700</v>
      </c>
      <c r="L475" t="s">
        <v>67</v>
      </c>
    </row>
    <row r="476" spans="6:12" x14ac:dyDescent="0.25">
      <c r="F476">
        <v>34</v>
      </c>
      <c r="G476" t="s">
        <v>110</v>
      </c>
      <c r="H476" t="s">
        <v>16</v>
      </c>
      <c r="I476" t="s">
        <v>79</v>
      </c>
      <c r="J476" t="s">
        <v>704</v>
      </c>
      <c r="L476" t="s">
        <v>67</v>
      </c>
    </row>
    <row r="477" spans="6:12" x14ac:dyDescent="0.25">
      <c r="F477">
        <v>35</v>
      </c>
      <c r="G477" t="s">
        <v>111</v>
      </c>
      <c r="H477" t="s">
        <v>16</v>
      </c>
      <c r="I477" t="s">
        <v>499</v>
      </c>
      <c r="J477" t="s">
        <v>500</v>
      </c>
      <c r="L477" t="s">
        <v>67</v>
      </c>
    </row>
    <row r="478" spans="6:12" x14ac:dyDescent="0.25">
      <c r="F478">
        <v>36</v>
      </c>
      <c r="G478" t="s">
        <v>112</v>
      </c>
      <c r="H478" t="s">
        <v>16</v>
      </c>
      <c r="I478" t="s">
        <v>705</v>
      </c>
      <c r="J478" t="s">
        <v>698</v>
      </c>
      <c r="L478" t="s">
        <v>67</v>
      </c>
    </row>
    <row r="479" spans="6:12" x14ac:dyDescent="0.25">
      <c r="F479">
        <v>37</v>
      </c>
      <c r="G479" t="s">
        <v>113</v>
      </c>
      <c r="H479" t="s">
        <v>16</v>
      </c>
      <c r="I479" t="s">
        <v>499</v>
      </c>
      <c r="J479" t="s">
        <v>500</v>
      </c>
      <c r="L479" t="s">
        <v>67</v>
      </c>
    </row>
    <row r="480" spans="6:12" x14ac:dyDescent="0.25">
      <c r="F480">
        <v>41</v>
      </c>
      <c r="G480" t="s">
        <v>131</v>
      </c>
      <c r="H480" t="s">
        <v>16</v>
      </c>
      <c r="I480" t="s">
        <v>641</v>
      </c>
      <c r="J480" t="s">
        <v>706</v>
      </c>
      <c r="L480" t="s">
        <v>67</v>
      </c>
    </row>
    <row r="481" spans="2:12" x14ac:dyDescent="0.25">
      <c r="F481">
        <v>51</v>
      </c>
      <c r="G481" t="s">
        <v>184</v>
      </c>
      <c r="H481" t="s">
        <v>16</v>
      </c>
      <c r="I481" t="s">
        <v>641</v>
      </c>
      <c r="J481" t="s">
        <v>706</v>
      </c>
      <c r="L481" t="s">
        <v>67</v>
      </c>
    </row>
    <row r="482" spans="2:12" x14ac:dyDescent="0.25">
      <c r="B482" t="s">
        <v>707</v>
      </c>
      <c r="C482" t="s">
        <v>66</v>
      </c>
      <c r="D482" t="s">
        <v>187</v>
      </c>
      <c r="E482" t="s">
        <v>188</v>
      </c>
      <c r="F482">
        <v>1</v>
      </c>
      <c r="G482" t="s">
        <v>64</v>
      </c>
      <c r="H482" t="s">
        <v>16</v>
      </c>
      <c r="I482" t="s">
        <v>708</v>
      </c>
      <c r="J482" t="s">
        <v>709</v>
      </c>
      <c r="L482" t="s">
        <v>67</v>
      </c>
    </row>
    <row r="483" spans="2:12" x14ac:dyDescent="0.25">
      <c r="F483">
        <v>2</v>
      </c>
      <c r="G483" t="s">
        <v>69</v>
      </c>
      <c r="H483" t="s">
        <v>16</v>
      </c>
      <c r="I483" t="s">
        <v>708</v>
      </c>
      <c r="J483" t="s">
        <v>709</v>
      </c>
      <c r="L483" t="s">
        <v>67</v>
      </c>
    </row>
    <row r="484" spans="2:12" x14ac:dyDescent="0.25">
      <c r="F484">
        <v>3</v>
      </c>
      <c r="G484" t="s">
        <v>70</v>
      </c>
      <c r="H484" t="s">
        <v>16</v>
      </c>
      <c r="I484" t="s">
        <v>710</v>
      </c>
      <c r="J484" t="s">
        <v>711</v>
      </c>
      <c r="L484" t="s">
        <v>67</v>
      </c>
    </row>
    <row r="485" spans="2:12" x14ac:dyDescent="0.25">
      <c r="F485">
        <v>4</v>
      </c>
      <c r="G485" t="s">
        <v>71</v>
      </c>
      <c r="H485" t="s">
        <v>16</v>
      </c>
      <c r="I485" t="s">
        <v>712</v>
      </c>
      <c r="J485" t="s">
        <v>713</v>
      </c>
    </row>
    <row r="486" spans="2:12" x14ac:dyDescent="0.25">
      <c r="F486">
        <v>5</v>
      </c>
      <c r="G486" t="s">
        <v>73</v>
      </c>
      <c r="H486" t="s">
        <v>16</v>
      </c>
      <c r="I486" t="s">
        <v>714</v>
      </c>
      <c r="J486" t="s">
        <v>554</v>
      </c>
      <c r="L486" t="s">
        <v>67</v>
      </c>
    </row>
    <row r="487" spans="2:12" x14ac:dyDescent="0.25">
      <c r="F487">
        <v>6</v>
      </c>
      <c r="G487" t="s">
        <v>74</v>
      </c>
      <c r="H487" t="s">
        <v>16</v>
      </c>
      <c r="I487" t="s">
        <v>715</v>
      </c>
      <c r="J487" t="s">
        <v>716</v>
      </c>
      <c r="L487" t="s">
        <v>67</v>
      </c>
    </row>
    <row r="488" spans="2:12" x14ac:dyDescent="0.25">
      <c r="F488">
        <v>7</v>
      </c>
      <c r="G488" t="s">
        <v>75</v>
      </c>
      <c r="H488" t="s">
        <v>18</v>
      </c>
    </row>
    <row r="489" spans="2:12" x14ac:dyDescent="0.25">
      <c r="F489">
        <v>8</v>
      </c>
      <c r="G489" t="s">
        <v>76</v>
      </c>
      <c r="H489" t="s">
        <v>16</v>
      </c>
      <c r="I489" t="s">
        <v>717</v>
      </c>
      <c r="J489" t="s">
        <v>718</v>
      </c>
      <c r="L489" t="s">
        <v>67</v>
      </c>
    </row>
    <row r="490" spans="2:12" x14ac:dyDescent="0.25">
      <c r="F490">
        <v>9</v>
      </c>
      <c r="G490" t="s">
        <v>78</v>
      </c>
      <c r="H490" t="s">
        <v>16</v>
      </c>
      <c r="I490" t="s">
        <v>79</v>
      </c>
      <c r="J490" t="s">
        <v>719</v>
      </c>
      <c r="L490" t="s">
        <v>67</v>
      </c>
    </row>
    <row r="491" spans="2:12" x14ac:dyDescent="0.25">
      <c r="F491">
        <v>10</v>
      </c>
      <c r="G491" t="s">
        <v>80</v>
      </c>
      <c r="H491" t="s">
        <v>16</v>
      </c>
      <c r="I491" t="s">
        <v>79</v>
      </c>
      <c r="J491" t="s">
        <v>613</v>
      </c>
      <c r="L491" t="s">
        <v>67</v>
      </c>
    </row>
    <row r="492" spans="2:12" x14ac:dyDescent="0.25">
      <c r="F492">
        <v>11</v>
      </c>
      <c r="G492" t="s">
        <v>81</v>
      </c>
      <c r="H492" t="s">
        <v>16</v>
      </c>
      <c r="I492" t="s">
        <v>720</v>
      </c>
      <c r="J492" t="s">
        <v>721</v>
      </c>
      <c r="L492" t="s">
        <v>67</v>
      </c>
    </row>
    <row r="493" spans="2:12" x14ac:dyDescent="0.25">
      <c r="F493">
        <v>12</v>
      </c>
      <c r="G493" t="s">
        <v>82</v>
      </c>
      <c r="H493" t="s">
        <v>16</v>
      </c>
      <c r="I493" t="s">
        <v>434</v>
      </c>
      <c r="J493" t="s">
        <v>435</v>
      </c>
      <c r="L493" t="s">
        <v>67</v>
      </c>
    </row>
    <row r="494" spans="2:12" x14ac:dyDescent="0.25">
      <c r="F494">
        <v>13</v>
      </c>
      <c r="G494" t="s">
        <v>84</v>
      </c>
      <c r="H494" t="s">
        <v>16</v>
      </c>
      <c r="I494" t="s">
        <v>445</v>
      </c>
      <c r="J494" t="s">
        <v>446</v>
      </c>
      <c r="L494" t="s">
        <v>67</v>
      </c>
    </row>
    <row r="495" spans="2:12" x14ac:dyDescent="0.25">
      <c r="F495">
        <v>14</v>
      </c>
      <c r="G495" t="s">
        <v>85</v>
      </c>
      <c r="H495" t="s">
        <v>16</v>
      </c>
      <c r="I495" t="s">
        <v>79</v>
      </c>
      <c r="J495" t="s">
        <v>722</v>
      </c>
      <c r="L495" t="s">
        <v>67</v>
      </c>
    </row>
    <row r="496" spans="2:12" x14ac:dyDescent="0.25">
      <c r="F496">
        <v>15</v>
      </c>
      <c r="G496" t="s">
        <v>87</v>
      </c>
      <c r="H496" t="s">
        <v>16</v>
      </c>
      <c r="I496" t="s">
        <v>79</v>
      </c>
      <c r="J496" t="s">
        <v>723</v>
      </c>
      <c r="L496" t="s">
        <v>67</v>
      </c>
    </row>
    <row r="497" spans="6:12" x14ac:dyDescent="0.25">
      <c r="F497">
        <v>16</v>
      </c>
      <c r="G497" t="s">
        <v>88</v>
      </c>
      <c r="H497" t="s">
        <v>16</v>
      </c>
      <c r="I497" t="s">
        <v>79</v>
      </c>
      <c r="J497" t="s">
        <v>724</v>
      </c>
      <c r="L497" t="s">
        <v>67</v>
      </c>
    </row>
    <row r="498" spans="6:12" x14ac:dyDescent="0.25">
      <c r="F498">
        <v>17</v>
      </c>
      <c r="G498" t="s">
        <v>89</v>
      </c>
      <c r="H498" t="s">
        <v>16</v>
      </c>
      <c r="I498" t="s">
        <v>79</v>
      </c>
      <c r="J498" t="s">
        <v>613</v>
      </c>
      <c r="L498" t="s">
        <v>67</v>
      </c>
    </row>
    <row r="499" spans="6:12" x14ac:dyDescent="0.25">
      <c r="F499">
        <v>18</v>
      </c>
      <c r="G499" t="s">
        <v>90</v>
      </c>
      <c r="H499" t="s">
        <v>16</v>
      </c>
      <c r="I499" t="s">
        <v>79</v>
      </c>
      <c r="J499" t="s">
        <v>613</v>
      </c>
      <c r="L499" t="s">
        <v>67</v>
      </c>
    </row>
    <row r="500" spans="6:12" x14ac:dyDescent="0.25">
      <c r="F500">
        <v>19</v>
      </c>
      <c r="G500" t="s">
        <v>91</v>
      </c>
      <c r="H500" t="s">
        <v>16</v>
      </c>
      <c r="I500" t="s">
        <v>79</v>
      </c>
      <c r="J500" t="s">
        <v>725</v>
      </c>
      <c r="L500" t="s">
        <v>67</v>
      </c>
    </row>
    <row r="501" spans="6:12" x14ac:dyDescent="0.25">
      <c r="F501">
        <v>20</v>
      </c>
      <c r="G501" t="s">
        <v>92</v>
      </c>
      <c r="H501" t="s">
        <v>16</v>
      </c>
      <c r="I501" t="s">
        <v>726</v>
      </c>
      <c r="J501" t="s">
        <v>613</v>
      </c>
      <c r="L501" t="s">
        <v>67</v>
      </c>
    </row>
    <row r="502" spans="6:12" x14ac:dyDescent="0.25">
      <c r="F502">
        <v>21</v>
      </c>
      <c r="G502" t="s">
        <v>93</v>
      </c>
      <c r="H502" t="s">
        <v>16</v>
      </c>
      <c r="I502" t="s">
        <v>727</v>
      </c>
      <c r="J502" t="s">
        <v>728</v>
      </c>
      <c r="L502" t="s">
        <v>67</v>
      </c>
    </row>
    <row r="503" spans="6:12" x14ac:dyDescent="0.25">
      <c r="F503">
        <v>22</v>
      </c>
      <c r="G503" t="s">
        <v>95</v>
      </c>
      <c r="H503" t="s">
        <v>16</v>
      </c>
      <c r="I503" t="s">
        <v>729</v>
      </c>
      <c r="J503" t="s">
        <v>730</v>
      </c>
      <c r="L503" t="s">
        <v>67</v>
      </c>
    </row>
    <row r="504" spans="6:12" x14ac:dyDescent="0.25">
      <c r="F504">
        <v>23</v>
      </c>
      <c r="G504" t="s">
        <v>96</v>
      </c>
      <c r="H504" t="s">
        <v>16</v>
      </c>
      <c r="I504" t="s">
        <v>79</v>
      </c>
      <c r="J504" t="s">
        <v>349</v>
      </c>
      <c r="L504" t="s">
        <v>67</v>
      </c>
    </row>
    <row r="505" spans="6:12" x14ac:dyDescent="0.25">
      <c r="F505">
        <v>24</v>
      </c>
      <c r="G505" t="s">
        <v>97</v>
      </c>
      <c r="H505" t="s">
        <v>16</v>
      </c>
      <c r="I505" t="s">
        <v>731</v>
      </c>
      <c r="J505" t="s">
        <v>732</v>
      </c>
      <c r="L505" t="s">
        <v>67</v>
      </c>
    </row>
    <row r="506" spans="6:12" x14ac:dyDescent="0.25">
      <c r="F506">
        <v>25</v>
      </c>
      <c r="G506" t="s">
        <v>99</v>
      </c>
      <c r="H506" t="s">
        <v>16</v>
      </c>
      <c r="I506" t="s">
        <v>733</v>
      </c>
      <c r="J506" t="s">
        <v>734</v>
      </c>
      <c r="L506" t="s">
        <v>67</v>
      </c>
    </row>
    <row r="507" spans="6:12" x14ac:dyDescent="0.25">
      <c r="F507">
        <v>26</v>
      </c>
      <c r="G507" t="s">
        <v>100</v>
      </c>
      <c r="H507" t="s">
        <v>16</v>
      </c>
      <c r="I507" t="s">
        <v>733</v>
      </c>
      <c r="J507" t="s">
        <v>734</v>
      </c>
      <c r="L507" t="s">
        <v>67</v>
      </c>
    </row>
    <row r="508" spans="6:12" x14ac:dyDescent="0.25">
      <c r="F508">
        <v>27</v>
      </c>
      <c r="G508" t="s">
        <v>101</v>
      </c>
      <c r="H508" t="s">
        <v>16</v>
      </c>
      <c r="I508" t="s">
        <v>79</v>
      </c>
      <c r="J508" t="s">
        <v>735</v>
      </c>
      <c r="L508" t="s">
        <v>67</v>
      </c>
    </row>
    <row r="509" spans="6:12" x14ac:dyDescent="0.25">
      <c r="F509">
        <v>28</v>
      </c>
      <c r="G509" t="s">
        <v>103</v>
      </c>
      <c r="H509" t="s">
        <v>16</v>
      </c>
      <c r="I509" t="s">
        <v>736</v>
      </c>
      <c r="J509" t="s">
        <v>737</v>
      </c>
      <c r="L509" t="s">
        <v>67</v>
      </c>
    </row>
    <row r="510" spans="6:12" x14ac:dyDescent="0.25">
      <c r="F510">
        <v>29</v>
      </c>
      <c r="G510" t="s">
        <v>104</v>
      </c>
      <c r="H510" t="s">
        <v>16</v>
      </c>
      <c r="I510" t="s">
        <v>738</v>
      </c>
      <c r="J510" t="s">
        <v>739</v>
      </c>
      <c r="L510" t="s">
        <v>67</v>
      </c>
    </row>
    <row r="511" spans="6:12" x14ac:dyDescent="0.25">
      <c r="F511">
        <v>30</v>
      </c>
      <c r="G511" t="s">
        <v>106</v>
      </c>
      <c r="H511" t="s">
        <v>16</v>
      </c>
      <c r="I511" t="s">
        <v>731</v>
      </c>
      <c r="J511" t="s">
        <v>732</v>
      </c>
      <c r="L511" t="s">
        <v>67</v>
      </c>
    </row>
    <row r="512" spans="6:12" x14ac:dyDescent="0.25">
      <c r="F512">
        <v>31</v>
      </c>
      <c r="G512" t="s">
        <v>107</v>
      </c>
      <c r="H512" t="s">
        <v>16</v>
      </c>
      <c r="I512" t="s">
        <v>740</v>
      </c>
      <c r="J512" t="s">
        <v>741</v>
      </c>
      <c r="L512" t="s">
        <v>67</v>
      </c>
    </row>
    <row r="513" spans="2:12" x14ac:dyDescent="0.25">
      <c r="F513">
        <v>32</v>
      </c>
      <c r="G513" t="s">
        <v>108</v>
      </c>
      <c r="H513" t="s">
        <v>16</v>
      </c>
      <c r="I513" t="s">
        <v>742</v>
      </c>
      <c r="J513" t="s">
        <v>456</v>
      </c>
      <c r="L513" t="s">
        <v>67</v>
      </c>
    </row>
    <row r="514" spans="2:12" x14ac:dyDescent="0.25">
      <c r="F514">
        <v>33</v>
      </c>
      <c r="G514" t="s">
        <v>109</v>
      </c>
      <c r="H514" t="s">
        <v>16</v>
      </c>
      <c r="I514" t="s">
        <v>738</v>
      </c>
      <c r="J514" t="s">
        <v>739</v>
      </c>
      <c r="L514" t="s">
        <v>67</v>
      </c>
    </row>
    <row r="515" spans="2:12" x14ac:dyDescent="0.25">
      <c r="F515">
        <v>34</v>
      </c>
      <c r="G515" t="s">
        <v>110</v>
      </c>
      <c r="H515" t="s">
        <v>16</v>
      </c>
      <c r="I515" t="s">
        <v>79</v>
      </c>
      <c r="J515" t="s">
        <v>732</v>
      </c>
      <c r="L515" t="s">
        <v>67</v>
      </c>
    </row>
    <row r="516" spans="2:12" x14ac:dyDescent="0.25">
      <c r="F516">
        <v>35</v>
      </c>
      <c r="G516" t="s">
        <v>111</v>
      </c>
      <c r="H516" t="s">
        <v>16</v>
      </c>
      <c r="I516" t="s">
        <v>743</v>
      </c>
      <c r="J516" t="s">
        <v>744</v>
      </c>
      <c r="L516" t="s">
        <v>67</v>
      </c>
    </row>
    <row r="517" spans="2:12" x14ac:dyDescent="0.25">
      <c r="F517">
        <v>36</v>
      </c>
      <c r="G517" t="s">
        <v>112</v>
      </c>
      <c r="H517" t="s">
        <v>16</v>
      </c>
      <c r="I517" t="s">
        <v>738</v>
      </c>
      <c r="J517" t="s">
        <v>739</v>
      </c>
      <c r="L517" t="s">
        <v>67</v>
      </c>
    </row>
    <row r="518" spans="2:12" x14ac:dyDescent="0.25">
      <c r="F518">
        <v>37</v>
      </c>
      <c r="G518" t="s">
        <v>113</v>
      </c>
      <c r="H518" t="s">
        <v>16</v>
      </c>
      <c r="I518" t="s">
        <v>745</v>
      </c>
      <c r="J518" t="s">
        <v>435</v>
      </c>
      <c r="L518" t="s">
        <v>67</v>
      </c>
    </row>
    <row r="519" spans="2:12" x14ac:dyDescent="0.25">
      <c r="B519" t="s">
        <v>746</v>
      </c>
      <c r="C519" t="s">
        <v>66</v>
      </c>
      <c r="D519" t="s">
        <v>190</v>
      </c>
      <c r="E519" t="s">
        <v>191</v>
      </c>
      <c r="F519">
        <v>1</v>
      </c>
      <c r="G519" t="s">
        <v>64</v>
      </c>
      <c r="H519" t="s">
        <v>16</v>
      </c>
      <c r="I519" t="s">
        <v>747</v>
      </c>
      <c r="J519" t="s">
        <v>748</v>
      </c>
      <c r="L519" t="s">
        <v>67</v>
      </c>
    </row>
    <row r="520" spans="2:12" x14ac:dyDescent="0.25">
      <c r="F520">
        <v>2</v>
      </c>
      <c r="G520" t="s">
        <v>69</v>
      </c>
      <c r="H520" t="s">
        <v>16</v>
      </c>
      <c r="I520" t="s">
        <v>747</v>
      </c>
      <c r="J520" t="s">
        <v>748</v>
      </c>
      <c r="L520" t="s">
        <v>67</v>
      </c>
    </row>
    <row r="521" spans="2:12" x14ac:dyDescent="0.25">
      <c r="F521">
        <v>3</v>
      </c>
      <c r="G521" t="s">
        <v>70</v>
      </c>
      <c r="H521" t="s">
        <v>25</v>
      </c>
      <c r="I521" t="s">
        <v>288</v>
      </c>
      <c r="J521" t="s">
        <v>749</v>
      </c>
      <c r="L521" t="s">
        <v>67</v>
      </c>
    </row>
    <row r="522" spans="2:12" x14ac:dyDescent="0.25">
      <c r="F522">
        <v>4</v>
      </c>
      <c r="G522" t="s">
        <v>71</v>
      </c>
      <c r="H522" t="s">
        <v>39</v>
      </c>
      <c r="I522" t="s">
        <v>750</v>
      </c>
      <c r="J522" t="s">
        <v>322</v>
      </c>
    </row>
    <row r="523" spans="2:12" x14ac:dyDescent="0.25">
      <c r="F523">
        <v>5</v>
      </c>
      <c r="G523" t="s">
        <v>73</v>
      </c>
      <c r="H523" t="s">
        <v>16</v>
      </c>
      <c r="I523" t="s">
        <v>751</v>
      </c>
      <c r="J523" t="s">
        <v>752</v>
      </c>
      <c r="L523" t="s">
        <v>67</v>
      </c>
    </row>
    <row r="524" spans="2:12" x14ac:dyDescent="0.25">
      <c r="F524">
        <v>6</v>
      </c>
      <c r="G524" t="s">
        <v>74</v>
      </c>
      <c r="H524" t="s">
        <v>16</v>
      </c>
      <c r="I524" t="s">
        <v>753</v>
      </c>
      <c r="J524" t="s">
        <v>754</v>
      </c>
      <c r="L524" t="s">
        <v>67</v>
      </c>
    </row>
    <row r="525" spans="2:12" x14ac:dyDescent="0.25">
      <c r="F525">
        <v>7</v>
      </c>
      <c r="G525" t="s">
        <v>75</v>
      </c>
      <c r="H525" t="s">
        <v>18</v>
      </c>
    </row>
    <row r="526" spans="2:12" x14ac:dyDescent="0.25">
      <c r="F526">
        <v>8</v>
      </c>
      <c r="G526" t="s">
        <v>76</v>
      </c>
      <c r="H526" t="s">
        <v>16</v>
      </c>
      <c r="I526" t="s">
        <v>755</v>
      </c>
      <c r="J526" t="s">
        <v>568</v>
      </c>
      <c r="L526" t="s">
        <v>67</v>
      </c>
    </row>
    <row r="527" spans="2:12" x14ac:dyDescent="0.25">
      <c r="F527">
        <v>9</v>
      </c>
      <c r="G527" t="s">
        <v>78</v>
      </c>
      <c r="H527" t="s">
        <v>16</v>
      </c>
      <c r="I527" t="s">
        <v>79</v>
      </c>
      <c r="J527" t="s">
        <v>631</v>
      </c>
      <c r="L527" t="s">
        <v>67</v>
      </c>
    </row>
    <row r="528" spans="2:12" x14ac:dyDescent="0.25">
      <c r="F528">
        <v>10</v>
      </c>
      <c r="G528" t="s">
        <v>80</v>
      </c>
      <c r="H528" t="s">
        <v>16</v>
      </c>
      <c r="I528" t="s">
        <v>79</v>
      </c>
      <c r="J528" t="s">
        <v>338</v>
      </c>
      <c r="L528" t="s">
        <v>67</v>
      </c>
    </row>
    <row r="529" spans="6:12" x14ac:dyDescent="0.25">
      <c r="F529">
        <v>11</v>
      </c>
      <c r="G529" t="s">
        <v>81</v>
      </c>
      <c r="H529" t="s">
        <v>16</v>
      </c>
      <c r="I529" t="s">
        <v>565</v>
      </c>
      <c r="J529" t="s">
        <v>566</v>
      </c>
      <c r="L529" t="s">
        <v>67</v>
      </c>
    </row>
    <row r="530" spans="6:12" x14ac:dyDescent="0.25">
      <c r="F530">
        <v>12</v>
      </c>
      <c r="G530" t="s">
        <v>82</v>
      </c>
      <c r="H530" t="s">
        <v>16</v>
      </c>
      <c r="I530" t="s">
        <v>499</v>
      </c>
      <c r="J530" t="s">
        <v>500</v>
      </c>
      <c r="L530" t="s">
        <v>67</v>
      </c>
    </row>
    <row r="531" spans="6:12" x14ac:dyDescent="0.25">
      <c r="F531">
        <v>13</v>
      </c>
      <c r="G531" t="s">
        <v>84</v>
      </c>
      <c r="H531" t="s">
        <v>16</v>
      </c>
      <c r="I531" t="s">
        <v>756</v>
      </c>
      <c r="J531" t="s">
        <v>757</v>
      </c>
      <c r="L531" t="s">
        <v>67</v>
      </c>
    </row>
    <row r="532" spans="6:12" x14ac:dyDescent="0.25">
      <c r="F532">
        <v>14</v>
      </c>
      <c r="G532" t="s">
        <v>85</v>
      </c>
      <c r="H532" t="s">
        <v>16</v>
      </c>
      <c r="I532" t="s">
        <v>79</v>
      </c>
      <c r="J532" t="s">
        <v>758</v>
      </c>
      <c r="L532" t="s">
        <v>67</v>
      </c>
    </row>
    <row r="533" spans="6:12" x14ac:dyDescent="0.25">
      <c r="F533">
        <v>15</v>
      </c>
      <c r="G533" t="s">
        <v>87</v>
      </c>
      <c r="H533" t="s">
        <v>16</v>
      </c>
      <c r="I533" t="s">
        <v>79</v>
      </c>
      <c r="J533" t="s">
        <v>339</v>
      </c>
      <c r="L533" t="s">
        <v>67</v>
      </c>
    </row>
    <row r="534" spans="6:12" x14ac:dyDescent="0.25">
      <c r="F534">
        <v>16</v>
      </c>
      <c r="G534" t="s">
        <v>88</v>
      </c>
      <c r="H534" t="s">
        <v>16</v>
      </c>
      <c r="I534" t="s">
        <v>79</v>
      </c>
      <c r="J534" t="s">
        <v>340</v>
      </c>
      <c r="L534" t="s">
        <v>67</v>
      </c>
    </row>
    <row r="535" spans="6:12" x14ac:dyDescent="0.25">
      <c r="F535">
        <v>17</v>
      </c>
      <c r="G535" t="s">
        <v>89</v>
      </c>
      <c r="H535" t="s">
        <v>16</v>
      </c>
      <c r="I535" t="s">
        <v>79</v>
      </c>
      <c r="J535" t="s">
        <v>342</v>
      </c>
      <c r="L535" t="s">
        <v>67</v>
      </c>
    </row>
    <row r="536" spans="6:12" x14ac:dyDescent="0.25">
      <c r="F536">
        <v>18</v>
      </c>
      <c r="G536" t="s">
        <v>90</v>
      </c>
      <c r="H536" t="s">
        <v>16</v>
      </c>
      <c r="I536" t="s">
        <v>79</v>
      </c>
      <c r="J536" t="s">
        <v>759</v>
      </c>
      <c r="L536" t="s">
        <v>67</v>
      </c>
    </row>
    <row r="537" spans="6:12" x14ac:dyDescent="0.25">
      <c r="F537">
        <v>19</v>
      </c>
      <c r="G537" t="s">
        <v>91</v>
      </c>
      <c r="H537" t="s">
        <v>16</v>
      </c>
      <c r="I537" t="s">
        <v>79</v>
      </c>
      <c r="J537" t="s">
        <v>760</v>
      </c>
      <c r="L537" t="s">
        <v>67</v>
      </c>
    </row>
    <row r="538" spans="6:12" x14ac:dyDescent="0.25">
      <c r="F538">
        <v>20</v>
      </c>
      <c r="G538" t="s">
        <v>92</v>
      </c>
      <c r="H538" t="s">
        <v>16</v>
      </c>
      <c r="I538" t="s">
        <v>761</v>
      </c>
      <c r="J538" t="s">
        <v>762</v>
      </c>
      <c r="L538" t="s">
        <v>67</v>
      </c>
    </row>
    <row r="539" spans="6:12" x14ac:dyDescent="0.25">
      <c r="F539">
        <v>21</v>
      </c>
      <c r="G539" t="s">
        <v>93</v>
      </c>
      <c r="H539" t="s">
        <v>16</v>
      </c>
      <c r="I539" t="s">
        <v>763</v>
      </c>
      <c r="J539" t="s">
        <v>764</v>
      </c>
      <c r="L539" t="s">
        <v>67</v>
      </c>
    </row>
    <row r="540" spans="6:12" x14ac:dyDescent="0.25">
      <c r="F540">
        <v>22</v>
      </c>
      <c r="G540" t="s">
        <v>95</v>
      </c>
      <c r="H540" t="s">
        <v>16</v>
      </c>
      <c r="I540" t="s">
        <v>763</v>
      </c>
      <c r="J540" t="s">
        <v>764</v>
      </c>
      <c r="L540" t="s">
        <v>67</v>
      </c>
    </row>
    <row r="541" spans="6:12" x14ac:dyDescent="0.25">
      <c r="F541">
        <v>23</v>
      </c>
      <c r="G541" t="s">
        <v>96</v>
      </c>
      <c r="H541" t="s">
        <v>16</v>
      </c>
      <c r="I541" t="s">
        <v>79</v>
      </c>
      <c r="J541" t="s">
        <v>765</v>
      </c>
      <c r="L541" t="s">
        <v>67</v>
      </c>
    </row>
    <row r="542" spans="6:12" x14ac:dyDescent="0.25">
      <c r="F542">
        <v>24</v>
      </c>
      <c r="G542" t="s">
        <v>97</v>
      </c>
      <c r="H542" t="s">
        <v>16</v>
      </c>
      <c r="I542" t="s">
        <v>556</v>
      </c>
      <c r="J542" t="s">
        <v>557</v>
      </c>
      <c r="L542" t="s">
        <v>67</v>
      </c>
    </row>
    <row r="543" spans="6:12" x14ac:dyDescent="0.25">
      <c r="F543">
        <v>25</v>
      </c>
      <c r="G543" t="s">
        <v>99</v>
      </c>
      <c r="H543" t="s">
        <v>16</v>
      </c>
      <c r="I543" t="s">
        <v>766</v>
      </c>
      <c r="J543" t="s">
        <v>767</v>
      </c>
      <c r="L543" t="s">
        <v>67</v>
      </c>
    </row>
    <row r="544" spans="6:12" x14ac:dyDescent="0.25">
      <c r="F544">
        <v>26</v>
      </c>
      <c r="G544" t="s">
        <v>100</v>
      </c>
      <c r="H544" t="s">
        <v>16</v>
      </c>
      <c r="I544" t="s">
        <v>766</v>
      </c>
      <c r="J544" t="s">
        <v>767</v>
      </c>
      <c r="L544" t="s">
        <v>67</v>
      </c>
    </row>
    <row r="545" spans="2:12" x14ac:dyDescent="0.25">
      <c r="F545">
        <v>27</v>
      </c>
      <c r="G545" t="s">
        <v>101</v>
      </c>
      <c r="H545" t="s">
        <v>16</v>
      </c>
      <c r="I545" t="s">
        <v>79</v>
      </c>
      <c r="J545" t="s">
        <v>350</v>
      </c>
      <c r="L545" t="s">
        <v>67</v>
      </c>
    </row>
    <row r="546" spans="2:12" x14ac:dyDescent="0.25">
      <c r="F546">
        <v>28</v>
      </c>
      <c r="G546" t="s">
        <v>103</v>
      </c>
      <c r="H546" t="s">
        <v>16</v>
      </c>
      <c r="I546" t="s">
        <v>768</v>
      </c>
      <c r="J546" t="s">
        <v>769</v>
      </c>
      <c r="L546" t="s">
        <v>67</v>
      </c>
    </row>
    <row r="547" spans="2:12" x14ac:dyDescent="0.25">
      <c r="F547">
        <v>29</v>
      </c>
      <c r="G547" t="s">
        <v>104</v>
      </c>
      <c r="H547" t="s">
        <v>16</v>
      </c>
      <c r="I547" t="s">
        <v>715</v>
      </c>
      <c r="J547" t="s">
        <v>770</v>
      </c>
      <c r="L547" t="s">
        <v>67</v>
      </c>
    </row>
    <row r="548" spans="2:12" x14ac:dyDescent="0.25">
      <c r="F548">
        <v>30</v>
      </c>
      <c r="G548" t="s">
        <v>106</v>
      </c>
      <c r="H548" t="s">
        <v>16</v>
      </c>
      <c r="I548" t="s">
        <v>346</v>
      </c>
      <c r="J548" t="s">
        <v>347</v>
      </c>
      <c r="L548" t="s">
        <v>67</v>
      </c>
    </row>
    <row r="549" spans="2:12" x14ac:dyDescent="0.25">
      <c r="F549">
        <v>31</v>
      </c>
      <c r="G549" t="s">
        <v>107</v>
      </c>
      <c r="H549" t="s">
        <v>16</v>
      </c>
      <c r="I549" t="s">
        <v>355</v>
      </c>
      <c r="J549" t="s">
        <v>347</v>
      </c>
      <c r="L549" t="s">
        <v>67</v>
      </c>
    </row>
    <row r="550" spans="2:12" x14ac:dyDescent="0.25">
      <c r="F550">
        <v>32</v>
      </c>
      <c r="G550" t="s">
        <v>108</v>
      </c>
      <c r="H550" t="s">
        <v>39</v>
      </c>
      <c r="I550" t="s">
        <v>323</v>
      </c>
      <c r="J550" t="s">
        <v>771</v>
      </c>
      <c r="L550" t="s">
        <v>67</v>
      </c>
    </row>
    <row r="551" spans="2:12" x14ac:dyDescent="0.25">
      <c r="F551">
        <v>33</v>
      </c>
      <c r="G551" t="s">
        <v>109</v>
      </c>
      <c r="H551" t="s">
        <v>16</v>
      </c>
      <c r="I551" t="s">
        <v>715</v>
      </c>
      <c r="J551" t="s">
        <v>770</v>
      </c>
      <c r="L551" t="s">
        <v>67</v>
      </c>
    </row>
    <row r="552" spans="2:12" x14ac:dyDescent="0.25">
      <c r="F552">
        <v>34</v>
      </c>
      <c r="G552" t="s">
        <v>110</v>
      </c>
      <c r="H552" t="s">
        <v>16</v>
      </c>
      <c r="I552" t="s">
        <v>79</v>
      </c>
      <c r="J552" t="s">
        <v>446</v>
      </c>
      <c r="L552" t="s">
        <v>67</v>
      </c>
    </row>
    <row r="553" spans="2:12" x14ac:dyDescent="0.25">
      <c r="F553">
        <v>35</v>
      </c>
      <c r="G553" t="s">
        <v>111</v>
      </c>
      <c r="H553" t="s">
        <v>16</v>
      </c>
      <c r="I553" t="s">
        <v>772</v>
      </c>
      <c r="J553" t="s">
        <v>773</v>
      </c>
      <c r="L553" t="s">
        <v>67</v>
      </c>
    </row>
    <row r="554" spans="2:12" x14ac:dyDescent="0.25">
      <c r="F554">
        <v>36</v>
      </c>
      <c r="G554" t="s">
        <v>112</v>
      </c>
      <c r="H554" t="s">
        <v>16</v>
      </c>
      <c r="I554" t="s">
        <v>772</v>
      </c>
      <c r="J554" t="s">
        <v>773</v>
      </c>
      <c r="L554" t="s">
        <v>67</v>
      </c>
    </row>
    <row r="555" spans="2:12" x14ac:dyDescent="0.25">
      <c r="F555">
        <v>37</v>
      </c>
      <c r="G555" t="s">
        <v>113</v>
      </c>
      <c r="H555" t="s">
        <v>16</v>
      </c>
      <c r="I555" t="s">
        <v>774</v>
      </c>
      <c r="J555" t="s">
        <v>775</v>
      </c>
      <c r="L555" t="s">
        <v>67</v>
      </c>
    </row>
    <row r="556" spans="2:12" x14ac:dyDescent="0.25">
      <c r="B556" t="s">
        <v>776</v>
      </c>
      <c r="C556" t="s">
        <v>120</v>
      </c>
      <c r="D556" t="s">
        <v>193</v>
      </c>
      <c r="E556" t="s">
        <v>194</v>
      </c>
      <c r="F556">
        <v>2</v>
      </c>
      <c r="G556" t="s">
        <v>69</v>
      </c>
      <c r="H556" t="s">
        <v>16</v>
      </c>
      <c r="I556" t="s">
        <v>777</v>
      </c>
      <c r="J556" t="s">
        <v>778</v>
      </c>
    </row>
    <row r="557" spans="2:12" x14ac:dyDescent="0.25">
      <c r="F557">
        <v>3</v>
      </c>
      <c r="G557" t="s">
        <v>70</v>
      </c>
      <c r="H557" t="s">
        <v>39</v>
      </c>
      <c r="I557" t="s">
        <v>777</v>
      </c>
      <c r="J557" t="s">
        <v>779</v>
      </c>
      <c r="L557" t="s">
        <v>67</v>
      </c>
    </row>
    <row r="558" spans="2:12" x14ac:dyDescent="0.25">
      <c r="F558">
        <v>4</v>
      </c>
      <c r="G558" t="s">
        <v>71</v>
      </c>
      <c r="H558" t="s">
        <v>16</v>
      </c>
      <c r="I558" t="s">
        <v>780</v>
      </c>
      <c r="J558" t="s">
        <v>781</v>
      </c>
    </row>
    <row r="559" spans="2:12" x14ac:dyDescent="0.25">
      <c r="F559">
        <v>5</v>
      </c>
      <c r="G559" t="s">
        <v>73</v>
      </c>
      <c r="H559" t="s">
        <v>16</v>
      </c>
      <c r="I559" t="s">
        <v>782</v>
      </c>
      <c r="J559" t="s">
        <v>428</v>
      </c>
      <c r="L559" t="s">
        <v>67</v>
      </c>
    </row>
    <row r="560" spans="2:12" x14ac:dyDescent="0.25">
      <c r="F560">
        <v>6</v>
      </c>
      <c r="G560" t="s">
        <v>74</v>
      </c>
      <c r="H560" t="s">
        <v>16</v>
      </c>
      <c r="I560" t="s">
        <v>783</v>
      </c>
      <c r="J560" t="s">
        <v>784</v>
      </c>
      <c r="L560" t="s">
        <v>67</v>
      </c>
    </row>
    <row r="561" spans="6:12" x14ac:dyDescent="0.25">
      <c r="F561">
        <v>7</v>
      </c>
      <c r="G561" t="s">
        <v>75</v>
      </c>
      <c r="H561" t="s">
        <v>39</v>
      </c>
      <c r="I561" t="s">
        <v>785</v>
      </c>
      <c r="J561" t="s">
        <v>786</v>
      </c>
      <c r="L561" t="s">
        <v>67</v>
      </c>
    </row>
    <row r="562" spans="6:12" x14ac:dyDescent="0.25">
      <c r="F562">
        <v>8</v>
      </c>
      <c r="G562" t="s">
        <v>76</v>
      </c>
      <c r="H562" t="s">
        <v>16</v>
      </c>
      <c r="I562" t="s">
        <v>374</v>
      </c>
      <c r="J562" t="s">
        <v>375</v>
      </c>
      <c r="L562" t="s">
        <v>67</v>
      </c>
    </row>
    <row r="563" spans="6:12" x14ac:dyDescent="0.25">
      <c r="F563">
        <v>9</v>
      </c>
      <c r="G563" t="s">
        <v>78</v>
      </c>
      <c r="H563" t="s">
        <v>16</v>
      </c>
      <c r="I563" t="s">
        <v>79</v>
      </c>
      <c r="J563" t="s">
        <v>787</v>
      </c>
      <c r="L563" t="s">
        <v>67</v>
      </c>
    </row>
    <row r="564" spans="6:12" x14ac:dyDescent="0.25">
      <c r="F564">
        <v>10</v>
      </c>
      <c r="G564" t="s">
        <v>80</v>
      </c>
      <c r="H564" t="s">
        <v>16</v>
      </c>
      <c r="I564" t="s">
        <v>79</v>
      </c>
      <c r="J564" t="s">
        <v>331</v>
      </c>
      <c r="L564" t="s">
        <v>67</v>
      </c>
    </row>
    <row r="565" spans="6:12" x14ac:dyDescent="0.25">
      <c r="F565">
        <v>11</v>
      </c>
      <c r="G565" t="s">
        <v>81</v>
      </c>
      <c r="H565" t="s">
        <v>16</v>
      </c>
      <c r="I565" t="s">
        <v>332</v>
      </c>
      <c r="J565" t="s">
        <v>333</v>
      </c>
      <c r="L565" t="s">
        <v>67</v>
      </c>
    </row>
    <row r="566" spans="6:12" x14ac:dyDescent="0.25">
      <c r="F566">
        <v>12</v>
      </c>
      <c r="G566" t="s">
        <v>82</v>
      </c>
      <c r="H566" t="s">
        <v>16</v>
      </c>
      <c r="I566" t="s">
        <v>788</v>
      </c>
      <c r="J566" t="s">
        <v>789</v>
      </c>
      <c r="L566" t="s">
        <v>67</v>
      </c>
    </row>
    <row r="567" spans="6:12" x14ac:dyDescent="0.25">
      <c r="F567">
        <v>13</v>
      </c>
      <c r="G567" t="s">
        <v>84</v>
      </c>
      <c r="H567" t="s">
        <v>16</v>
      </c>
      <c r="I567" t="s">
        <v>756</v>
      </c>
      <c r="J567" t="s">
        <v>757</v>
      </c>
      <c r="L567" t="s">
        <v>67</v>
      </c>
    </row>
    <row r="568" spans="6:12" x14ac:dyDescent="0.25">
      <c r="F568">
        <v>19</v>
      </c>
      <c r="G568" t="s">
        <v>91</v>
      </c>
      <c r="H568" t="s">
        <v>16</v>
      </c>
      <c r="I568" t="s">
        <v>79</v>
      </c>
      <c r="J568" t="s">
        <v>760</v>
      </c>
      <c r="L568" t="s">
        <v>67</v>
      </c>
    </row>
    <row r="569" spans="6:12" x14ac:dyDescent="0.25">
      <c r="F569">
        <v>21</v>
      </c>
      <c r="G569" t="s">
        <v>93</v>
      </c>
      <c r="H569" t="s">
        <v>16</v>
      </c>
      <c r="I569" t="s">
        <v>790</v>
      </c>
      <c r="J569" t="s">
        <v>791</v>
      </c>
      <c r="L569" t="s">
        <v>67</v>
      </c>
    </row>
    <row r="570" spans="6:12" x14ac:dyDescent="0.25">
      <c r="F570">
        <v>22</v>
      </c>
      <c r="G570" t="s">
        <v>95</v>
      </c>
      <c r="H570" t="s">
        <v>16</v>
      </c>
      <c r="I570" t="s">
        <v>792</v>
      </c>
      <c r="J570" t="s">
        <v>793</v>
      </c>
      <c r="L570" t="s">
        <v>67</v>
      </c>
    </row>
    <row r="571" spans="6:12" x14ac:dyDescent="0.25">
      <c r="F571">
        <v>23</v>
      </c>
      <c r="G571" t="s">
        <v>96</v>
      </c>
      <c r="H571" t="s">
        <v>16</v>
      </c>
      <c r="I571" t="s">
        <v>79</v>
      </c>
      <c r="J571" t="s">
        <v>794</v>
      </c>
      <c r="L571" t="s">
        <v>67</v>
      </c>
    </row>
    <row r="572" spans="6:12" x14ac:dyDescent="0.25">
      <c r="F572">
        <v>24</v>
      </c>
      <c r="G572" t="s">
        <v>97</v>
      </c>
      <c r="H572" t="s">
        <v>16</v>
      </c>
      <c r="I572" t="s">
        <v>795</v>
      </c>
      <c r="J572" t="s">
        <v>683</v>
      </c>
      <c r="L572" t="s">
        <v>67</v>
      </c>
    </row>
    <row r="573" spans="6:12" x14ac:dyDescent="0.25">
      <c r="F573">
        <v>27</v>
      </c>
      <c r="G573" t="s">
        <v>101</v>
      </c>
      <c r="H573" t="s">
        <v>16</v>
      </c>
      <c r="I573" t="s">
        <v>79</v>
      </c>
      <c r="J573" t="s">
        <v>350</v>
      </c>
      <c r="L573" t="s">
        <v>67</v>
      </c>
    </row>
    <row r="574" spans="6:12" x14ac:dyDescent="0.25">
      <c r="F574">
        <v>28</v>
      </c>
      <c r="G574" t="s">
        <v>103</v>
      </c>
      <c r="H574" t="s">
        <v>16</v>
      </c>
      <c r="I574" t="s">
        <v>523</v>
      </c>
      <c r="J574" t="s">
        <v>513</v>
      </c>
      <c r="L574" t="s">
        <v>67</v>
      </c>
    </row>
    <row r="575" spans="6:12" x14ac:dyDescent="0.25">
      <c r="F575">
        <v>29</v>
      </c>
      <c r="G575" t="s">
        <v>104</v>
      </c>
      <c r="H575" t="s">
        <v>16</v>
      </c>
      <c r="I575" t="s">
        <v>358</v>
      </c>
      <c r="J575" t="s">
        <v>359</v>
      </c>
      <c r="L575" t="s">
        <v>67</v>
      </c>
    </row>
    <row r="576" spans="6:12" x14ac:dyDescent="0.25">
      <c r="F576">
        <v>30</v>
      </c>
      <c r="G576" t="s">
        <v>106</v>
      </c>
      <c r="H576" t="s">
        <v>16</v>
      </c>
      <c r="I576" t="s">
        <v>795</v>
      </c>
      <c r="J576" t="s">
        <v>683</v>
      </c>
      <c r="L576" t="s">
        <v>67</v>
      </c>
    </row>
    <row r="577" spans="2:12" x14ac:dyDescent="0.25">
      <c r="F577">
        <v>31</v>
      </c>
      <c r="G577" t="s">
        <v>107</v>
      </c>
      <c r="H577" t="s">
        <v>16</v>
      </c>
      <c r="I577" t="s">
        <v>796</v>
      </c>
      <c r="J577" t="s">
        <v>338</v>
      </c>
      <c r="L577" t="s">
        <v>67</v>
      </c>
    </row>
    <row r="578" spans="2:12" x14ac:dyDescent="0.25">
      <c r="F578">
        <v>32</v>
      </c>
      <c r="G578" t="s">
        <v>108</v>
      </c>
      <c r="H578" t="s">
        <v>16</v>
      </c>
      <c r="I578" t="s">
        <v>797</v>
      </c>
      <c r="J578" t="s">
        <v>798</v>
      </c>
      <c r="L578" t="s">
        <v>67</v>
      </c>
    </row>
    <row r="579" spans="2:12" x14ac:dyDescent="0.25">
      <c r="F579">
        <v>33</v>
      </c>
      <c r="G579" t="s">
        <v>109</v>
      </c>
      <c r="H579" t="s">
        <v>16</v>
      </c>
      <c r="I579" t="s">
        <v>358</v>
      </c>
      <c r="J579" t="s">
        <v>359</v>
      </c>
      <c r="L579" t="s">
        <v>67</v>
      </c>
    </row>
    <row r="580" spans="2:12" x14ac:dyDescent="0.25">
      <c r="F580">
        <v>34</v>
      </c>
      <c r="G580" t="s">
        <v>110</v>
      </c>
      <c r="H580" t="s">
        <v>16</v>
      </c>
      <c r="I580" t="s">
        <v>79</v>
      </c>
      <c r="J580" t="s">
        <v>338</v>
      </c>
      <c r="L580" t="s">
        <v>67</v>
      </c>
    </row>
    <row r="581" spans="2:12" x14ac:dyDescent="0.25">
      <c r="F581">
        <v>35</v>
      </c>
      <c r="G581" t="s">
        <v>111</v>
      </c>
      <c r="H581" t="s">
        <v>16</v>
      </c>
      <c r="I581" t="s">
        <v>314</v>
      </c>
      <c r="J581" t="s">
        <v>315</v>
      </c>
      <c r="L581" t="s">
        <v>67</v>
      </c>
    </row>
    <row r="582" spans="2:12" x14ac:dyDescent="0.25">
      <c r="F582">
        <v>36</v>
      </c>
      <c r="G582" t="s">
        <v>112</v>
      </c>
      <c r="H582" t="s">
        <v>16</v>
      </c>
      <c r="I582" t="s">
        <v>774</v>
      </c>
      <c r="J582" t="s">
        <v>775</v>
      </c>
      <c r="L582" t="s">
        <v>67</v>
      </c>
    </row>
    <row r="583" spans="2:12" x14ac:dyDescent="0.25">
      <c r="F583">
        <v>37</v>
      </c>
      <c r="G583" t="s">
        <v>113</v>
      </c>
      <c r="H583" t="s">
        <v>16</v>
      </c>
      <c r="I583" t="s">
        <v>314</v>
      </c>
      <c r="J583" t="s">
        <v>315</v>
      </c>
      <c r="L583" t="s">
        <v>67</v>
      </c>
    </row>
    <row r="584" spans="2:12" x14ac:dyDescent="0.25">
      <c r="F584">
        <v>38</v>
      </c>
      <c r="G584" t="s">
        <v>121</v>
      </c>
      <c r="H584" t="s">
        <v>39</v>
      </c>
      <c r="I584" t="s">
        <v>777</v>
      </c>
      <c r="J584" t="s">
        <v>778</v>
      </c>
    </row>
    <row r="585" spans="2:12" x14ac:dyDescent="0.25">
      <c r="F585">
        <v>39</v>
      </c>
      <c r="G585" t="s">
        <v>124</v>
      </c>
      <c r="H585" t="s">
        <v>18</v>
      </c>
    </row>
    <row r="586" spans="2:12" x14ac:dyDescent="0.25">
      <c r="B586" t="s">
        <v>799</v>
      </c>
      <c r="C586" t="s">
        <v>130</v>
      </c>
      <c r="D586" t="s">
        <v>196</v>
      </c>
      <c r="E586" t="s">
        <v>197</v>
      </c>
      <c r="F586">
        <v>2</v>
      </c>
      <c r="G586" t="s">
        <v>69</v>
      </c>
      <c r="H586" t="s">
        <v>16</v>
      </c>
      <c r="I586" t="s">
        <v>800</v>
      </c>
      <c r="J586" t="s">
        <v>669</v>
      </c>
      <c r="L586" t="s">
        <v>67</v>
      </c>
    </row>
    <row r="587" spans="2:12" x14ac:dyDescent="0.25">
      <c r="F587">
        <v>3</v>
      </c>
      <c r="G587" t="s">
        <v>70</v>
      </c>
      <c r="H587" t="s">
        <v>16</v>
      </c>
      <c r="I587" t="s">
        <v>801</v>
      </c>
      <c r="J587" t="s">
        <v>802</v>
      </c>
      <c r="L587" t="s">
        <v>67</v>
      </c>
    </row>
    <row r="588" spans="2:12" x14ac:dyDescent="0.25">
      <c r="F588">
        <v>4</v>
      </c>
      <c r="G588" t="s">
        <v>71</v>
      </c>
      <c r="H588" t="s">
        <v>16</v>
      </c>
      <c r="I588" t="s">
        <v>803</v>
      </c>
      <c r="J588" t="s">
        <v>669</v>
      </c>
      <c r="L588" t="s">
        <v>67</v>
      </c>
    </row>
    <row r="589" spans="2:12" x14ac:dyDescent="0.25">
      <c r="F589">
        <v>5</v>
      </c>
      <c r="G589" t="s">
        <v>73</v>
      </c>
      <c r="H589" t="s">
        <v>16</v>
      </c>
      <c r="I589" t="s">
        <v>804</v>
      </c>
      <c r="J589" t="s">
        <v>805</v>
      </c>
      <c r="L589" t="s">
        <v>67</v>
      </c>
    </row>
    <row r="590" spans="2:12" x14ac:dyDescent="0.25">
      <c r="F590">
        <v>6</v>
      </c>
      <c r="G590" t="s">
        <v>74</v>
      </c>
      <c r="H590" t="s">
        <v>16</v>
      </c>
      <c r="I590" t="s">
        <v>806</v>
      </c>
      <c r="J590" t="s">
        <v>807</v>
      </c>
      <c r="L590" t="s">
        <v>67</v>
      </c>
    </row>
    <row r="591" spans="2:12" x14ac:dyDescent="0.25">
      <c r="F591">
        <v>7</v>
      </c>
      <c r="G591" t="s">
        <v>75</v>
      </c>
      <c r="H591" t="s">
        <v>39</v>
      </c>
      <c r="I591" t="s">
        <v>326</v>
      </c>
      <c r="J591" t="s">
        <v>417</v>
      </c>
      <c r="L591" t="s">
        <v>67</v>
      </c>
    </row>
    <row r="592" spans="2:12" x14ac:dyDescent="0.25">
      <c r="F592">
        <v>8</v>
      </c>
      <c r="G592" t="s">
        <v>76</v>
      </c>
      <c r="H592" t="s">
        <v>16</v>
      </c>
      <c r="I592" t="s">
        <v>808</v>
      </c>
      <c r="J592" t="s">
        <v>809</v>
      </c>
      <c r="L592" t="s">
        <v>67</v>
      </c>
    </row>
    <row r="593" spans="6:12" x14ac:dyDescent="0.25">
      <c r="F593">
        <v>9</v>
      </c>
      <c r="G593" t="s">
        <v>78</v>
      </c>
      <c r="H593" t="s">
        <v>16</v>
      </c>
      <c r="I593" t="s">
        <v>79</v>
      </c>
      <c r="J593" t="s">
        <v>810</v>
      </c>
      <c r="L593" t="s">
        <v>67</v>
      </c>
    </row>
    <row r="594" spans="6:12" x14ac:dyDescent="0.25">
      <c r="F594">
        <v>10</v>
      </c>
      <c r="G594" t="s">
        <v>80</v>
      </c>
      <c r="H594" t="s">
        <v>16</v>
      </c>
      <c r="I594" t="s">
        <v>79</v>
      </c>
      <c r="J594" t="s">
        <v>811</v>
      </c>
      <c r="L594" t="s">
        <v>67</v>
      </c>
    </row>
    <row r="595" spans="6:12" x14ac:dyDescent="0.25">
      <c r="F595">
        <v>11</v>
      </c>
      <c r="G595" t="s">
        <v>81</v>
      </c>
      <c r="H595" t="s">
        <v>16</v>
      </c>
      <c r="I595" t="s">
        <v>499</v>
      </c>
      <c r="J595" t="s">
        <v>500</v>
      </c>
      <c r="L595" t="s">
        <v>67</v>
      </c>
    </row>
    <row r="596" spans="6:12" x14ac:dyDescent="0.25">
      <c r="F596">
        <v>12</v>
      </c>
      <c r="G596" t="s">
        <v>82</v>
      </c>
      <c r="H596" t="s">
        <v>16</v>
      </c>
      <c r="I596" t="s">
        <v>772</v>
      </c>
      <c r="J596" t="s">
        <v>773</v>
      </c>
      <c r="L596" t="s">
        <v>67</v>
      </c>
    </row>
    <row r="597" spans="6:12" x14ac:dyDescent="0.25">
      <c r="F597">
        <v>13</v>
      </c>
      <c r="G597" t="s">
        <v>84</v>
      </c>
      <c r="H597" t="s">
        <v>16</v>
      </c>
      <c r="I597" t="s">
        <v>743</v>
      </c>
      <c r="J597" t="s">
        <v>744</v>
      </c>
      <c r="L597" t="s">
        <v>67</v>
      </c>
    </row>
    <row r="598" spans="6:12" x14ac:dyDescent="0.25">
      <c r="F598">
        <v>19</v>
      </c>
      <c r="G598" t="s">
        <v>91</v>
      </c>
      <c r="H598" t="s">
        <v>16</v>
      </c>
      <c r="I598" t="s">
        <v>79</v>
      </c>
      <c r="J598" t="s">
        <v>725</v>
      </c>
      <c r="L598" t="s">
        <v>67</v>
      </c>
    </row>
    <row r="599" spans="6:12" x14ac:dyDescent="0.25">
      <c r="F599">
        <v>21</v>
      </c>
      <c r="G599" t="s">
        <v>93</v>
      </c>
      <c r="H599" t="s">
        <v>16</v>
      </c>
      <c r="I599" t="s">
        <v>727</v>
      </c>
      <c r="J599" t="s">
        <v>728</v>
      </c>
      <c r="L599" t="s">
        <v>67</v>
      </c>
    </row>
    <row r="600" spans="6:12" x14ac:dyDescent="0.25">
      <c r="F600">
        <v>22</v>
      </c>
      <c r="G600" t="s">
        <v>95</v>
      </c>
      <c r="H600" t="s">
        <v>16</v>
      </c>
      <c r="I600" t="s">
        <v>727</v>
      </c>
      <c r="J600" t="s">
        <v>728</v>
      </c>
      <c r="L600" t="s">
        <v>67</v>
      </c>
    </row>
    <row r="601" spans="6:12" x14ac:dyDescent="0.25">
      <c r="F601">
        <v>23</v>
      </c>
      <c r="G601" t="s">
        <v>96</v>
      </c>
      <c r="H601" t="s">
        <v>16</v>
      </c>
      <c r="I601" t="s">
        <v>79</v>
      </c>
      <c r="J601" t="s">
        <v>721</v>
      </c>
      <c r="L601" t="s">
        <v>67</v>
      </c>
    </row>
    <row r="602" spans="6:12" x14ac:dyDescent="0.25">
      <c r="F602">
        <v>24</v>
      </c>
      <c r="G602" t="s">
        <v>97</v>
      </c>
      <c r="H602" t="s">
        <v>16</v>
      </c>
      <c r="I602" t="s">
        <v>812</v>
      </c>
      <c r="J602" t="s">
        <v>813</v>
      </c>
      <c r="L602" t="s">
        <v>67</v>
      </c>
    </row>
    <row r="603" spans="6:12" x14ac:dyDescent="0.25">
      <c r="F603">
        <v>27</v>
      </c>
      <c r="G603" t="s">
        <v>101</v>
      </c>
      <c r="H603" t="s">
        <v>16</v>
      </c>
      <c r="I603" t="s">
        <v>79</v>
      </c>
      <c r="J603" t="s">
        <v>350</v>
      </c>
      <c r="L603" t="s">
        <v>67</v>
      </c>
    </row>
    <row r="604" spans="6:12" x14ac:dyDescent="0.25">
      <c r="F604">
        <v>28</v>
      </c>
      <c r="G604" t="s">
        <v>103</v>
      </c>
      <c r="H604" t="s">
        <v>16</v>
      </c>
      <c r="I604" t="s">
        <v>814</v>
      </c>
      <c r="J604" t="s">
        <v>815</v>
      </c>
      <c r="L604" t="s">
        <v>67</v>
      </c>
    </row>
    <row r="605" spans="6:12" x14ac:dyDescent="0.25">
      <c r="F605">
        <v>29</v>
      </c>
      <c r="G605" t="s">
        <v>104</v>
      </c>
      <c r="H605" t="s">
        <v>16</v>
      </c>
      <c r="I605" t="s">
        <v>816</v>
      </c>
      <c r="J605" t="s">
        <v>817</v>
      </c>
      <c r="L605" t="s">
        <v>67</v>
      </c>
    </row>
    <row r="606" spans="6:12" x14ac:dyDescent="0.25">
      <c r="F606">
        <v>30</v>
      </c>
      <c r="G606" t="s">
        <v>106</v>
      </c>
      <c r="H606" t="s">
        <v>16</v>
      </c>
      <c r="I606" t="s">
        <v>812</v>
      </c>
      <c r="J606" t="s">
        <v>813</v>
      </c>
      <c r="L606" t="s">
        <v>67</v>
      </c>
    </row>
    <row r="607" spans="6:12" x14ac:dyDescent="0.25">
      <c r="F607">
        <v>31</v>
      </c>
      <c r="G607" t="s">
        <v>107</v>
      </c>
      <c r="H607" t="s">
        <v>16</v>
      </c>
      <c r="I607" t="s">
        <v>384</v>
      </c>
      <c r="J607" t="s">
        <v>813</v>
      </c>
      <c r="L607" t="s">
        <v>67</v>
      </c>
    </row>
    <row r="608" spans="6:12" x14ac:dyDescent="0.25">
      <c r="F608">
        <v>32</v>
      </c>
      <c r="G608" t="s">
        <v>108</v>
      </c>
      <c r="H608" t="s">
        <v>16</v>
      </c>
      <c r="I608" t="s">
        <v>477</v>
      </c>
      <c r="J608" t="s">
        <v>478</v>
      </c>
      <c r="L608" t="s">
        <v>67</v>
      </c>
    </row>
    <row r="609" spans="2:12" x14ac:dyDescent="0.25">
      <c r="F609">
        <v>33</v>
      </c>
      <c r="G609" t="s">
        <v>109</v>
      </c>
      <c r="H609" t="s">
        <v>16</v>
      </c>
      <c r="I609" t="s">
        <v>727</v>
      </c>
      <c r="J609" t="s">
        <v>728</v>
      </c>
      <c r="L609" t="s">
        <v>67</v>
      </c>
    </row>
    <row r="610" spans="2:12" x14ac:dyDescent="0.25">
      <c r="F610">
        <v>34</v>
      </c>
      <c r="G610" t="s">
        <v>110</v>
      </c>
      <c r="H610" t="s">
        <v>16</v>
      </c>
      <c r="I610" t="s">
        <v>79</v>
      </c>
      <c r="J610" t="s">
        <v>813</v>
      </c>
      <c r="L610" t="s">
        <v>67</v>
      </c>
    </row>
    <row r="611" spans="2:12" x14ac:dyDescent="0.25">
      <c r="F611">
        <v>35</v>
      </c>
      <c r="G611" t="s">
        <v>111</v>
      </c>
      <c r="H611" t="s">
        <v>16</v>
      </c>
      <c r="I611" t="s">
        <v>818</v>
      </c>
      <c r="J611" t="s">
        <v>819</v>
      </c>
      <c r="L611" t="s">
        <v>67</v>
      </c>
    </row>
    <row r="612" spans="2:12" x14ac:dyDescent="0.25">
      <c r="F612">
        <v>36</v>
      </c>
      <c r="G612" t="s">
        <v>112</v>
      </c>
      <c r="H612" t="s">
        <v>16</v>
      </c>
      <c r="I612" t="s">
        <v>434</v>
      </c>
      <c r="J612" t="s">
        <v>435</v>
      </c>
      <c r="L612" t="s">
        <v>67</v>
      </c>
    </row>
    <row r="613" spans="2:12" x14ac:dyDescent="0.25">
      <c r="F613">
        <v>37</v>
      </c>
      <c r="G613" t="s">
        <v>113</v>
      </c>
      <c r="H613" t="s">
        <v>16</v>
      </c>
      <c r="I613" t="s">
        <v>434</v>
      </c>
      <c r="J613" t="s">
        <v>435</v>
      </c>
      <c r="L613" t="s">
        <v>67</v>
      </c>
    </row>
    <row r="614" spans="2:12" x14ac:dyDescent="0.25">
      <c r="F614">
        <v>39</v>
      </c>
      <c r="G614" t="s">
        <v>124</v>
      </c>
      <c r="H614" t="s">
        <v>18</v>
      </c>
    </row>
    <row r="615" spans="2:12" x14ac:dyDescent="0.25">
      <c r="F615">
        <v>40</v>
      </c>
      <c r="G615" t="s">
        <v>129</v>
      </c>
      <c r="H615" t="s">
        <v>16</v>
      </c>
      <c r="I615" t="s">
        <v>820</v>
      </c>
      <c r="J615" t="s">
        <v>821</v>
      </c>
      <c r="L615" t="s">
        <v>67</v>
      </c>
    </row>
    <row r="616" spans="2:12" x14ac:dyDescent="0.25">
      <c r="F616">
        <v>41</v>
      </c>
      <c r="G616" t="s">
        <v>131</v>
      </c>
      <c r="H616" t="s">
        <v>16</v>
      </c>
      <c r="I616" t="s">
        <v>800</v>
      </c>
      <c r="J616" t="s">
        <v>669</v>
      </c>
    </row>
    <row r="617" spans="2:12" x14ac:dyDescent="0.25">
      <c r="F617">
        <v>42</v>
      </c>
      <c r="G617" t="s">
        <v>132</v>
      </c>
      <c r="H617" t="s">
        <v>16</v>
      </c>
      <c r="I617" t="s">
        <v>801</v>
      </c>
      <c r="J617" t="s">
        <v>802</v>
      </c>
    </row>
    <row r="618" spans="2:12" x14ac:dyDescent="0.25">
      <c r="F618">
        <v>43</v>
      </c>
      <c r="G618" t="s">
        <v>122</v>
      </c>
      <c r="H618" t="s">
        <v>16</v>
      </c>
      <c r="I618" t="s">
        <v>79</v>
      </c>
      <c r="J618" t="s">
        <v>822</v>
      </c>
      <c r="L618" t="s">
        <v>67</v>
      </c>
    </row>
    <row r="619" spans="2:12" x14ac:dyDescent="0.25">
      <c r="B619" t="s">
        <v>823</v>
      </c>
      <c r="C619" t="s">
        <v>137</v>
      </c>
      <c r="D619" t="s">
        <v>199</v>
      </c>
      <c r="E619" t="s">
        <v>200</v>
      </c>
      <c r="F619">
        <v>2</v>
      </c>
      <c r="G619" t="s">
        <v>69</v>
      </c>
      <c r="H619" t="s">
        <v>16</v>
      </c>
      <c r="I619" t="s">
        <v>824</v>
      </c>
      <c r="J619" t="s">
        <v>825</v>
      </c>
      <c r="L619" t="s">
        <v>67</v>
      </c>
    </row>
    <row r="620" spans="2:12" x14ac:dyDescent="0.25">
      <c r="F620">
        <v>4</v>
      </c>
      <c r="G620" t="s">
        <v>71</v>
      </c>
      <c r="H620" t="s">
        <v>18</v>
      </c>
    </row>
    <row r="621" spans="2:12" x14ac:dyDescent="0.25">
      <c r="F621">
        <v>5</v>
      </c>
      <c r="G621" t="s">
        <v>73</v>
      </c>
      <c r="H621" t="s">
        <v>16</v>
      </c>
      <c r="I621" t="s">
        <v>826</v>
      </c>
      <c r="J621" t="s">
        <v>827</v>
      </c>
      <c r="L621" t="s">
        <v>67</v>
      </c>
    </row>
    <row r="622" spans="2:12" x14ac:dyDescent="0.25">
      <c r="F622">
        <v>6</v>
      </c>
      <c r="G622" t="s">
        <v>74</v>
      </c>
      <c r="H622" t="s">
        <v>16</v>
      </c>
      <c r="I622" t="s">
        <v>828</v>
      </c>
      <c r="J622" t="s">
        <v>829</v>
      </c>
      <c r="L622" t="s">
        <v>67</v>
      </c>
    </row>
    <row r="623" spans="2:12" x14ac:dyDescent="0.25">
      <c r="F623">
        <v>7</v>
      </c>
      <c r="G623" t="s">
        <v>75</v>
      </c>
      <c r="H623" t="s">
        <v>18</v>
      </c>
    </row>
    <row r="624" spans="2:12" x14ac:dyDescent="0.25">
      <c r="F624">
        <v>8</v>
      </c>
      <c r="G624" t="s">
        <v>76</v>
      </c>
      <c r="H624" t="s">
        <v>16</v>
      </c>
      <c r="I624" t="s">
        <v>530</v>
      </c>
      <c r="J624" t="s">
        <v>531</v>
      </c>
      <c r="L624" t="s">
        <v>67</v>
      </c>
    </row>
    <row r="625" spans="6:12" x14ac:dyDescent="0.25">
      <c r="F625">
        <v>9</v>
      </c>
      <c r="G625" t="s">
        <v>78</v>
      </c>
      <c r="H625" t="s">
        <v>16</v>
      </c>
      <c r="I625" t="s">
        <v>79</v>
      </c>
      <c r="J625" t="s">
        <v>830</v>
      </c>
      <c r="L625" t="s">
        <v>67</v>
      </c>
    </row>
    <row r="626" spans="6:12" x14ac:dyDescent="0.25">
      <c r="F626">
        <v>10</v>
      </c>
      <c r="G626" t="s">
        <v>80</v>
      </c>
      <c r="H626" t="s">
        <v>16</v>
      </c>
      <c r="I626" t="s">
        <v>79</v>
      </c>
      <c r="J626" t="s">
        <v>831</v>
      </c>
      <c r="L626" t="s">
        <v>67</v>
      </c>
    </row>
    <row r="627" spans="6:12" x14ac:dyDescent="0.25">
      <c r="F627">
        <v>11</v>
      </c>
      <c r="G627" t="s">
        <v>81</v>
      </c>
      <c r="H627" t="s">
        <v>16</v>
      </c>
      <c r="I627" t="s">
        <v>314</v>
      </c>
      <c r="J627" t="s">
        <v>315</v>
      </c>
      <c r="L627" t="s">
        <v>67</v>
      </c>
    </row>
    <row r="628" spans="6:12" x14ac:dyDescent="0.25">
      <c r="F628">
        <v>12</v>
      </c>
      <c r="G628" t="s">
        <v>82</v>
      </c>
      <c r="H628" t="s">
        <v>16</v>
      </c>
      <c r="I628" t="s">
        <v>334</v>
      </c>
      <c r="J628" t="s">
        <v>335</v>
      </c>
      <c r="L628" t="s">
        <v>67</v>
      </c>
    </row>
    <row r="629" spans="6:12" x14ac:dyDescent="0.25">
      <c r="F629">
        <v>13</v>
      </c>
      <c r="G629" t="s">
        <v>84</v>
      </c>
      <c r="H629" t="s">
        <v>16</v>
      </c>
      <c r="I629" t="s">
        <v>832</v>
      </c>
      <c r="J629" t="s">
        <v>833</v>
      </c>
      <c r="L629" t="s">
        <v>67</v>
      </c>
    </row>
    <row r="630" spans="6:12" x14ac:dyDescent="0.25">
      <c r="F630">
        <v>21</v>
      </c>
      <c r="G630" t="s">
        <v>93</v>
      </c>
      <c r="H630" t="s">
        <v>16</v>
      </c>
      <c r="I630" t="s">
        <v>834</v>
      </c>
      <c r="J630" t="s">
        <v>835</v>
      </c>
      <c r="L630" t="s">
        <v>67</v>
      </c>
    </row>
    <row r="631" spans="6:12" x14ac:dyDescent="0.25">
      <c r="F631">
        <v>22</v>
      </c>
      <c r="G631" t="s">
        <v>95</v>
      </c>
      <c r="H631" t="s">
        <v>16</v>
      </c>
      <c r="I631" t="s">
        <v>836</v>
      </c>
      <c r="J631" t="s">
        <v>760</v>
      </c>
      <c r="L631" t="s">
        <v>67</v>
      </c>
    </row>
    <row r="632" spans="6:12" x14ac:dyDescent="0.25">
      <c r="F632">
        <v>23</v>
      </c>
      <c r="G632" t="s">
        <v>96</v>
      </c>
      <c r="H632" t="s">
        <v>16</v>
      </c>
      <c r="I632" t="s">
        <v>79</v>
      </c>
      <c r="J632" t="s">
        <v>444</v>
      </c>
      <c r="L632" t="s">
        <v>67</v>
      </c>
    </row>
    <row r="633" spans="6:12" x14ac:dyDescent="0.25">
      <c r="F633">
        <v>24</v>
      </c>
      <c r="G633" t="s">
        <v>97</v>
      </c>
      <c r="H633" t="s">
        <v>16</v>
      </c>
      <c r="I633" t="s">
        <v>837</v>
      </c>
      <c r="J633" t="s">
        <v>838</v>
      </c>
      <c r="L633" t="s">
        <v>67</v>
      </c>
    </row>
    <row r="634" spans="6:12" x14ac:dyDescent="0.25">
      <c r="F634">
        <v>27</v>
      </c>
      <c r="G634" t="s">
        <v>101</v>
      </c>
      <c r="H634" t="s">
        <v>16</v>
      </c>
      <c r="I634" t="s">
        <v>79</v>
      </c>
      <c r="J634" t="s">
        <v>839</v>
      </c>
      <c r="L634" t="s">
        <v>67</v>
      </c>
    </row>
    <row r="635" spans="6:12" x14ac:dyDescent="0.25">
      <c r="F635">
        <v>28</v>
      </c>
      <c r="G635" t="s">
        <v>103</v>
      </c>
      <c r="H635" t="s">
        <v>16</v>
      </c>
      <c r="I635" t="s">
        <v>840</v>
      </c>
      <c r="J635" t="s">
        <v>735</v>
      </c>
      <c r="L635" t="s">
        <v>67</v>
      </c>
    </row>
    <row r="636" spans="6:12" x14ac:dyDescent="0.25">
      <c r="F636">
        <v>29</v>
      </c>
      <c r="G636" t="s">
        <v>104</v>
      </c>
      <c r="H636" t="s">
        <v>16</v>
      </c>
      <c r="I636" t="s">
        <v>314</v>
      </c>
      <c r="J636" t="s">
        <v>315</v>
      </c>
      <c r="L636" t="s">
        <v>67</v>
      </c>
    </row>
    <row r="637" spans="6:12" x14ac:dyDescent="0.25">
      <c r="F637">
        <v>30</v>
      </c>
      <c r="G637" t="s">
        <v>106</v>
      </c>
      <c r="H637" t="s">
        <v>16</v>
      </c>
      <c r="I637" t="s">
        <v>837</v>
      </c>
      <c r="J637" t="s">
        <v>838</v>
      </c>
      <c r="L637" t="s">
        <v>67</v>
      </c>
    </row>
    <row r="638" spans="6:12" x14ac:dyDescent="0.25">
      <c r="F638">
        <v>31</v>
      </c>
      <c r="G638" t="s">
        <v>107</v>
      </c>
      <c r="H638" t="s">
        <v>16</v>
      </c>
      <c r="I638" t="s">
        <v>434</v>
      </c>
      <c r="J638" t="s">
        <v>838</v>
      </c>
      <c r="L638" t="s">
        <v>67</v>
      </c>
    </row>
    <row r="639" spans="6:12" x14ac:dyDescent="0.25">
      <c r="F639">
        <v>32</v>
      </c>
      <c r="G639" t="s">
        <v>108</v>
      </c>
      <c r="H639" t="s">
        <v>16</v>
      </c>
      <c r="I639" t="s">
        <v>841</v>
      </c>
      <c r="J639" t="s">
        <v>842</v>
      </c>
      <c r="L639" t="s">
        <v>67</v>
      </c>
    </row>
    <row r="640" spans="6:12" x14ac:dyDescent="0.25">
      <c r="F640">
        <v>33</v>
      </c>
      <c r="G640" t="s">
        <v>109</v>
      </c>
      <c r="H640" t="s">
        <v>16</v>
      </c>
      <c r="I640" t="s">
        <v>314</v>
      </c>
      <c r="J640" t="s">
        <v>315</v>
      </c>
      <c r="L640" t="s">
        <v>67</v>
      </c>
    </row>
    <row r="641" spans="2:12" x14ac:dyDescent="0.25">
      <c r="F641">
        <v>34</v>
      </c>
      <c r="G641" t="s">
        <v>110</v>
      </c>
      <c r="H641" t="s">
        <v>16</v>
      </c>
      <c r="I641" t="s">
        <v>79</v>
      </c>
      <c r="J641" t="s">
        <v>838</v>
      </c>
      <c r="L641" t="s">
        <v>67</v>
      </c>
    </row>
    <row r="642" spans="2:12" x14ac:dyDescent="0.25">
      <c r="F642">
        <v>35</v>
      </c>
      <c r="G642" t="s">
        <v>111</v>
      </c>
      <c r="H642" t="s">
        <v>16</v>
      </c>
      <c r="I642" t="s">
        <v>332</v>
      </c>
      <c r="J642" t="s">
        <v>333</v>
      </c>
      <c r="L642" t="s">
        <v>67</v>
      </c>
    </row>
    <row r="643" spans="2:12" x14ac:dyDescent="0.25">
      <c r="F643">
        <v>36</v>
      </c>
      <c r="G643" t="s">
        <v>112</v>
      </c>
      <c r="H643" t="s">
        <v>16</v>
      </c>
      <c r="I643" t="s">
        <v>332</v>
      </c>
      <c r="J643" t="s">
        <v>333</v>
      </c>
      <c r="L643" t="s">
        <v>67</v>
      </c>
    </row>
    <row r="644" spans="2:12" x14ac:dyDescent="0.25">
      <c r="F644">
        <v>37</v>
      </c>
      <c r="G644" t="s">
        <v>113</v>
      </c>
      <c r="H644" t="s">
        <v>16</v>
      </c>
      <c r="I644" t="s">
        <v>314</v>
      </c>
      <c r="J644" t="s">
        <v>315</v>
      </c>
      <c r="L644" t="s">
        <v>67</v>
      </c>
    </row>
    <row r="645" spans="2:12" x14ac:dyDescent="0.25">
      <c r="F645">
        <v>39</v>
      </c>
      <c r="G645" t="s">
        <v>124</v>
      </c>
      <c r="H645" t="s">
        <v>18</v>
      </c>
    </row>
    <row r="646" spans="2:12" x14ac:dyDescent="0.25">
      <c r="F646">
        <v>41</v>
      </c>
      <c r="G646" t="s">
        <v>131</v>
      </c>
      <c r="H646" t="s">
        <v>16</v>
      </c>
      <c r="I646" t="s">
        <v>824</v>
      </c>
      <c r="J646" t="s">
        <v>825</v>
      </c>
    </row>
    <row r="647" spans="2:12" x14ac:dyDescent="0.25">
      <c r="F647">
        <v>42</v>
      </c>
      <c r="G647" t="s">
        <v>132</v>
      </c>
      <c r="H647" t="s">
        <v>16</v>
      </c>
      <c r="I647" t="s">
        <v>824</v>
      </c>
      <c r="J647" t="s">
        <v>825</v>
      </c>
    </row>
    <row r="648" spans="2:12" x14ac:dyDescent="0.25">
      <c r="F648">
        <v>44</v>
      </c>
      <c r="G648" t="s">
        <v>136</v>
      </c>
      <c r="H648" t="s">
        <v>16</v>
      </c>
      <c r="I648" t="s">
        <v>824</v>
      </c>
      <c r="J648" t="s">
        <v>825</v>
      </c>
    </row>
    <row r="649" spans="2:12" x14ac:dyDescent="0.25">
      <c r="B649" t="s">
        <v>843</v>
      </c>
      <c r="C649" t="s">
        <v>137</v>
      </c>
      <c r="D649" t="s">
        <v>202</v>
      </c>
      <c r="E649" t="s">
        <v>203</v>
      </c>
      <c r="F649">
        <v>2</v>
      </c>
      <c r="G649" t="s">
        <v>69</v>
      </c>
      <c r="H649" t="s">
        <v>16</v>
      </c>
      <c r="I649" t="s">
        <v>460</v>
      </c>
      <c r="J649" t="s">
        <v>461</v>
      </c>
      <c r="L649" t="s">
        <v>67</v>
      </c>
    </row>
    <row r="650" spans="2:12" x14ac:dyDescent="0.25">
      <c r="F650">
        <v>4</v>
      </c>
      <c r="G650" t="s">
        <v>71</v>
      </c>
      <c r="H650" t="s">
        <v>18</v>
      </c>
    </row>
    <row r="651" spans="2:12" x14ac:dyDescent="0.25">
      <c r="F651">
        <v>5</v>
      </c>
      <c r="G651" t="s">
        <v>73</v>
      </c>
      <c r="H651" t="s">
        <v>16</v>
      </c>
      <c r="I651" t="s">
        <v>844</v>
      </c>
      <c r="J651" t="s">
        <v>845</v>
      </c>
      <c r="L651" t="s">
        <v>67</v>
      </c>
    </row>
    <row r="652" spans="2:12" x14ac:dyDescent="0.25">
      <c r="F652">
        <v>6</v>
      </c>
      <c r="G652" t="s">
        <v>74</v>
      </c>
      <c r="H652" t="s">
        <v>16</v>
      </c>
      <c r="I652" t="s">
        <v>846</v>
      </c>
      <c r="J652" t="s">
        <v>847</v>
      </c>
      <c r="L652" t="s">
        <v>67</v>
      </c>
    </row>
    <row r="653" spans="2:12" x14ac:dyDescent="0.25">
      <c r="F653">
        <v>7</v>
      </c>
      <c r="G653" t="s">
        <v>75</v>
      </c>
      <c r="H653" t="s">
        <v>18</v>
      </c>
    </row>
    <row r="654" spans="2:12" x14ac:dyDescent="0.25">
      <c r="F654">
        <v>8</v>
      </c>
      <c r="G654" t="s">
        <v>76</v>
      </c>
      <c r="H654" t="s">
        <v>16</v>
      </c>
      <c r="I654" t="s">
        <v>504</v>
      </c>
      <c r="J654" t="s">
        <v>848</v>
      </c>
      <c r="L654" t="s">
        <v>67</v>
      </c>
    </row>
    <row r="655" spans="2:12" x14ac:dyDescent="0.25">
      <c r="F655">
        <v>9</v>
      </c>
      <c r="G655" t="s">
        <v>78</v>
      </c>
      <c r="H655" t="s">
        <v>16</v>
      </c>
      <c r="I655" t="s">
        <v>79</v>
      </c>
      <c r="J655" t="s">
        <v>849</v>
      </c>
      <c r="L655" t="s">
        <v>67</v>
      </c>
    </row>
    <row r="656" spans="2:12" x14ac:dyDescent="0.25">
      <c r="F656">
        <v>10</v>
      </c>
      <c r="G656" t="s">
        <v>80</v>
      </c>
      <c r="H656" t="s">
        <v>16</v>
      </c>
      <c r="I656" t="s">
        <v>79</v>
      </c>
      <c r="J656" t="s">
        <v>813</v>
      </c>
      <c r="L656" t="s">
        <v>67</v>
      </c>
    </row>
    <row r="657" spans="6:12" x14ac:dyDescent="0.25">
      <c r="F657">
        <v>11</v>
      </c>
      <c r="G657" t="s">
        <v>81</v>
      </c>
      <c r="H657" t="s">
        <v>16</v>
      </c>
      <c r="I657" t="s">
        <v>772</v>
      </c>
      <c r="J657" t="s">
        <v>773</v>
      </c>
      <c r="L657" t="s">
        <v>67</v>
      </c>
    </row>
    <row r="658" spans="6:12" x14ac:dyDescent="0.25">
      <c r="F658">
        <v>12</v>
      </c>
      <c r="G658" t="s">
        <v>82</v>
      </c>
      <c r="H658" t="s">
        <v>16</v>
      </c>
      <c r="I658" t="s">
        <v>772</v>
      </c>
      <c r="J658" t="s">
        <v>773</v>
      </c>
      <c r="L658" t="s">
        <v>67</v>
      </c>
    </row>
    <row r="659" spans="6:12" x14ac:dyDescent="0.25">
      <c r="F659">
        <v>13</v>
      </c>
      <c r="G659" t="s">
        <v>84</v>
      </c>
      <c r="H659" t="s">
        <v>16</v>
      </c>
      <c r="I659" t="s">
        <v>743</v>
      </c>
      <c r="J659" t="s">
        <v>744</v>
      </c>
      <c r="L659" t="s">
        <v>67</v>
      </c>
    </row>
    <row r="660" spans="6:12" x14ac:dyDescent="0.25">
      <c r="F660">
        <v>21</v>
      </c>
      <c r="G660" t="s">
        <v>93</v>
      </c>
      <c r="H660" t="s">
        <v>16</v>
      </c>
      <c r="I660" t="s">
        <v>850</v>
      </c>
      <c r="J660" t="s">
        <v>851</v>
      </c>
      <c r="L660" t="s">
        <v>67</v>
      </c>
    </row>
    <row r="661" spans="6:12" x14ac:dyDescent="0.25">
      <c r="F661">
        <v>22</v>
      </c>
      <c r="G661" t="s">
        <v>95</v>
      </c>
      <c r="H661" t="s">
        <v>16</v>
      </c>
      <c r="I661" t="s">
        <v>850</v>
      </c>
      <c r="J661" t="s">
        <v>851</v>
      </c>
      <c r="L661" t="s">
        <v>67</v>
      </c>
    </row>
    <row r="662" spans="6:12" x14ac:dyDescent="0.25">
      <c r="F662">
        <v>23</v>
      </c>
      <c r="G662" t="s">
        <v>96</v>
      </c>
      <c r="H662" t="s">
        <v>16</v>
      </c>
      <c r="I662" t="s">
        <v>79</v>
      </c>
      <c r="J662" t="s">
        <v>444</v>
      </c>
      <c r="L662" t="s">
        <v>67</v>
      </c>
    </row>
    <row r="663" spans="6:12" x14ac:dyDescent="0.25">
      <c r="F663">
        <v>24</v>
      </c>
      <c r="G663" t="s">
        <v>97</v>
      </c>
      <c r="H663" t="s">
        <v>16</v>
      </c>
      <c r="I663" t="s">
        <v>382</v>
      </c>
      <c r="J663" t="s">
        <v>360</v>
      </c>
      <c r="L663" t="s">
        <v>67</v>
      </c>
    </row>
    <row r="664" spans="6:12" x14ac:dyDescent="0.25">
      <c r="F664">
        <v>27</v>
      </c>
      <c r="G664" t="s">
        <v>101</v>
      </c>
      <c r="H664" t="s">
        <v>16</v>
      </c>
      <c r="I664" t="s">
        <v>79</v>
      </c>
      <c r="J664" t="s">
        <v>852</v>
      </c>
      <c r="L664" t="s">
        <v>67</v>
      </c>
    </row>
    <row r="665" spans="6:12" x14ac:dyDescent="0.25">
      <c r="F665">
        <v>28</v>
      </c>
      <c r="G665" t="s">
        <v>103</v>
      </c>
      <c r="H665" t="s">
        <v>16</v>
      </c>
      <c r="I665" t="s">
        <v>652</v>
      </c>
      <c r="J665" t="s">
        <v>653</v>
      </c>
      <c r="L665" t="s">
        <v>67</v>
      </c>
    </row>
    <row r="666" spans="6:12" x14ac:dyDescent="0.25">
      <c r="F666">
        <v>29</v>
      </c>
      <c r="G666" t="s">
        <v>104</v>
      </c>
      <c r="H666" t="s">
        <v>16</v>
      </c>
      <c r="I666" t="s">
        <v>314</v>
      </c>
      <c r="J666" t="s">
        <v>315</v>
      </c>
      <c r="L666" t="s">
        <v>67</v>
      </c>
    </row>
    <row r="667" spans="6:12" x14ac:dyDescent="0.25">
      <c r="F667">
        <v>30</v>
      </c>
      <c r="G667" t="s">
        <v>106</v>
      </c>
      <c r="H667" t="s">
        <v>16</v>
      </c>
      <c r="I667" t="s">
        <v>382</v>
      </c>
      <c r="J667" t="s">
        <v>360</v>
      </c>
      <c r="L667" t="s">
        <v>67</v>
      </c>
    </row>
    <row r="668" spans="6:12" x14ac:dyDescent="0.25">
      <c r="F668">
        <v>31</v>
      </c>
      <c r="G668" t="s">
        <v>107</v>
      </c>
      <c r="H668" t="s">
        <v>16</v>
      </c>
      <c r="I668" t="s">
        <v>386</v>
      </c>
      <c r="J668" t="s">
        <v>360</v>
      </c>
      <c r="L668" t="s">
        <v>67</v>
      </c>
    </row>
    <row r="669" spans="6:12" x14ac:dyDescent="0.25">
      <c r="F669">
        <v>32</v>
      </c>
      <c r="G669" t="s">
        <v>108</v>
      </c>
      <c r="H669" t="s">
        <v>16</v>
      </c>
      <c r="I669" t="s">
        <v>742</v>
      </c>
      <c r="J669" t="s">
        <v>456</v>
      </c>
      <c r="L669" t="s">
        <v>67</v>
      </c>
    </row>
    <row r="670" spans="6:12" x14ac:dyDescent="0.25">
      <c r="F670">
        <v>33</v>
      </c>
      <c r="G670" t="s">
        <v>109</v>
      </c>
      <c r="H670" t="s">
        <v>16</v>
      </c>
      <c r="I670" t="s">
        <v>314</v>
      </c>
      <c r="J670" t="s">
        <v>315</v>
      </c>
      <c r="L670" t="s">
        <v>67</v>
      </c>
    </row>
    <row r="671" spans="6:12" x14ac:dyDescent="0.25">
      <c r="F671">
        <v>34</v>
      </c>
      <c r="G671" t="s">
        <v>110</v>
      </c>
      <c r="H671" t="s">
        <v>16</v>
      </c>
      <c r="I671" t="s">
        <v>79</v>
      </c>
      <c r="J671" t="s">
        <v>360</v>
      </c>
      <c r="L671" t="s">
        <v>67</v>
      </c>
    </row>
    <row r="672" spans="6:12" x14ac:dyDescent="0.25">
      <c r="F672">
        <v>35</v>
      </c>
      <c r="G672" t="s">
        <v>111</v>
      </c>
      <c r="H672" t="s">
        <v>16</v>
      </c>
      <c r="I672" t="s">
        <v>743</v>
      </c>
      <c r="J672" t="s">
        <v>744</v>
      </c>
      <c r="L672" t="s">
        <v>67</v>
      </c>
    </row>
    <row r="673" spans="2:12" x14ac:dyDescent="0.25">
      <c r="F673">
        <v>36</v>
      </c>
      <c r="G673" t="s">
        <v>112</v>
      </c>
      <c r="H673" t="s">
        <v>16</v>
      </c>
      <c r="I673" t="s">
        <v>314</v>
      </c>
      <c r="J673" t="s">
        <v>315</v>
      </c>
      <c r="L673" t="s">
        <v>67</v>
      </c>
    </row>
    <row r="674" spans="2:12" x14ac:dyDescent="0.25">
      <c r="F674">
        <v>37</v>
      </c>
      <c r="G674" t="s">
        <v>113</v>
      </c>
      <c r="H674" t="s">
        <v>16</v>
      </c>
      <c r="I674" t="s">
        <v>772</v>
      </c>
      <c r="J674" t="s">
        <v>773</v>
      </c>
      <c r="L674" t="s">
        <v>67</v>
      </c>
    </row>
    <row r="675" spans="2:12" x14ac:dyDescent="0.25">
      <c r="F675">
        <v>39</v>
      </c>
      <c r="G675" t="s">
        <v>124</v>
      </c>
      <c r="H675" t="s">
        <v>18</v>
      </c>
    </row>
    <row r="676" spans="2:12" x14ac:dyDescent="0.25">
      <c r="F676">
        <v>41</v>
      </c>
      <c r="G676" t="s">
        <v>131</v>
      </c>
      <c r="H676" t="s">
        <v>16</v>
      </c>
      <c r="I676" t="s">
        <v>853</v>
      </c>
      <c r="J676" t="s">
        <v>854</v>
      </c>
      <c r="L676" t="s">
        <v>67</v>
      </c>
    </row>
    <row r="677" spans="2:12" x14ac:dyDescent="0.25">
      <c r="F677">
        <v>42</v>
      </c>
      <c r="G677" t="s">
        <v>132</v>
      </c>
      <c r="H677" t="s">
        <v>16</v>
      </c>
      <c r="I677" t="s">
        <v>855</v>
      </c>
      <c r="J677" t="s">
        <v>856</v>
      </c>
    </row>
    <row r="678" spans="2:12" x14ac:dyDescent="0.25">
      <c r="F678">
        <v>44</v>
      </c>
      <c r="G678" t="s">
        <v>136</v>
      </c>
      <c r="H678" t="s">
        <v>16</v>
      </c>
      <c r="I678" t="s">
        <v>857</v>
      </c>
      <c r="J678" t="s">
        <v>858</v>
      </c>
      <c r="L678" t="s">
        <v>67</v>
      </c>
    </row>
    <row r="679" spans="2:12" x14ac:dyDescent="0.25">
      <c r="B679" t="s">
        <v>859</v>
      </c>
      <c r="C679" t="s">
        <v>145</v>
      </c>
      <c r="D679" t="s">
        <v>205</v>
      </c>
      <c r="E679" t="s">
        <v>206</v>
      </c>
      <c r="F679">
        <v>4</v>
      </c>
      <c r="G679" t="s">
        <v>71</v>
      </c>
      <c r="H679" t="s">
        <v>18</v>
      </c>
    </row>
    <row r="680" spans="2:12" x14ac:dyDescent="0.25">
      <c r="F680">
        <v>5</v>
      </c>
      <c r="G680" t="s">
        <v>73</v>
      </c>
      <c r="H680" t="s">
        <v>16</v>
      </c>
      <c r="I680" t="s">
        <v>528</v>
      </c>
      <c r="J680" t="s">
        <v>540</v>
      </c>
      <c r="L680" t="s">
        <v>67</v>
      </c>
    </row>
    <row r="681" spans="2:12" x14ac:dyDescent="0.25">
      <c r="F681">
        <v>6</v>
      </c>
      <c r="G681" t="s">
        <v>74</v>
      </c>
      <c r="H681" t="s">
        <v>16</v>
      </c>
      <c r="I681" t="s">
        <v>314</v>
      </c>
      <c r="J681" t="s">
        <v>860</v>
      </c>
      <c r="L681" t="s">
        <v>67</v>
      </c>
    </row>
    <row r="682" spans="2:12" x14ac:dyDescent="0.25">
      <c r="F682">
        <v>7</v>
      </c>
      <c r="G682" t="s">
        <v>75</v>
      </c>
      <c r="H682" t="s">
        <v>18</v>
      </c>
    </row>
    <row r="683" spans="2:12" x14ac:dyDescent="0.25">
      <c r="F683">
        <v>8</v>
      </c>
      <c r="G683" t="s">
        <v>76</v>
      </c>
      <c r="H683" t="s">
        <v>16</v>
      </c>
      <c r="I683" t="s">
        <v>602</v>
      </c>
      <c r="J683" t="s">
        <v>603</v>
      </c>
      <c r="L683" t="s">
        <v>67</v>
      </c>
    </row>
    <row r="684" spans="2:12" x14ac:dyDescent="0.25">
      <c r="F684">
        <v>10</v>
      </c>
      <c r="G684" t="s">
        <v>80</v>
      </c>
      <c r="H684" t="s">
        <v>16</v>
      </c>
      <c r="I684" t="s">
        <v>79</v>
      </c>
      <c r="J684" t="s">
        <v>331</v>
      </c>
      <c r="L684" t="s">
        <v>67</v>
      </c>
    </row>
    <row r="685" spans="2:12" x14ac:dyDescent="0.25">
      <c r="F685">
        <v>13</v>
      </c>
      <c r="G685" t="s">
        <v>84</v>
      </c>
      <c r="H685" t="s">
        <v>16</v>
      </c>
      <c r="I685" t="s">
        <v>861</v>
      </c>
      <c r="J685" t="s">
        <v>862</v>
      </c>
      <c r="L685" t="s">
        <v>67</v>
      </c>
    </row>
    <row r="686" spans="2:12" x14ac:dyDescent="0.25">
      <c r="F686">
        <v>21</v>
      </c>
      <c r="G686" t="s">
        <v>93</v>
      </c>
      <c r="H686" t="s">
        <v>16</v>
      </c>
      <c r="I686" t="s">
        <v>863</v>
      </c>
      <c r="J686" t="s">
        <v>864</v>
      </c>
      <c r="L686" t="s">
        <v>67</v>
      </c>
    </row>
    <row r="687" spans="2:12" x14ac:dyDescent="0.25">
      <c r="F687">
        <v>22</v>
      </c>
      <c r="G687" t="s">
        <v>95</v>
      </c>
      <c r="H687" t="s">
        <v>16</v>
      </c>
      <c r="I687" t="s">
        <v>863</v>
      </c>
      <c r="J687" t="s">
        <v>864</v>
      </c>
      <c r="L687" t="s">
        <v>67</v>
      </c>
    </row>
    <row r="688" spans="2:12" x14ac:dyDescent="0.25">
      <c r="F688">
        <v>24</v>
      </c>
      <c r="G688" t="s">
        <v>97</v>
      </c>
      <c r="H688" t="s">
        <v>16</v>
      </c>
      <c r="I688" t="s">
        <v>382</v>
      </c>
      <c r="J688" t="s">
        <v>360</v>
      </c>
      <c r="L688" t="s">
        <v>67</v>
      </c>
    </row>
    <row r="689" spans="2:12" x14ac:dyDescent="0.25">
      <c r="F689">
        <v>25</v>
      </c>
      <c r="G689" t="s">
        <v>99</v>
      </c>
      <c r="H689" t="s">
        <v>16</v>
      </c>
      <c r="I689" t="s">
        <v>425</v>
      </c>
      <c r="J689" t="s">
        <v>426</v>
      </c>
      <c r="L689" t="s">
        <v>67</v>
      </c>
    </row>
    <row r="690" spans="2:12" x14ac:dyDescent="0.25">
      <c r="F690">
        <v>26</v>
      </c>
      <c r="G690" t="s">
        <v>100</v>
      </c>
      <c r="H690" t="s">
        <v>16</v>
      </c>
      <c r="I690" t="s">
        <v>425</v>
      </c>
      <c r="J690" t="s">
        <v>426</v>
      </c>
      <c r="L690" t="s">
        <v>67</v>
      </c>
    </row>
    <row r="691" spans="2:12" x14ac:dyDescent="0.25">
      <c r="F691">
        <v>27</v>
      </c>
      <c r="G691" t="s">
        <v>101</v>
      </c>
      <c r="H691" t="s">
        <v>16</v>
      </c>
      <c r="I691" t="s">
        <v>79</v>
      </c>
      <c r="J691" t="s">
        <v>473</v>
      </c>
      <c r="L691" t="s">
        <v>67</v>
      </c>
    </row>
    <row r="692" spans="2:12" x14ac:dyDescent="0.25">
      <c r="F692">
        <v>28</v>
      </c>
      <c r="G692" t="s">
        <v>103</v>
      </c>
      <c r="H692" t="s">
        <v>16</v>
      </c>
      <c r="I692" t="s">
        <v>445</v>
      </c>
      <c r="J692" t="s">
        <v>446</v>
      </c>
      <c r="L692" t="s">
        <v>67</v>
      </c>
    </row>
    <row r="693" spans="2:12" x14ac:dyDescent="0.25">
      <c r="F693">
        <v>29</v>
      </c>
      <c r="G693" t="s">
        <v>104</v>
      </c>
      <c r="H693" t="s">
        <v>16</v>
      </c>
      <c r="I693" t="s">
        <v>314</v>
      </c>
      <c r="J693" t="s">
        <v>315</v>
      </c>
      <c r="L693" t="s">
        <v>67</v>
      </c>
    </row>
    <row r="694" spans="2:12" x14ac:dyDescent="0.25">
      <c r="F694">
        <v>30</v>
      </c>
      <c r="G694" t="s">
        <v>106</v>
      </c>
      <c r="H694" t="s">
        <v>16</v>
      </c>
      <c r="I694" t="s">
        <v>382</v>
      </c>
      <c r="J694" t="s">
        <v>360</v>
      </c>
      <c r="L694" t="s">
        <v>67</v>
      </c>
    </row>
    <row r="695" spans="2:12" x14ac:dyDescent="0.25">
      <c r="F695">
        <v>31</v>
      </c>
      <c r="G695" t="s">
        <v>107</v>
      </c>
      <c r="H695" t="s">
        <v>16</v>
      </c>
      <c r="I695" t="s">
        <v>386</v>
      </c>
      <c r="J695" t="s">
        <v>360</v>
      </c>
      <c r="L695" t="s">
        <v>67</v>
      </c>
    </row>
    <row r="696" spans="2:12" x14ac:dyDescent="0.25">
      <c r="F696">
        <v>32</v>
      </c>
      <c r="G696" t="s">
        <v>108</v>
      </c>
      <c r="H696" t="s">
        <v>16</v>
      </c>
      <c r="I696" t="s">
        <v>742</v>
      </c>
      <c r="J696" t="s">
        <v>456</v>
      </c>
      <c r="L696" t="s">
        <v>67</v>
      </c>
    </row>
    <row r="697" spans="2:12" x14ac:dyDescent="0.25">
      <c r="F697">
        <v>33</v>
      </c>
      <c r="G697" t="s">
        <v>109</v>
      </c>
      <c r="H697" t="s">
        <v>16</v>
      </c>
      <c r="I697" t="s">
        <v>314</v>
      </c>
      <c r="J697" t="s">
        <v>315</v>
      </c>
      <c r="L697" t="s">
        <v>67</v>
      </c>
    </row>
    <row r="698" spans="2:12" x14ac:dyDescent="0.25">
      <c r="F698">
        <v>34</v>
      </c>
      <c r="G698" t="s">
        <v>110</v>
      </c>
      <c r="H698" t="s">
        <v>16</v>
      </c>
      <c r="I698" t="s">
        <v>79</v>
      </c>
      <c r="J698" t="s">
        <v>360</v>
      </c>
      <c r="L698" t="s">
        <v>67</v>
      </c>
    </row>
    <row r="699" spans="2:12" x14ac:dyDescent="0.25">
      <c r="F699">
        <v>35</v>
      </c>
      <c r="G699" t="s">
        <v>111</v>
      </c>
      <c r="H699" t="s">
        <v>16</v>
      </c>
      <c r="I699" t="s">
        <v>861</v>
      </c>
      <c r="J699" t="s">
        <v>862</v>
      </c>
      <c r="L699" t="s">
        <v>67</v>
      </c>
    </row>
    <row r="700" spans="2:12" x14ac:dyDescent="0.25">
      <c r="F700">
        <v>36</v>
      </c>
      <c r="G700" t="s">
        <v>112</v>
      </c>
      <c r="H700" t="s">
        <v>16</v>
      </c>
      <c r="I700" t="s">
        <v>863</v>
      </c>
      <c r="J700" t="s">
        <v>864</v>
      </c>
      <c r="L700" t="s">
        <v>67</v>
      </c>
    </row>
    <row r="701" spans="2:12" x14ac:dyDescent="0.25">
      <c r="F701">
        <v>37</v>
      </c>
      <c r="G701" t="s">
        <v>113</v>
      </c>
      <c r="H701" t="s">
        <v>16</v>
      </c>
      <c r="I701" t="s">
        <v>772</v>
      </c>
      <c r="J701" t="s">
        <v>773</v>
      </c>
      <c r="L701" t="s">
        <v>67</v>
      </c>
    </row>
    <row r="702" spans="2:12" x14ac:dyDescent="0.25">
      <c r="F702">
        <v>45</v>
      </c>
      <c r="G702" t="s">
        <v>144</v>
      </c>
      <c r="H702" t="s">
        <v>16</v>
      </c>
      <c r="I702" t="s">
        <v>865</v>
      </c>
      <c r="J702" t="s">
        <v>866</v>
      </c>
      <c r="L702" t="s">
        <v>67</v>
      </c>
    </row>
    <row r="703" spans="2:12" x14ac:dyDescent="0.25">
      <c r="B703" t="s">
        <v>867</v>
      </c>
      <c r="C703" t="s">
        <v>150</v>
      </c>
      <c r="D703" t="s">
        <v>208</v>
      </c>
      <c r="E703" t="s">
        <v>209</v>
      </c>
      <c r="F703">
        <v>4</v>
      </c>
      <c r="G703" t="s">
        <v>71</v>
      </c>
      <c r="H703" t="s">
        <v>18</v>
      </c>
    </row>
    <row r="704" spans="2:12" x14ac:dyDescent="0.25">
      <c r="F704">
        <v>5</v>
      </c>
      <c r="G704" t="s">
        <v>73</v>
      </c>
      <c r="H704" t="s">
        <v>16</v>
      </c>
      <c r="I704" t="s">
        <v>868</v>
      </c>
      <c r="J704" t="s">
        <v>288</v>
      </c>
      <c r="L704" t="s">
        <v>67</v>
      </c>
    </row>
    <row r="705" spans="6:12" x14ac:dyDescent="0.25">
      <c r="F705">
        <v>6</v>
      </c>
      <c r="G705" t="s">
        <v>74</v>
      </c>
      <c r="H705" t="s">
        <v>16</v>
      </c>
      <c r="I705" t="s">
        <v>869</v>
      </c>
      <c r="J705" t="s">
        <v>524</v>
      </c>
      <c r="L705" t="s">
        <v>67</v>
      </c>
    </row>
    <row r="706" spans="6:12" x14ac:dyDescent="0.25">
      <c r="F706">
        <v>7</v>
      </c>
      <c r="G706" t="s">
        <v>75</v>
      </c>
      <c r="H706" t="s">
        <v>18</v>
      </c>
    </row>
    <row r="707" spans="6:12" x14ac:dyDescent="0.25">
      <c r="F707">
        <v>8</v>
      </c>
      <c r="G707" t="s">
        <v>76</v>
      </c>
      <c r="H707" t="s">
        <v>16</v>
      </c>
      <c r="I707" t="s">
        <v>555</v>
      </c>
      <c r="J707" t="s">
        <v>870</v>
      </c>
      <c r="L707" t="s">
        <v>67</v>
      </c>
    </row>
    <row r="708" spans="6:12" x14ac:dyDescent="0.25">
      <c r="F708">
        <v>10</v>
      </c>
      <c r="G708" t="s">
        <v>80</v>
      </c>
      <c r="H708" t="s">
        <v>16</v>
      </c>
      <c r="I708" t="s">
        <v>79</v>
      </c>
      <c r="J708" t="s">
        <v>871</v>
      </c>
      <c r="L708" t="s">
        <v>67</v>
      </c>
    </row>
    <row r="709" spans="6:12" x14ac:dyDescent="0.25">
      <c r="F709">
        <v>13</v>
      </c>
      <c r="G709" t="s">
        <v>84</v>
      </c>
      <c r="H709" t="s">
        <v>16</v>
      </c>
      <c r="I709" t="s">
        <v>410</v>
      </c>
      <c r="J709" t="s">
        <v>411</v>
      </c>
      <c r="L709" t="s">
        <v>67</v>
      </c>
    </row>
    <row r="710" spans="6:12" x14ac:dyDescent="0.25">
      <c r="F710">
        <v>21</v>
      </c>
      <c r="G710" t="s">
        <v>93</v>
      </c>
      <c r="H710" t="s">
        <v>16</v>
      </c>
      <c r="I710" t="s">
        <v>872</v>
      </c>
      <c r="J710" t="s">
        <v>873</v>
      </c>
      <c r="L710" t="s">
        <v>67</v>
      </c>
    </row>
    <row r="711" spans="6:12" x14ac:dyDescent="0.25">
      <c r="F711">
        <v>22</v>
      </c>
      <c r="G711" t="s">
        <v>95</v>
      </c>
      <c r="H711" t="s">
        <v>16</v>
      </c>
      <c r="I711" t="s">
        <v>872</v>
      </c>
      <c r="J711" t="s">
        <v>873</v>
      </c>
      <c r="L711" t="s">
        <v>67</v>
      </c>
    </row>
    <row r="712" spans="6:12" x14ac:dyDescent="0.25">
      <c r="F712">
        <v>24</v>
      </c>
      <c r="G712" t="s">
        <v>97</v>
      </c>
      <c r="H712" t="s">
        <v>16</v>
      </c>
      <c r="I712" t="s">
        <v>414</v>
      </c>
      <c r="J712" t="s">
        <v>415</v>
      </c>
      <c r="L712" t="s">
        <v>67</v>
      </c>
    </row>
    <row r="713" spans="6:12" x14ac:dyDescent="0.25">
      <c r="F713">
        <v>25</v>
      </c>
      <c r="G713" t="s">
        <v>99</v>
      </c>
      <c r="H713" t="s">
        <v>16</v>
      </c>
      <c r="I713" t="s">
        <v>818</v>
      </c>
      <c r="J713" t="s">
        <v>819</v>
      </c>
      <c r="L713" t="s">
        <v>67</v>
      </c>
    </row>
    <row r="714" spans="6:12" x14ac:dyDescent="0.25">
      <c r="F714">
        <v>26</v>
      </c>
      <c r="G714" t="s">
        <v>100</v>
      </c>
      <c r="H714" t="s">
        <v>16</v>
      </c>
      <c r="I714" t="s">
        <v>818</v>
      </c>
      <c r="J714" t="s">
        <v>819</v>
      </c>
      <c r="L714" t="s">
        <v>67</v>
      </c>
    </row>
    <row r="715" spans="6:12" x14ac:dyDescent="0.25">
      <c r="F715">
        <v>27</v>
      </c>
      <c r="G715" t="s">
        <v>101</v>
      </c>
      <c r="H715" t="s">
        <v>16</v>
      </c>
      <c r="I715" t="s">
        <v>79</v>
      </c>
      <c r="J715" t="s">
        <v>874</v>
      </c>
      <c r="L715" t="s">
        <v>67</v>
      </c>
    </row>
    <row r="716" spans="6:12" x14ac:dyDescent="0.25">
      <c r="F716">
        <v>28</v>
      </c>
      <c r="G716" t="s">
        <v>103</v>
      </c>
      <c r="H716" t="s">
        <v>16</v>
      </c>
      <c r="I716" t="s">
        <v>875</v>
      </c>
      <c r="J716" t="s">
        <v>876</v>
      </c>
      <c r="L716" t="s">
        <v>67</v>
      </c>
    </row>
    <row r="717" spans="6:12" x14ac:dyDescent="0.25">
      <c r="F717">
        <v>29</v>
      </c>
      <c r="G717" t="s">
        <v>104</v>
      </c>
      <c r="H717" t="s">
        <v>16</v>
      </c>
      <c r="I717" t="s">
        <v>587</v>
      </c>
      <c r="J717" t="s">
        <v>588</v>
      </c>
      <c r="L717" t="s">
        <v>67</v>
      </c>
    </row>
    <row r="718" spans="6:12" x14ac:dyDescent="0.25">
      <c r="F718">
        <v>30</v>
      </c>
      <c r="G718" t="s">
        <v>106</v>
      </c>
      <c r="H718" t="s">
        <v>16</v>
      </c>
      <c r="I718" t="s">
        <v>447</v>
      </c>
      <c r="J718" t="s">
        <v>391</v>
      </c>
      <c r="L718" t="s">
        <v>67</v>
      </c>
    </row>
    <row r="719" spans="6:12" x14ac:dyDescent="0.25">
      <c r="F719">
        <v>31</v>
      </c>
      <c r="G719" t="s">
        <v>107</v>
      </c>
      <c r="H719" t="s">
        <v>16</v>
      </c>
      <c r="I719" t="s">
        <v>450</v>
      </c>
      <c r="J719" t="s">
        <v>391</v>
      </c>
      <c r="L719" t="s">
        <v>67</v>
      </c>
    </row>
    <row r="720" spans="6:12" x14ac:dyDescent="0.25">
      <c r="F720">
        <v>32</v>
      </c>
      <c r="G720" t="s">
        <v>108</v>
      </c>
      <c r="H720" t="s">
        <v>16</v>
      </c>
      <c r="I720" t="s">
        <v>841</v>
      </c>
      <c r="J720" t="s">
        <v>842</v>
      </c>
      <c r="L720" t="s">
        <v>67</v>
      </c>
    </row>
    <row r="721" spans="2:12" x14ac:dyDescent="0.25">
      <c r="F721">
        <v>33</v>
      </c>
      <c r="G721" t="s">
        <v>109</v>
      </c>
      <c r="H721" t="s">
        <v>16</v>
      </c>
      <c r="I721" t="s">
        <v>587</v>
      </c>
      <c r="J721" t="s">
        <v>588</v>
      </c>
      <c r="L721" t="s">
        <v>67</v>
      </c>
    </row>
    <row r="722" spans="2:12" x14ac:dyDescent="0.25">
      <c r="F722">
        <v>34</v>
      </c>
      <c r="G722" t="s">
        <v>110</v>
      </c>
      <c r="H722" t="s">
        <v>16</v>
      </c>
      <c r="I722" t="s">
        <v>79</v>
      </c>
      <c r="J722" t="s">
        <v>391</v>
      </c>
      <c r="L722" t="s">
        <v>67</v>
      </c>
    </row>
    <row r="723" spans="2:12" x14ac:dyDescent="0.25">
      <c r="F723">
        <v>35</v>
      </c>
      <c r="G723" t="s">
        <v>111</v>
      </c>
      <c r="H723" t="s">
        <v>16</v>
      </c>
      <c r="I723" t="s">
        <v>453</v>
      </c>
      <c r="J723" t="s">
        <v>454</v>
      </c>
      <c r="L723" t="s">
        <v>67</v>
      </c>
    </row>
    <row r="724" spans="2:12" x14ac:dyDescent="0.25">
      <c r="F724">
        <v>36</v>
      </c>
      <c r="G724" t="s">
        <v>112</v>
      </c>
      <c r="H724" t="s">
        <v>16</v>
      </c>
      <c r="I724" t="s">
        <v>499</v>
      </c>
      <c r="J724" t="s">
        <v>500</v>
      </c>
      <c r="L724" t="s">
        <v>67</v>
      </c>
    </row>
    <row r="725" spans="2:12" x14ac:dyDescent="0.25">
      <c r="F725">
        <v>37</v>
      </c>
      <c r="G725" t="s">
        <v>113</v>
      </c>
      <c r="H725" t="s">
        <v>16</v>
      </c>
      <c r="I725" t="s">
        <v>332</v>
      </c>
      <c r="J725" t="s">
        <v>333</v>
      </c>
      <c r="L725" t="s">
        <v>67</v>
      </c>
    </row>
    <row r="726" spans="2:12" x14ac:dyDescent="0.25">
      <c r="F726">
        <v>46</v>
      </c>
      <c r="G726" t="s">
        <v>149</v>
      </c>
      <c r="H726" t="s">
        <v>16</v>
      </c>
      <c r="I726" t="s">
        <v>558</v>
      </c>
      <c r="J726" t="s">
        <v>877</v>
      </c>
      <c r="L726" t="s">
        <v>67</v>
      </c>
    </row>
    <row r="727" spans="2:12" x14ac:dyDescent="0.25">
      <c r="B727" t="s">
        <v>878</v>
      </c>
      <c r="C727" t="s">
        <v>155</v>
      </c>
      <c r="D727" t="s">
        <v>211</v>
      </c>
      <c r="E727" t="s">
        <v>212</v>
      </c>
      <c r="F727">
        <v>4</v>
      </c>
      <c r="G727" t="s">
        <v>71</v>
      </c>
      <c r="H727" t="s">
        <v>18</v>
      </c>
    </row>
    <row r="728" spans="2:12" x14ac:dyDescent="0.25">
      <c r="F728">
        <v>5</v>
      </c>
      <c r="G728" t="s">
        <v>73</v>
      </c>
      <c r="H728" t="s">
        <v>16</v>
      </c>
      <c r="I728" t="s">
        <v>879</v>
      </c>
      <c r="J728" t="s">
        <v>880</v>
      </c>
      <c r="L728" t="s">
        <v>67</v>
      </c>
    </row>
    <row r="729" spans="2:12" x14ac:dyDescent="0.25">
      <c r="F729">
        <v>6</v>
      </c>
      <c r="G729" t="s">
        <v>74</v>
      </c>
      <c r="H729" t="s">
        <v>16</v>
      </c>
      <c r="I729" t="s">
        <v>881</v>
      </c>
      <c r="J729" t="s">
        <v>882</v>
      </c>
      <c r="L729" t="s">
        <v>67</v>
      </c>
    </row>
    <row r="730" spans="2:12" x14ac:dyDescent="0.25">
      <c r="F730">
        <v>7</v>
      </c>
      <c r="G730" t="s">
        <v>75</v>
      </c>
      <c r="H730" t="s">
        <v>18</v>
      </c>
    </row>
    <row r="731" spans="2:12" x14ac:dyDescent="0.25">
      <c r="F731">
        <v>8</v>
      </c>
      <c r="G731" t="s">
        <v>76</v>
      </c>
      <c r="H731" t="s">
        <v>16</v>
      </c>
      <c r="I731" t="s">
        <v>883</v>
      </c>
      <c r="J731" t="s">
        <v>884</v>
      </c>
      <c r="L731" t="s">
        <v>67</v>
      </c>
    </row>
    <row r="732" spans="2:12" x14ac:dyDescent="0.25">
      <c r="F732">
        <v>10</v>
      </c>
      <c r="G732" t="s">
        <v>80</v>
      </c>
      <c r="H732" t="s">
        <v>16</v>
      </c>
      <c r="I732" t="s">
        <v>79</v>
      </c>
      <c r="J732" t="s">
        <v>885</v>
      </c>
      <c r="L732" t="s">
        <v>67</v>
      </c>
    </row>
    <row r="733" spans="2:12" x14ac:dyDescent="0.25">
      <c r="F733">
        <v>13</v>
      </c>
      <c r="G733" t="s">
        <v>84</v>
      </c>
      <c r="H733" t="s">
        <v>16</v>
      </c>
      <c r="I733" t="s">
        <v>886</v>
      </c>
      <c r="J733" t="s">
        <v>887</v>
      </c>
      <c r="L733" t="s">
        <v>67</v>
      </c>
    </row>
    <row r="734" spans="2:12" x14ac:dyDescent="0.25">
      <c r="F734">
        <v>21</v>
      </c>
      <c r="G734" t="s">
        <v>93</v>
      </c>
      <c r="H734" t="s">
        <v>16</v>
      </c>
      <c r="I734" t="s">
        <v>850</v>
      </c>
      <c r="J734" t="s">
        <v>851</v>
      </c>
      <c r="L734" t="s">
        <v>67</v>
      </c>
    </row>
    <row r="735" spans="2:12" x14ac:dyDescent="0.25">
      <c r="F735">
        <v>22</v>
      </c>
      <c r="G735" t="s">
        <v>95</v>
      </c>
      <c r="H735" t="s">
        <v>16</v>
      </c>
      <c r="I735" t="s">
        <v>872</v>
      </c>
      <c r="J735" t="s">
        <v>873</v>
      </c>
      <c r="L735" t="s">
        <v>67</v>
      </c>
    </row>
    <row r="736" spans="2:12" x14ac:dyDescent="0.25">
      <c r="F736">
        <v>24</v>
      </c>
      <c r="G736" t="s">
        <v>97</v>
      </c>
      <c r="H736" t="s">
        <v>16</v>
      </c>
      <c r="I736" t="s">
        <v>888</v>
      </c>
      <c r="J736" t="s">
        <v>889</v>
      </c>
      <c r="L736" t="s">
        <v>67</v>
      </c>
    </row>
    <row r="737" spans="6:12" x14ac:dyDescent="0.25">
      <c r="F737">
        <v>26</v>
      </c>
      <c r="G737" t="s">
        <v>100</v>
      </c>
      <c r="H737" t="s">
        <v>16</v>
      </c>
      <c r="I737" t="s">
        <v>890</v>
      </c>
      <c r="J737" t="s">
        <v>703</v>
      </c>
      <c r="L737" t="s">
        <v>67</v>
      </c>
    </row>
    <row r="738" spans="6:12" x14ac:dyDescent="0.25">
      <c r="F738">
        <v>27</v>
      </c>
      <c r="G738" t="s">
        <v>101</v>
      </c>
      <c r="H738" t="s">
        <v>16</v>
      </c>
      <c r="I738" t="s">
        <v>79</v>
      </c>
      <c r="J738" t="s">
        <v>891</v>
      </c>
      <c r="L738" t="s">
        <v>67</v>
      </c>
    </row>
    <row r="739" spans="6:12" x14ac:dyDescent="0.25">
      <c r="F739">
        <v>28</v>
      </c>
      <c r="G739" t="s">
        <v>103</v>
      </c>
      <c r="H739" t="s">
        <v>16</v>
      </c>
      <c r="I739" t="s">
        <v>314</v>
      </c>
      <c r="J739" t="s">
        <v>315</v>
      </c>
      <c r="L739" t="s">
        <v>67</v>
      </c>
    </row>
    <row r="740" spans="6:12" x14ac:dyDescent="0.25">
      <c r="F740">
        <v>29</v>
      </c>
      <c r="G740" t="s">
        <v>104</v>
      </c>
      <c r="H740" t="s">
        <v>16</v>
      </c>
      <c r="I740" t="s">
        <v>314</v>
      </c>
      <c r="J740" t="s">
        <v>315</v>
      </c>
      <c r="L740" t="s">
        <v>67</v>
      </c>
    </row>
    <row r="741" spans="6:12" x14ac:dyDescent="0.25">
      <c r="F741">
        <v>30</v>
      </c>
      <c r="G741" t="s">
        <v>106</v>
      </c>
      <c r="H741" t="s">
        <v>16</v>
      </c>
      <c r="I741" t="s">
        <v>888</v>
      </c>
      <c r="J741" t="s">
        <v>889</v>
      </c>
      <c r="L741" t="s">
        <v>67</v>
      </c>
    </row>
    <row r="742" spans="6:12" x14ac:dyDescent="0.25">
      <c r="F742">
        <v>31</v>
      </c>
      <c r="G742" t="s">
        <v>107</v>
      </c>
      <c r="H742" t="s">
        <v>16</v>
      </c>
      <c r="I742" t="s">
        <v>788</v>
      </c>
      <c r="J742" t="s">
        <v>889</v>
      </c>
      <c r="L742" t="s">
        <v>67</v>
      </c>
    </row>
    <row r="743" spans="6:12" x14ac:dyDescent="0.25">
      <c r="F743">
        <v>32</v>
      </c>
      <c r="G743" t="s">
        <v>108</v>
      </c>
      <c r="H743" t="s">
        <v>16</v>
      </c>
      <c r="I743" t="s">
        <v>742</v>
      </c>
      <c r="J743" t="s">
        <v>456</v>
      </c>
      <c r="L743" t="s">
        <v>67</v>
      </c>
    </row>
    <row r="744" spans="6:12" x14ac:dyDescent="0.25">
      <c r="F744">
        <v>33</v>
      </c>
      <c r="G744" t="s">
        <v>109</v>
      </c>
      <c r="H744" t="s">
        <v>16</v>
      </c>
      <c r="I744" t="s">
        <v>314</v>
      </c>
      <c r="J744" t="s">
        <v>315</v>
      </c>
      <c r="L744" t="s">
        <v>67</v>
      </c>
    </row>
    <row r="745" spans="6:12" x14ac:dyDescent="0.25">
      <c r="F745">
        <v>34</v>
      </c>
      <c r="G745" t="s">
        <v>110</v>
      </c>
      <c r="H745" t="s">
        <v>16</v>
      </c>
      <c r="I745" t="s">
        <v>79</v>
      </c>
      <c r="J745" t="s">
        <v>889</v>
      </c>
      <c r="L745" t="s">
        <v>67</v>
      </c>
    </row>
    <row r="746" spans="6:12" x14ac:dyDescent="0.25">
      <c r="F746">
        <v>35</v>
      </c>
      <c r="G746" t="s">
        <v>111</v>
      </c>
      <c r="H746" t="s">
        <v>16</v>
      </c>
      <c r="I746" t="s">
        <v>861</v>
      </c>
      <c r="J746" t="s">
        <v>862</v>
      </c>
      <c r="L746" t="s">
        <v>67</v>
      </c>
    </row>
    <row r="747" spans="6:12" x14ac:dyDescent="0.25">
      <c r="F747">
        <v>36</v>
      </c>
      <c r="G747" t="s">
        <v>112</v>
      </c>
      <c r="H747" t="s">
        <v>16</v>
      </c>
      <c r="I747" t="s">
        <v>314</v>
      </c>
      <c r="J747" t="s">
        <v>315</v>
      </c>
      <c r="L747" t="s">
        <v>67</v>
      </c>
    </row>
    <row r="748" spans="6:12" x14ac:dyDescent="0.25">
      <c r="F748">
        <v>37</v>
      </c>
      <c r="G748" t="s">
        <v>113</v>
      </c>
      <c r="H748" t="s">
        <v>16</v>
      </c>
      <c r="I748" t="s">
        <v>314</v>
      </c>
      <c r="J748" t="s">
        <v>315</v>
      </c>
      <c r="L748" t="s">
        <v>67</v>
      </c>
    </row>
    <row r="749" spans="6:12" x14ac:dyDescent="0.25">
      <c r="F749">
        <v>39</v>
      </c>
      <c r="G749" t="s">
        <v>124</v>
      </c>
      <c r="H749" t="s">
        <v>16</v>
      </c>
      <c r="I749" t="s">
        <v>892</v>
      </c>
      <c r="J749" t="s">
        <v>893</v>
      </c>
    </row>
    <row r="750" spans="6:12" x14ac:dyDescent="0.25">
      <c r="F750">
        <v>41</v>
      </c>
      <c r="G750" t="s">
        <v>131</v>
      </c>
      <c r="H750" t="s">
        <v>16</v>
      </c>
      <c r="I750" t="s">
        <v>894</v>
      </c>
      <c r="J750" t="s">
        <v>895</v>
      </c>
      <c r="L750" t="s">
        <v>67</v>
      </c>
    </row>
    <row r="751" spans="6:12" x14ac:dyDescent="0.25">
      <c r="F751">
        <v>47</v>
      </c>
      <c r="G751" t="s">
        <v>154</v>
      </c>
      <c r="H751" t="s">
        <v>16</v>
      </c>
      <c r="I751" t="s">
        <v>896</v>
      </c>
      <c r="J751" t="s">
        <v>897</v>
      </c>
      <c r="L751" t="s">
        <v>67</v>
      </c>
    </row>
    <row r="752" spans="6:12" x14ac:dyDescent="0.25">
      <c r="F752">
        <v>48</v>
      </c>
      <c r="G752" t="s">
        <v>156</v>
      </c>
      <c r="H752" t="s">
        <v>16</v>
      </c>
      <c r="I752" t="s">
        <v>892</v>
      </c>
      <c r="J752" t="s">
        <v>893</v>
      </c>
      <c r="L752" t="s">
        <v>67</v>
      </c>
    </row>
    <row r="753" spans="2:12" x14ac:dyDescent="0.25">
      <c r="B753" t="s">
        <v>898</v>
      </c>
      <c r="C753" t="s">
        <v>155</v>
      </c>
      <c r="D753" t="s">
        <v>214</v>
      </c>
      <c r="E753" t="s">
        <v>215</v>
      </c>
      <c r="F753">
        <v>4</v>
      </c>
      <c r="G753" t="s">
        <v>71</v>
      </c>
      <c r="H753" t="s">
        <v>18</v>
      </c>
    </row>
    <row r="754" spans="2:12" x14ac:dyDescent="0.25">
      <c r="F754">
        <v>5</v>
      </c>
      <c r="G754" t="s">
        <v>73</v>
      </c>
      <c r="H754" t="s">
        <v>16</v>
      </c>
      <c r="I754" t="s">
        <v>899</v>
      </c>
      <c r="J754" t="s">
        <v>900</v>
      </c>
      <c r="L754" t="s">
        <v>67</v>
      </c>
    </row>
    <row r="755" spans="2:12" x14ac:dyDescent="0.25">
      <c r="F755">
        <v>6</v>
      </c>
      <c r="G755" t="s">
        <v>74</v>
      </c>
      <c r="H755" t="s">
        <v>16</v>
      </c>
      <c r="I755" t="s">
        <v>332</v>
      </c>
      <c r="J755" t="s">
        <v>901</v>
      </c>
      <c r="L755" t="s">
        <v>67</v>
      </c>
    </row>
    <row r="756" spans="2:12" x14ac:dyDescent="0.25">
      <c r="F756">
        <v>7</v>
      </c>
      <c r="G756" t="s">
        <v>75</v>
      </c>
      <c r="H756" t="s">
        <v>18</v>
      </c>
    </row>
    <row r="757" spans="2:12" x14ac:dyDescent="0.25">
      <c r="F757">
        <v>8</v>
      </c>
      <c r="G757" t="s">
        <v>76</v>
      </c>
      <c r="H757" t="s">
        <v>16</v>
      </c>
      <c r="I757" t="s">
        <v>808</v>
      </c>
      <c r="J757" t="s">
        <v>809</v>
      </c>
      <c r="L757" t="s">
        <v>67</v>
      </c>
    </row>
    <row r="758" spans="2:12" x14ac:dyDescent="0.25">
      <c r="F758">
        <v>10</v>
      </c>
      <c r="G758" t="s">
        <v>80</v>
      </c>
      <c r="H758" t="s">
        <v>16</v>
      </c>
      <c r="I758" t="s">
        <v>79</v>
      </c>
      <c r="J758" t="s">
        <v>885</v>
      </c>
      <c r="L758" t="s">
        <v>67</v>
      </c>
    </row>
    <row r="759" spans="2:12" x14ac:dyDescent="0.25">
      <c r="F759">
        <v>13</v>
      </c>
      <c r="G759" t="s">
        <v>84</v>
      </c>
      <c r="H759" t="s">
        <v>16</v>
      </c>
      <c r="I759" t="s">
        <v>861</v>
      </c>
      <c r="J759" t="s">
        <v>862</v>
      </c>
      <c r="L759" t="s">
        <v>67</v>
      </c>
    </row>
    <row r="760" spans="2:12" x14ac:dyDescent="0.25">
      <c r="F760">
        <v>21</v>
      </c>
      <c r="G760" t="s">
        <v>93</v>
      </c>
      <c r="H760" t="s">
        <v>16</v>
      </c>
      <c r="I760" t="s">
        <v>863</v>
      </c>
      <c r="J760" t="s">
        <v>864</v>
      </c>
      <c r="L760" t="s">
        <v>67</v>
      </c>
    </row>
    <row r="761" spans="2:12" x14ac:dyDescent="0.25">
      <c r="F761">
        <v>22</v>
      </c>
      <c r="G761" t="s">
        <v>95</v>
      </c>
      <c r="H761" t="s">
        <v>16</v>
      </c>
      <c r="I761" t="s">
        <v>863</v>
      </c>
      <c r="J761" t="s">
        <v>864</v>
      </c>
      <c r="L761" t="s">
        <v>67</v>
      </c>
    </row>
    <row r="762" spans="2:12" x14ac:dyDescent="0.25">
      <c r="F762">
        <v>24</v>
      </c>
      <c r="G762" t="s">
        <v>97</v>
      </c>
      <c r="H762" t="s">
        <v>16</v>
      </c>
      <c r="I762" t="s">
        <v>902</v>
      </c>
      <c r="J762" t="s">
        <v>903</v>
      </c>
      <c r="L762" t="s">
        <v>67</v>
      </c>
    </row>
    <row r="763" spans="2:12" x14ac:dyDescent="0.25">
      <c r="F763">
        <v>26</v>
      </c>
      <c r="G763" t="s">
        <v>100</v>
      </c>
      <c r="H763" t="s">
        <v>18</v>
      </c>
    </row>
    <row r="764" spans="2:12" x14ac:dyDescent="0.25">
      <c r="F764">
        <v>27</v>
      </c>
      <c r="G764" t="s">
        <v>101</v>
      </c>
      <c r="H764" t="s">
        <v>16</v>
      </c>
      <c r="I764" t="s">
        <v>79</v>
      </c>
      <c r="J764" t="s">
        <v>904</v>
      </c>
      <c r="L764" t="s">
        <v>67</v>
      </c>
    </row>
    <row r="765" spans="2:12" x14ac:dyDescent="0.25">
      <c r="F765">
        <v>28</v>
      </c>
      <c r="G765" t="s">
        <v>103</v>
      </c>
      <c r="H765" t="s">
        <v>16</v>
      </c>
      <c r="I765" t="s">
        <v>905</v>
      </c>
      <c r="J765" t="s">
        <v>906</v>
      </c>
      <c r="L765" t="s">
        <v>67</v>
      </c>
    </row>
    <row r="766" spans="2:12" x14ac:dyDescent="0.25">
      <c r="F766">
        <v>29</v>
      </c>
      <c r="G766" t="s">
        <v>104</v>
      </c>
      <c r="H766" t="s">
        <v>16</v>
      </c>
      <c r="I766" t="s">
        <v>332</v>
      </c>
      <c r="J766" t="s">
        <v>333</v>
      </c>
      <c r="L766" t="s">
        <v>67</v>
      </c>
    </row>
    <row r="767" spans="2:12" x14ac:dyDescent="0.25">
      <c r="F767">
        <v>30</v>
      </c>
      <c r="G767" t="s">
        <v>106</v>
      </c>
      <c r="H767" t="s">
        <v>16</v>
      </c>
      <c r="I767" t="s">
        <v>907</v>
      </c>
      <c r="J767" t="s">
        <v>908</v>
      </c>
      <c r="L767" t="s">
        <v>67</v>
      </c>
    </row>
    <row r="768" spans="2:12" x14ac:dyDescent="0.25">
      <c r="F768">
        <v>31</v>
      </c>
      <c r="G768" t="s">
        <v>107</v>
      </c>
      <c r="H768" t="s">
        <v>16</v>
      </c>
      <c r="I768" t="s">
        <v>909</v>
      </c>
      <c r="J768" t="s">
        <v>903</v>
      </c>
      <c r="L768" t="s">
        <v>67</v>
      </c>
    </row>
    <row r="769" spans="2:12" x14ac:dyDescent="0.25">
      <c r="F769">
        <v>32</v>
      </c>
      <c r="G769" t="s">
        <v>108</v>
      </c>
      <c r="H769" t="s">
        <v>16</v>
      </c>
      <c r="I769" t="s">
        <v>742</v>
      </c>
      <c r="J769" t="s">
        <v>910</v>
      </c>
      <c r="L769" t="s">
        <v>67</v>
      </c>
    </row>
    <row r="770" spans="2:12" x14ac:dyDescent="0.25">
      <c r="F770">
        <v>33</v>
      </c>
      <c r="G770" t="s">
        <v>109</v>
      </c>
      <c r="H770" t="s">
        <v>16</v>
      </c>
      <c r="I770" t="s">
        <v>332</v>
      </c>
      <c r="J770" t="s">
        <v>333</v>
      </c>
      <c r="L770" t="s">
        <v>67</v>
      </c>
    </row>
    <row r="771" spans="2:12" x14ac:dyDescent="0.25">
      <c r="F771">
        <v>34</v>
      </c>
      <c r="G771" t="s">
        <v>110</v>
      </c>
      <c r="H771" t="s">
        <v>16</v>
      </c>
      <c r="I771" t="s">
        <v>79</v>
      </c>
      <c r="J771" t="s">
        <v>903</v>
      </c>
      <c r="L771" t="s">
        <v>67</v>
      </c>
    </row>
    <row r="772" spans="2:12" x14ac:dyDescent="0.25">
      <c r="F772">
        <v>35</v>
      </c>
      <c r="G772" t="s">
        <v>111</v>
      </c>
      <c r="H772" t="s">
        <v>16</v>
      </c>
      <c r="I772" t="s">
        <v>911</v>
      </c>
      <c r="J772" t="s">
        <v>912</v>
      </c>
      <c r="L772" t="s">
        <v>67</v>
      </c>
    </row>
    <row r="773" spans="2:12" x14ac:dyDescent="0.25">
      <c r="F773">
        <v>36</v>
      </c>
      <c r="G773" t="s">
        <v>112</v>
      </c>
      <c r="H773" t="s">
        <v>16</v>
      </c>
      <c r="I773" t="s">
        <v>863</v>
      </c>
      <c r="J773" t="s">
        <v>864</v>
      </c>
      <c r="L773" t="s">
        <v>67</v>
      </c>
    </row>
    <row r="774" spans="2:12" x14ac:dyDescent="0.25">
      <c r="F774">
        <v>37</v>
      </c>
      <c r="G774" t="s">
        <v>113</v>
      </c>
      <c r="H774" t="s">
        <v>16</v>
      </c>
      <c r="I774" t="s">
        <v>499</v>
      </c>
      <c r="J774" t="s">
        <v>500</v>
      </c>
      <c r="L774" t="s">
        <v>67</v>
      </c>
    </row>
    <row r="775" spans="2:12" x14ac:dyDescent="0.25">
      <c r="F775">
        <v>39</v>
      </c>
      <c r="G775" t="s">
        <v>124</v>
      </c>
      <c r="H775" t="s">
        <v>18</v>
      </c>
    </row>
    <row r="776" spans="2:12" x14ac:dyDescent="0.25">
      <c r="F776">
        <v>41</v>
      </c>
      <c r="G776" t="s">
        <v>131</v>
      </c>
      <c r="H776" t="s">
        <v>16</v>
      </c>
      <c r="I776" t="s">
        <v>573</v>
      </c>
      <c r="J776" t="s">
        <v>913</v>
      </c>
      <c r="L776" t="s">
        <v>67</v>
      </c>
    </row>
    <row r="777" spans="2:12" x14ac:dyDescent="0.25">
      <c r="F777">
        <v>47</v>
      </c>
      <c r="G777" t="s">
        <v>154</v>
      </c>
      <c r="H777" t="s">
        <v>16</v>
      </c>
      <c r="I777" t="s">
        <v>914</v>
      </c>
      <c r="J777" t="s">
        <v>915</v>
      </c>
      <c r="L777" t="s">
        <v>67</v>
      </c>
    </row>
    <row r="778" spans="2:12" x14ac:dyDescent="0.25">
      <c r="F778">
        <v>48</v>
      </c>
      <c r="G778" t="s">
        <v>156</v>
      </c>
      <c r="H778" t="s">
        <v>16</v>
      </c>
      <c r="I778" t="s">
        <v>916</v>
      </c>
      <c r="J778" t="s">
        <v>917</v>
      </c>
      <c r="L778" t="s">
        <v>67</v>
      </c>
    </row>
    <row r="779" spans="2:12" x14ac:dyDescent="0.25">
      <c r="B779" t="s">
        <v>918</v>
      </c>
      <c r="C779" t="s">
        <v>155</v>
      </c>
      <c r="D779" t="s">
        <v>217</v>
      </c>
      <c r="E779" t="s">
        <v>218</v>
      </c>
      <c r="F779">
        <v>4</v>
      </c>
      <c r="G779" t="s">
        <v>71</v>
      </c>
      <c r="H779" t="s">
        <v>18</v>
      </c>
    </row>
    <row r="780" spans="2:12" x14ac:dyDescent="0.25">
      <c r="F780">
        <v>5</v>
      </c>
      <c r="G780" t="s">
        <v>73</v>
      </c>
      <c r="H780" t="s">
        <v>16</v>
      </c>
      <c r="I780" t="s">
        <v>777</v>
      </c>
      <c r="J780" t="s">
        <v>919</v>
      </c>
      <c r="L780" t="s">
        <v>67</v>
      </c>
    </row>
    <row r="781" spans="2:12" x14ac:dyDescent="0.25">
      <c r="F781">
        <v>6</v>
      </c>
      <c r="G781" t="s">
        <v>74</v>
      </c>
      <c r="H781" t="s">
        <v>16</v>
      </c>
      <c r="I781" t="s">
        <v>920</v>
      </c>
      <c r="J781" t="s">
        <v>921</v>
      </c>
      <c r="L781" t="s">
        <v>67</v>
      </c>
    </row>
    <row r="782" spans="2:12" x14ac:dyDescent="0.25">
      <c r="F782">
        <v>7</v>
      </c>
      <c r="G782" t="s">
        <v>75</v>
      </c>
      <c r="H782" t="s">
        <v>18</v>
      </c>
    </row>
    <row r="783" spans="2:12" x14ac:dyDescent="0.25">
      <c r="F783">
        <v>8</v>
      </c>
      <c r="G783" t="s">
        <v>76</v>
      </c>
      <c r="H783" t="s">
        <v>16</v>
      </c>
      <c r="I783" t="s">
        <v>922</v>
      </c>
      <c r="J783" t="s">
        <v>923</v>
      </c>
      <c r="L783" t="s">
        <v>67</v>
      </c>
    </row>
    <row r="784" spans="2:12" x14ac:dyDescent="0.25">
      <c r="F784">
        <v>10</v>
      </c>
      <c r="G784" t="s">
        <v>80</v>
      </c>
      <c r="H784" t="s">
        <v>16</v>
      </c>
      <c r="I784" t="s">
        <v>79</v>
      </c>
      <c r="J784" t="s">
        <v>811</v>
      </c>
      <c r="L784" t="s">
        <v>67</v>
      </c>
    </row>
    <row r="785" spans="6:12" x14ac:dyDescent="0.25">
      <c r="F785">
        <v>13</v>
      </c>
      <c r="G785" t="s">
        <v>84</v>
      </c>
      <c r="H785" t="s">
        <v>16</v>
      </c>
      <c r="I785" t="s">
        <v>740</v>
      </c>
      <c r="J785" t="s">
        <v>924</v>
      </c>
      <c r="L785" t="s">
        <v>67</v>
      </c>
    </row>
    <row r="786" spans="6:12" x14ac:dyDescent="0.25">
      <c r="F786">
        <v>21</v>
      </c>
      <c r="G786" t="s">
        <v>93</v>
      </c>
      <c r="H786" t="s">
        <v>16</v>
      </c>
      <c r="I786" t="s">
        <v>925</v>
      </c>
      <c r="J786" t="s">
        <v>926</v>
      </c>
      <c r="L786" t="s">
        <v>67</v>
      </c>
    </row>
    <row r="787" spans="6:12" x14ac:dyDescent="0.25">
      <c r="F787">
        <v>22</v>
      </c>
      <c r="G787" t="s">
        <v>95</v>
      </c>
      <c r="H787" t="s">
        <v>16</v>
      </c>
      <c r="I787" t="s">
        <v>925</v>
      </c>
      <c r="J787" t="s">
        <v>926</v>
      </c>
      <c r="L787" t="s">
        <v>67</v>
      </c>
    </row>
    <row r="788" spans="6:12" x14ac:dyDescent="0.25">
      <c r="F788">
        <v>24</v>
      </c>
      <c r="G788" t="s">
        <v>97</v>
      </c>
      <c r="H788" t="s">
        <v>16</v>
      </c>
      <c r="I788" t="s">
        <v>927</v>
      </c>
      <c r="J788" t="s">
        <v>928</v>
      </c>
      <c r="L788" t="s">
        <v>67</v>
      </c>
    </row>
    <row r="789" spans="6:12" x14ac:dyDescent="0.25">
      <c r="F789">
        <v>26</v>
      </c>
      <c r="G789" t="s">
        <v>100</v>
      </c>
      <c r="H789" t="s">
        <v>18</v>
      </c>
    </row>
    <row r="790" spans="6:12" x14ac:dyDescent="0.25">
      <c r="F790">
        <v>27</v>
      </c>
      <c r="G790" t="s">
        <v>101</v>
      </c>
      <c r="H790" t="s">
        <v>16</v>
      </c>
      <c r="I790" t="s">
        <v>79</v>
      </c>
      <c r="J790" t="s">
        <v>749</v>
      </c>
      <c r="L790" t="s">
        <v>67</v>
      </c>
    </row>
    <row r="791" spans="6:12" x14ac:dyDescent="0.25">
      <c r="F791">
        <v>28</v>
      </c>
      <c r="G791" t="s">
        <v>103</v>
      </c>
      <c r="H791" t="s">
        <v>16</v>
      </c>
      <c r="I791" t="s">
        <v>740</v>
      </c>
      <c r="J791" t="s">
        <v>924</v>
      </c>
      <c r="L791" t="s">
        <v>67</v>
      </c>
    </row>
    <row r="792" spans="6:12" x14ac:dyDescent="0.25">
      <c r="F792">
        <v>29</v>
      </c>
      <c r="G792" t="s">
        <v>104</v>
      </c>
      <c r="H792" t="s">
        <v>16</v>
      </c>
      <c r="I792" t="s">
        <v>929</v>
      </c>
      <c r="J792" t="s">
        <v>930</v>
      </c>
      <c r="L792" t="s">
        <v>67</v>
      </c>
    </row>
    <row r="793" spans="6:12" x14ac:dyDescent="0.25">
      <c r="F793">
        <v>30</v>
      </c>
      <c r="G793" t="s">
        <v>106</v>
      </c>
      <c r="H793" t="s">
        <v>16</v>
      </c>
      <c r="I793" t="s">
        <v>927</v>
      </c>
      <c r="J793" t="s">
        <v>928</v>
      </c>
      <c r="L793" t="s">
        <v>67</v>
      </c>
    </row>
    <row r="794" spans="6:12" x14ac:dyDescent="0.25">
      <c r="F794">
        <v>31</v>
      </c>
      <c r="G794" t="s">
        <v>107</v>
      </c>
      <c r="H794" t="s">
        <v>16</v>
      </c>
      <c r="I794" t="s">
        <v>931</v>
      </c>
      <c r="J794" t="s">
        <v>433</v>
      </c>
      <c r="L794" t="s">
        <v>67</v>
      </c>
    </row>
    <row r="795" spans="6:12" x14ac:dyDescent="0.25">
      <c r="F795">
        <v>32</v>
      </c>
      <c r="G795" t="s">
        <v>108</v>
      </c>
      <c r="H795" t="s">
        <v>16</v>
      </c>
      <c r="I795" t="s">
        <v>932</v>
      </c>
      <c r="J795" t="s">
        <v>910</v>
      </c>
      <c r="L795" t="s">
        <v>67</v>
      </c>
    </row>
    <row r="796" spans="6:12" x14ac:dyDescent="0.25">
      <c r="F796">
        <v>33</v>
      </c>
      <c r="G796" t="s">
        <v>109</v>
      </c>
      <c r="H796" t="s">
        <v>16</v>
      </c>
      <c r="I796" t="s">
        <v>929</v>
      </c>
      <c r="J796" t="s">
        <v>930</v>
      </c>
      <c r="L796" t="s">
        <v>67</v>
      </c>
    </row>
    <row r="797" spans="6:12" x14ac:dyDescent="0.25">
      <c r="F797">
        <v>34</v>
      </c>
      <c r="G797" t="s">
        <v>110</v>
      </c>
      <c r="H797" t="s">
        <v>16</v>
      </c>
      <c r="I797" t="s">
        <v>79</v>
      </c>
      <c r="J797" t="s">
        <v>928</v>
      </c>
      <c r="L797" t="s">
        <v>67</v>
      </c>
    </row>
    <row r="798" spans="6:12" x14ac:dyDescent="0.25">
      <c r="F798">
        <v>35</v>
      </c>
      <c r="G798" t="s">
        <v>111</v>
      </c>
      <c r="H798" t="s">
        <v>16</v>
      </c>
      <c r="I798" t="s">
        <v>740</v>
      </c>
      <c r="J798" t="s">
        <v>924</v>
      </c>
      <c r="L798" t="s">
        <v>67</v>
      </c>
    </row>
    <row r="799" spans="6:12" x14ac:dyDescent="0.25">
      <c r="F799">
        <v>36</v>
      </c>
      <c r="G799" t="s">
        <v>112</v>
      </c>
      <c r="H799" t="s">
        <v>16</v>
      </c>
      <c r="I799" t="s">
        <v>929</v>
      </c>
      <c r="J799" t="s">
        <v>930</v>
      </c>
      <c r="L799" t="s">
        <v>67</v>
      </c>
    </row>
    <row r="800" spans="6:12" x14ac:dyDescent="0.25">
      <c r="F800">
        <v>37</v>
      </c>
      <c r="G800" t="s">
        <v>113</v>
      </c>
      <c r="H800" t="s">
        <v>16</v>
      </c>
      <c r="I800" t="s">
        <v>740</v>
      </c>
      <c r="J800" t="s">
        <v>924</v>
      </c>
      <c r="L800" t="s">
        <v>67</v>
      </c>
    </row>
    <row r="801" spans="2:12" x14ac:dyDescent="0.25">
      <c r="F801">
        <v>39</v>
      </c>
      <c r="G801" t="s">
        <v>124</v>
      </c>
      <c r="H801" t="s">
        <v>16</v>
      </c>
      <c r="I801" t="s">
        <v>933</v>
      </c>
      <c r="J801" t="s">
        <v>934</v>
      </c>
      <c r="L801" t="s">
        <v>67</v>
      </c>
    </row>
    <row r="802" spans="2:12" x14ac:dyDescent="0.25">
      <c r="F802">
        <v>41</v>
      </c>
      <c r="G802" t="s">
        <v>131</v>
      </c>
      <c r="H802" t="s">
        <v>16</v>
      </c>
      <c r="I802" t="s">
        <v>935</v>
      </c>
      <c r="J802" t="s">
        <v>791</v>
      </c>
      <c r="L802" t="s">
        <v>67</v>
      </c>
    </row>
    <row r="803" spans="2:12" x14ac:dyDescent="0.25">
      <c r="F803">
        <v>47</v>
      </c>
      <c r="G803" t="s">
        <v>154</v>
      </c>
      <c r="H803" t="s">
        <v>16</v>
      </c>
      <c r="I803" t="s">
        <v>935</v>
      </c>
      <c r="J803" t="s">
        <v>791</v>
      </c>
      <c r="L803" t="s">
        <v>67</v>
      </c>
    </row>
    <row r="804" spans="2:12" x14ac:dyDescent="0.25">
      <c r="F804">
        <v>48</v>
      </c>
      <c r="G804" t="s">
        <v>156</v>
      </c>
      <c r="H804" t="s">
        <v>16</v>
      </c>
      <c r="I804" t="s">
        <v>933</v>
      </c>
      <c r="J804" t="s">
        <v>934</v>
      </c>
      <c r="L804" t="s">
        <v>67</v>
      </c>
    </row>
    <row r="805" spans="2:12" x14ac:dyDescent="0.25">
      <c r="B805" t="s">
        <v>936</v>
      </c>
      <c r="C805" t="s">
        <v>164</v>
      </c>
      <c r="D805" t="s">
        <v>220</v>
      </c>
      <c r="E805" t="s">
        <v>221</v>
      </c>
      <c r="F805">
        <v>4</v>
      </c>
      <c r="G805" t="s">
        <v>71</v>
      </c>
      <c r="H805" t="s">
        <v>16</v>
      </c>
      <c r="I805" t="s">
        <v>937</v>
      </c>
      <c r="J805" t="s">
        <v>938</v>
      </c>
    </row>
    <row r="806" spans="2:12" x14ac:dyDescent="0.25">
      <c r="F806">
        <v>5</v>
      </c>
      <c r="G806" t="s">
        <v>73</v>
      </c>
      <c r="H806" t="s">
        <v>16</v>
      </c>
      <c r="I806" t="s">
        <v>423</v>
      </c>
      <c r="J806" t="s">
        <v>424</v>
      </c>
      <c r="L806" t="s">
        <v>67</v>
      </c>
    </row>
    <row r="807" spans="2:12" x14ac:dyDescent="0.25">
      <c r="F807">
        <v>6</v>
      </c>
      <c r="G807" t="s">
        <v>74</v>
      </c>
      <c r="H807" t="s">
        <v>16</v>
      </c>
      <c r="I807" t="s">
        <v>861</v>
      </c>
      <c r="J807" t="s">
        <v>825</v>
      </c>
      <c r="L807" t="s">
        <v>67</v>
      </c>
    </row>
    <row r="808" spans="2:12" x14ac:dyDescent="0.25">
      <c r="F808">
        <v>7</v>
      </c>
      <c r="G808" t="s">
        <v>75</v>
      </c>
      <c r="H808" t="s">
        <v>39</v>
      </c>
      <c r="I808" t="s">
        <v>326</v>
      </c>
      <c r="J808" t="s">
        <v>417</v>
      </c>
      <c r="L808" t="s">
        <v>67</v>
      </c>
    </row>
    <row r="809" spans="2:12" x14ac:dyDescent="0.25">
      <c r="F809">
        <v>8</v>
      </c>
      <c r="G809" t="s">
        <v>76</v>
      </c>
      <c r="H809" t="s">
        <v>16</v>
      </c>
      <c r="I809" t="s">
        <v>808</v>
      </c>
      <c r="J809" t="s">
        <v>809</v>
      </c>
      <c r="L809" t="s">
        <v>67</v>
      </c>
    </row>
    <row r="810" spans="2:12" x14ac:dyDescent="0.25">
      <c r="F810">
        <v>10</v>
      </c>
      <c r="G810" t="s">
        <v>80</v>
      </c>
      <c r="H810" t="s">
        <v>16</v>
      </c>
      <c r="I810" t="s">
        <v>79</v>
      </c>
      <c r="J810" t="s">
        <v>939</v>
      </c>
      <c r="L810" t="s">
        <v>67</v>
      </c>
    </row>
    <row r="811" spans="2:12" x14ac:dyDescent="0.25">
      <c r="F811">
        <v>13</v>
      </c>
      <c r="G811" t="s">
        <v>84</v>
      </c>
      <c r="H811" t="s">
        <v>16</v>
      </c>
      <c r="I811" t="s">
        <v>743</v>
      </c>
      <c r="J811" t="s">
        <v>744</v>
      </c>
      <c r="L811" t="s">
        <v>67</v>
      </c>
    </row>
    <row r="812" spans="2:12" x14ac:dyDescent="0.25">
      <c r="F812">
        <v>21</v>
      </c>
      <c r="G812" t="s">
        <v>93</v>
      </c>
      <c r="H812" t="s">
        <v>16</v>
      </c>
      <c r="I812" t="s">
        <v>940</v>
      </c>
      <c r="J812" t="s">
        <v>941</v>
      </c>
      <c r="L812" t="s">
        <v>67</v>
      </c>
    </row>
    <row r="813" spans="2:12" x14ac:dyDescent="0.25">
      <c r="F813">
        <v>22</v>
      </c>
      <c r="G813" t="s">
        <v>95</v>
      </c>
      <c r="H813" t="s">
        <v>16</v>
      </c>
      <c r="I813" t="s">
        <v>940</v>
      </c>
      <c r="J813" t="s">
        <v>941</v>
      </c>
      <c r="L813" t="s">
        <v>67</v>
      </c>
    </row>
    <row r="814" spans="2:12" x14ac:dyDescent="0.25">
      <c r="F814">
        <v>24</v>
      </c>
      <c r="G814" t="s">
        <v>97</v>
      </c>
      <c r="H814" t="s">
        <v>16</v>
      </c>
      <c r="I814" t="s">
        <v>475</v>
      </c>
      <c r="J814" t="s">
        <v>476</v>
      </c>
      <c r="L814" t="s">
        <v>67</v>
      </c>
    </row>
    <row r="815" spans="2:12" x14ac:dyDescent="0.25">
      <c r="F815">
        <v>26</v>
      </c>
      <c r="G815" t="s">
        <v>100</v>
      </c>
      <c r="H815" t="s">
        <v>18</v>
      </c>
    </row>
    <row r="816" spans="2:12" x14ac:dyDescent="0.25">
      <c r="F816">
        <v>27</v>
      </c>
      <c r="G816" t="s">
        <v>101</v>
      </c>
      <c r="H816" t="s">
        <v>16</v>
      </c>
      <c r="I816" t="s">
        <v>79</v>
      </c>
      <c r="J816" t="s">
        <v>465</v>
      </c>
      <c r="L816" t="s">
        <v>67</v>
      </c>
    </row>
    <row r="817" spans="2:12" x14ac:dyDescent="0.25">
      <c r="F817">
        <v>28</v>
      </c>
      <c r="G817" t="s">
        <v>103</v>
      </c>
      <c r="H817" t="s">
        <v>16</v>
      </c>
      <c r="I817" t="s">
        <v>814</v>
      </c>
      <c r="J817" t="s">
        <v>815</v>
      </c>
      <c r="L817" t="s">
        <v>67</v>
      </c>
    </row>
    <row r="818" spans="2:12" x14ac:dyDescent="0.25">
      <c r="F818">
        <v>29</v>
      </c>
      <c r="G818" t="s">
        <v>104</v>
      </c>
      <c r="H818" t="s">
        <v>16</v>
      </c>
      <c r="I818" t="s">
        <v>332</v>
      </c>
      <c r="J818" t="s">
        <v>333</v>
      </c>
      <c r="L818" t="s">
        <v>67</v>
      </c>
    </row>
    <row r="819" spans="2:12" x14ac:dyDescent="0.25">
      <c r="F819">
        <v>30</v>
      </c>
      <c r="G819" t="s">
        <v>106</v>
      </c>
      <c r="H819" t="s">
        <v>16</v>
      </c>
      <c r="I819" t="s">
        <v>475</v>
      </c>
      <c r="J819" t="s">
        <v>476</v>
      </c>
      <c r="L819" t="s">
        <v>67</v>
      </c>
    </row>
    <row r="820" spans="2:12" x14ac:dyDescent="0.25">
      <c r="F820">
        <v>31</v>
      </c>
      <c r="G820" t="s">
        <v>107</v>
      </c>
      <c r="H820" t="s">
        <v>16</v>
      </c>
      <c r="I820" t="s">
        <v>372</v>
      </c>
      <c r="J820" t="s">
        <v>476</v>
      </c>
      <c r="L820" t="s">
        <v>67</v>
      </c>
    </row>
    <row r="821" spans="2:12" x14ac:dyDescent="0.25">
      <c r="F821">
        <v>32</v>
      </c>
      <c r="G821" t="s">
        <v>108</v>
      </c>
      <c r="H821" t="s">
        <v>16</v>
      </c>
      <c r="I821" t="s">
        <v>477</v>
      </c>
      <c r="J821" t="s">
        <v>478</v>
      </c>
      <c r="L821" t="s">
        <v>67</v>
      </c>
    </row>
    <row r="822" spans="2:12" x14ac:dyDescent="0.25">
      <c r="F822">
        <v>33</v>
      </c>
      <c r="G822" t="s">
        <v>109</v>
      </c>
      <c r="H822" t="s">
        <v>16</v>
      </c>
      <c r="I822" t="s">
        <v>332</v>
      </c>
      <c r="J822" t="s">
        <v>333</v>
      </c>
      <c r="L822" t="s">
        <v>67</v>
      </c>
    </row>
    <row r="823" spans="2:12" x14ac:dyDescent="0.25">
      <c r="F823">
        <v>34</v>
      </c>
      <c r="G823" t="s">
        <v>110</v>
      </c>
      <c r="H823" t="s">
        <v>16</v>
      </c>
      <c r="I823" t="s">
        <v>79</v>
      </c>
      <c r="J823" t="s">
        <v>942</v>
      </c>
      <c r="L823" t="s">
        <v>67</v>
      </c>
    </row>
    <row r="824" spans="2:12" x14ac:dyDescent="0.25">
      <c r="F824">
        <v>35</v>
      </c>
      <c r="G824" t="s">
        <v>111</v>
      </c>
      <c r="H824" t="s">
        <v>16</v>
      </c>
      <c r="I824" t="s">
        <v>743</v>
      </c>
      <c r="J824" t="s">
        <v>744</v>
      </c>
      <c r="L824" t="s">
        <v>67</v>
      </c>
    </row>
    <row r="825" spans="2:12" x14ac:dyDescent="0.25">
      <c r="F825">
        <v>36</v>
      </c>
      <c r="G825" t="s">
        <v>112</v>
      </c>
      <c r="H825" t="s">
        <v>16</v>
      </c>
      <c r="I825" t="s">
        <v>850</v>
      </c>
      <c r="J825" t="s">
        <v>851</v>
      </c>
      <c r="L825" t="s">
        <v>67</v>
      </c>
    </row>
    <row r="826" spans="2:12" x14ac:dyDescent="0.25">
      <c r="F826">
        <v>37</v>
      </c>
      <c r="G826" t="s">
        <v>113</v>
      </c>
      <c r="H826" t="s">
        <v>16</v>
      </c>
      <c r="I826" t="s">
        <v>772</v>
      </c>
      <c r="J826" t="s">
        <v>773</v>
      </c>
      <c r="L826" t="s">
        <v>67</v>
      </c>
    </row>
    <row r="827" spans="2:12" x14ac:dyDescent="0.25">
      <c r="F827">
        <v>39</v>
      </c>
      <c r="G827" t="s">
        <v>124</v>
      </c>
      <c r="H827" t="s">
        <v>18</v>
      </c>
    </row>
    <row r="828" spans="2:12" x14ac:dyDescent="0.25">
      <c r="F828">
        <v>41</v>
      </c>
      <c r="G828" t="s">
        <v>131</v>
      </c>
      <c r="H828" t="s">
        <v>16</v>
      </c>
      <c r="I828" t="s">
        <v>943</v>
      </c>
      <c r="J828" t="s">
        <v>944</v>
      </c>
      <c r="L828" t="s">
        <v>67</v>
      </c>
    </row>
    <row r="829" spans="2:12" x14ac:dyDescent="0.25">
      <c r="F829">
        <v>48</v>
      </c>
      <c r="G829" t="s">
        <v>156</v>
      </c>
      <c r="H829" t="s">
        <v>16</v>
      </c>
      <c r="I829" t="s">
        <v>945</v>
      </c>
      <c r="J829" t="s">
        <v>946</v>
      </c>
      <c r="L829" t="s">
        <v>67</v>
      </c>
    </row>
    <row r="830" spans="2:12" x14ac:dyDescent="0.25">
      <c r="F830">
        <v>49</v>
      </c>
      <c r="G830" t="s">
        <v>163</v>
      </c>
      <c r="H830" t="s">
        <v>16</v>
      </c>
      <c r="I830" t="s">
        <v>947</v>
      </c>
      <c r="J830" t="s">
        <v>948</v>
      </c>
      <c r="L830" t="s">
        <v>67</v>
      </c>
    </row>
    <row r="831" spans="2:12" x14ac:dyDescent="0.25">
      <c r="F831">
        <v>50</v>
      </c>
      <c r="G831" t="s">
        <v>165</v>
      </c>
      <c r="H831" t="s">
        <v>16</v>
      </c>
      <c r="I831" t="s">
        <v>79</v>
      </c>
      <c r="J831" t="s">
        <v>949</v>
      </c>
      <c r="L831" t="s">
        <v>67</v>
      </c>
    </row>
    <row r="832" spans="2:12" x14ac:dyDescent="0.25">
      <c r="B832" t="s">
        <v>950</v>
      </c>
      <c r="C832" t="s">
        <v>164</v>
      </c>
      <c r="D832" t="s">
        <v>223</v>
      </c>
      <c r="E832" t="s">
        <v>224</v>
      </c>
      <c r="F832">
        <v>4</v>
      </c>
      <c r="G832" t="s">
        <v>71</v>
      </c>
      <c r="H832" t="s">
        <v>16</v>
      </c>
      <c r="I832" t="s">
        <v>780</v>
      </c>
      <c r="J832" t="s">
        <v>781</v>
      </c>
      <c r="L832" t="s">
        <v>67</v>
      </c>
    </row>
    <row r="833" spans="6:12" x14ac:dyDescent="0.25">
      <c r="F833">
        <v>5</v>
      </c>
      <c r="G833" t="s">
        <v>73</v>
      </c>
      <c r="H833" t="s">
        <v>16</v>
      </c>
      <c r="I833" t="s">
        <v>951</v>
      </c>
      <c r="J833" t="s">
        <v>952</v>
      </c>
      <c r="L833" t="s">
        <v>67</v>
      </c>
    </row>
    <row r="834" spans="6:12" x14ac:dyDescent="0.25">
      <c r="F834">
        <v>6</v>
      </c>
      <c r="G834" t="s">
        <v>74</v>
      </c>
      <c r="H834" t="s">
        <v>16</v>
      </c>
      <c r="I834" t="s">
        <v>953</v>
      </c>
      <c r="J834" t="s">
        <v>954</v>
      </c>
      <c r="L834" t="s">
        <v>67</v>
      </c>
    </row>
    <row r="835" spans="6:12" x14ac:dyDescent="0.25">
      <c r="F835">
        <v>7</v>
      </c>
      <c r="G835" t="s">
        <v>75</v>
      </c>
      <c r="H835" t="s">
        <v>39</v>
      </c>
      <c r="I835" t="s">
        <v>326</v>
      </c>
      <c r="J835" t="s">
        <v>954</v>
      </c>
      <c r="L835" t="s">
        <v>67</v>
      </c>
    </row>
    <row r="836" spans="6:12" x14ac:dyDescent="0.25">
      <c r="F836">
        <v>8</v>
      </c>
      <c r="G836" t="s">
        <v>76</v>
      </c>
      <c r="H836" t="s">
        <v>16</v>
      </c>
      <c r="I836" t="s">
        <v>439</v>
      </c>
      <c r="J836" t="s">
        <v>955</v>
      </c>
      <c r="L836" t="s">
        <v>67</v>
      </c>
    </row>
    <row r="837" spans="6:12" x14ac:dyDescent="0.25">
      <c r="F837">
        <v>10</v>
      </c>
      <c r="G837" t="s">
        <v>80</v>
      </c>
      <c r="H837" t="s">
        <v>16</v>
      </c>
      <c r="I837" t="s">
        <v>79</v>
      </c>
      <c r="J837" t="s">
        <v>442</v>
      </c>
      <c r="L837" t="s">
        <v>67</v>
      </c>
    </row>
    <row r="838" spans="6:12" x14ac:dyDescent="0.25">
      <c r="F838">
        <v>13</v>
      </c>
      <c r="G838" t="s">
        <v>84</v>
      </c>
      <c r="H838" t="s">
        <v>16</v>
      </c>
      <c r="I838" t="s">
        <v>832</v>
      </c>
      <c r="J838" t="s">
        <v>833</v>
      </c>
      <c r="L838" t="s">
        <v>67</v>
      </c>
    </row>
    <row r="839" spans="6:12" x14ac:dyDescent="0.25">
      <c r="F839">
        <v>21</v>
      </c>
      <c r="G839" t="s">
        <v>93</v>
      </c>
      <c r="H839" t="s">
        <v>16</v>
      </c>
      <c r="I839" t="s">
        <v>956</v>
      </c>
      <c r="J839" t="s">
        <v>957</v>
      </c>
      <c r="L839" t="s">
        <v>67</v>
      </c>
    </row>
    <row r="840" spans="6:12" x14ac:dyDescent="0.25">
      <c r="F840">
        <v>22</v>
      </c>
      <c r="G840" t="s">
        <v>95</v>
      </c>
      <c r="H840" t="s">
        <v>16</v>
      </c>
      <c r="I840" t="s">
        <v>956</v>
      </c>
      <c r="J840" t="s">
        <v>957</v>
      </c>
      <c r="L840" t="s">
        <v>67</v>
      </c>
    </row>
    <row r="841" spans="6:12" x14ac:dyDescent="0.25">
      <c r="F841">
        <v>24</v>
      </c>
      <c r="G841" t="s">
        <v>97</v>
      </c>
      <c r="H841" t="s">
        <v>16</v>
      </c>
      <c r="I841" t="s">
        <v>447</v>
      </c>
      <c r="J841" t="s">
        <v>391</v>
      </c>
      <c r="L841" t="s">
        <v>67</v>
      </c>
    </row>
    <row r="842" spans="6:12" x14ac:dyDescent="0.25">
      <c r="F842">
        <v>26</v>
      </c>
      <c r="G842" t="s">
        <v>100</v>
      </c>
      <c r="H842" t="s">
        <v>18</v>
      </c>
    </row>
    <row r="843" spans="6:12" x14ac:dyDescent="0.25">
      <c r="F843">
        <v>27</v>
      </c>
      <c r="G843" t="s">
        <v>101</v>
      </c>
      <c r="H843" t="s">
        <v>16</v>
      </c>
      <c r="I843" t="s">
        <v>79</v>
      </c>
      <c r="J843" t="s">
        <v>465</v>
      </c>
      <c r="L843" t="s">
        <v>67</v>
      </c>
    </row>
    <row r="844" spans="6:12" x14ac:dyDescent="0.25">
      <c r="F844">
        <v>28</v>
      </c>
      <c r="G844" t="s">
        <v>103</v>
      </c>
      <c r="H844" t="s">
        <v>16</v>
      </c>
      <c r="I844" t="s">
        <v>814</v>
      </c>
      <c r="J844" t="s">
        <v>815</v>
      </c>
      <c r="L844" t="s">
        <v>67</v>
      </c>
    </row>
    <row r="845" spans="6:12" x14ac:dyDescent="0.25">
      <c r="F845">
        <v>29</v>
      </c>
      <c r="G845" t="s">
        <v>104</v>
      </c>
      <c r="H845" t="s">
        <v>16</v>
      </c>
      <c r="I845" t="s">
        <v>332</v>
      </c>
      <c r="J845" t="s">
        <v>333</v>
      </c>
      <c r="L845" t="s">
        <v>67</v>
      </c>
    </row>
    <row r="846" spans="6:12" x14ac:dyDescent="0.25">
      <c r="F846">
        <v>30</v>
      </c>
      <c r="G846" t="s">
        <v>106</v>
      </c>
      <c r="H846" t="s">
        <v>16</v>
      </c>
      <c r="I846" t="s">
        <v>447</v>
      </c>
      <c r="J846" t="s">
        <v>391</v>
      </c>
      <c r="L846" t="s">
        <v>67</v>
      </c>
    </row>
    <row r="847" spans="6:12" x14ac:dyDescent="0.25">
      <c r="F847">
        <v>31</v>
      </c>
      <c r="G847" t="s">
        <v>107</v>
      </c>
      <c r="H847" t="s">
        <v>16</v>
      </c>
      <c r="I847" t="s">
        <v>419</v>
      </c>
      <c r="J847" t="s">
        <v>415</v>
      </c>
      <c r="L847" t="s">
        <v>67</v>
      </c>
    </row>
    <row r="848" spans="6:12" x14ac:dyDescent="0.25">
      <c r="F848">
        <v>32</v>
      </c>
      <c r="G848" t="s">
        <v>108</v>
      </c>
      <c r="H848" t="s">
        <v>16</v>
      </c>
      <c r="I848" t="s">
        <v>932</v>
      </c>
      <c r="J848" t="s">
        <v>910</v>
      </c>
      <c r="L848" t="s">
        <v>67</v>
      </c>
    </row>
    <row r="849" spans="2:12" x14ac:dyDescent="0.25">
      <c r="F849">
        <v>33</v>
      </c>
      <c r="G849" t="s">
        <v>109</v>
      </c>
      <c r="H849" t="s">
        <v>16</v>
      </c>
      <c r="I849" t="s">
        <v>332</v>
      </c>
      <c r="J849" t="s">
        <v>333</v>
      </c>
      <c r="L849" t="s">
        <v>67</v>
      </c>
    </row>
    <row r="850" spans="2:12" x14ac:dyDescent="0.25">
      <c r="F850">
        <v>34</v>
      </c>
      <c r="G850" t="s">
        <v>110</v>
      </c>
      <c r="H850" t="s">
        <v>16</v>
      </c>
      <c r="I850" t="s">
        <v>79</v>
      </c>
      <c r="J850" t="s">
        <v>391</v>
      </c>
      <c r="L850" t="s">
        <v>67</v>
      </c>
    </row>
    <row r="851" spans="2:12" x14ac:dyDescent="0.25">
      <c r="F851">
        <v>35</v>
      </c>
      <c r="G851" t="s">
        <v>111</v>
      </c>
      <c r="H851" t="s">
        <v>16</v>
      </c>
      <c r="I851" t="s">
        <v>743</v>
      </c>
      <c r="J851" t="s">
        <v>744</v>
      </c>
      <c r="L851" t="s">
        <v>67</v>
      </c>
    </row>
    <row r="852" spans="2:12" x14ac:dyDescent="0.25">
      <c r="F852">
        <v>36</v>
      </c>
      <c r="G852" t="s">
        <v>112</v>
      </c>
      <c r="H852" t="s">
        <v>16</v>
      </c>
      <c r="I852" t="s">
        <v>434</v>
      </c>
      <c r="J852" t="s">
        <v>435</v>
      </c>
      <c r="L852" t="s">
        <v>67</v>
      </c>
    </row>
    <row r="853" spans="2:12" x14ac:dyDescent="0.25">
      <c r="F853">
        <v>37</v>
      </c>
      <c r="G853" t="s">
        <v>113</v>
      </c>
      <c r="H853" t="s">
        <v>16</v>
      </c>
      <c r="I853" t="s">
        <v>314</v>
      </c>
      <c r="J853" t="s">
        <v>315</v>
      </c>
      <c r="L853" t="s">
        <v>67</v>
      </c>
    </row>
    <row r="854" spans="2:12" x14ac:dyDescent="0.25">
      <c r="F854">
        <v>39</v>
      </c>
      <c r="G854" t="s">
        <v>124</v>
      </c>
      <c r="H854" t="s">
        <v>39</v>
      </c>
      <c r="I854" t="s">
        <v>958</v>
      </c>
      <c r="J854" t="s">
        <v>959</v>
      </c>
    </row>
    <row r="855" spans="2:12" x14ac:dyDescent="0.25">
      <c r="F855">
        <v>41</v>
      </c>
      <c r="G855" t="s">
        <v>131</v>
      </c>
      <c r="H855" t="s">
        <v>16</v>
      </c>
      <c r="I855" t="s">
        <v>960</v>
      </c>
      <c r="J855" t="s">
        <v>961</v>
      </c>
      <c r="L855" t="s">
        <v>67</v>
      </c>
    </row>
    <row r="856" spans="2:12" x14ac:dyDescent="0.25">
      <c r="F856">
        <v>48</v>
      </c>
      <c r="G856" t="s">
        <v>156</v>
      </c>
      <c r="H856" t="s">
        <v>39</v>
      </c>
      <c r="I856" t="s">
        <v>958</v>
      </c>
      <c r="J856" t="s">
        <v>959</v>
      </c>
      <c r="L856" t="s">
        <v>67</v>
      </c>
    </row>
    <row r="857" spans="2:12" x14ac:dyDescent="0.25">
      <c r="F857">
        <v>49</v>
      </c>
      <c r="G857" t="s">
        <v>163</v>
      </c>
      <c r="H857" t="s">
        <v>16</v>
      </c>
      <c r="I857" t="s">
        <v>412</v>
      </c>
      <c r="J857" t="s">
        <v>962</v>
      </c>
    </row>
    <row r="858" spans="2:12" x14ac:dyDescent="0.25">
      <c r="F858">
        <v>50</v>
      </c>
      <c r="G858" t="s">
        <v>165</v>
      </c>
      <c r="H858" t="s">
        <v>16</v>
      </c>
      <c r="I858" t="s">
        <v>79</v>
      </c>
      <c r="J858" t="s">
        <v>963</v>
      </c>
      <c r="L858" t="s">
        <v>67</v>
      </c>
    </row>
    <row r="859" spans="2:12" x14ac:dyDescent="0.25">
      <c r="B859" t="s">
        <v>964</v>
      </c>
      <c r="C859" t="s">
        <v>164</v>
      </c>
      <c r="D859" t="s">
        <v>226</v>
      </c>
      <c r="E859" t="s">
        <v>227</v>
      </c>
      <c r="F859">
        <v>4</v>
      </c>
      <c r="G859" t="s">
        <v>71</v>
      </c>
      <c r="H859" t="s">
        <v>16</v>
      </c>
      <c r="I859" t="s">
        <v>965</v>
      </c>
      <c r="J859" t="s">
        <v>966</v>
      </c>
      <c r="L859" t="s">
        <v>67</v>
      </c>
    </row>
    <row r="860" spans="2:12" x14ac:dyDescent="0.25">
      <c r="F860">
        <v>5</v>
      </c>
      <c r="G860" t="s">
        <v>73</v>
      </c>
      <c r="H860" t="s">
        <v>16</v>
      </c>
      <c r="I860" t="s">
        <v>967</v>
      </c>
      <c r="J860" t="s">
        <v>433</v>
      </c>
      <c r="L860" t="s">
        <v>67</v>
      </c>
    </row>
    <row r="861" spans="2:12" x14ac:dyDescent="0.25">
      <c r="F861">
        <v>6</v>
      </c>
      <c r="G861" t="s">
        <v>74</v>
      </c>
      <c r="H861" t="s">
        <v>16</v>
      </c>
      <c r="I861" t="s">
        <v>387</v>
      </c>
      <c r="J861" t="s">
        <v>388</v>
      </c>
      <c r="L861" t="s">
        <v>67</v>
      </c>
    </row>
    <row r="862" spans="2:12" x14ac:dyDescent="0.25">
      <c r="F862">
        <v>7</v>
      </c>
      <c r="G862" t="s">
        <v>75</v>
      </c>
      <c r="H862" t="s">
        <v>16</v>
      </c>
      <c r="I862" t="s">
        <v>968</v>
      </c>
      <c r="J862" t="s">
        <v>388</v>
      </c>
      <c r="L862" t="s">
        <v>67</v>
      </c>
    </row>
    <row r="863" spans="2:12" x14ac:dyDescent="0.25">
      <c r="F863">
        <v>8</v>
      </c>
      <c r="G863" t="s">
        <v>76</v>
      </c>
      <c r="H863" t="s">
        <v>16</v>
      </c>
      <c r="I863" t="s">
        <v>328</v>
      </c>
      <c r="J863" t="s">
        <v>329</v>
      </c>
      <c r="L863" t="s">
        <v>67</v>
      </c>
    </row>
    <row r="864" spans="2:12" x14ac:dyDescent="0.25">
      <c r="F864">
        <v>10</v>
      </c>
      <c r="G864" t="s">
        <v>80</v>
      </c>
      <c r="H864" t="s">
        <v>16</v>
      </c>
      <c r="I864" t="s">
        <v>79</v>
      </c>
      <c r="J864" t="s">
        <v>442</v>
      </c>
      <c r="L864" t="s">
        <v>67</v>
      </c>
    </row>
    <row r="865" spans="6:12" x14ac:dyDescent="0.25">
      <c r="F865">
        <v>13</v>
      </c>
      <c r="G865" t="s">
        <v>84</v>
      </c>
      <c r="H865" t="s">
        <v>16</v>
      </c>
      <c r="I865" t="s">
        <v>763</v>
      </c>
      <c r="J865" t="s">
        <v>764</v>
      </c>
      <c r="L865" t="s">
        <v>67</v>
      </c>
    </row>
    <row r="866" spans="6:12" x14ac:dyDescent="0.25">
      <c r="F866">
        <v>21</v>
      </c>
      <c r="G866" t="s">
        <v>93</v>
      </c>
      <c r="H866" t="s">
        <v>16</v>
      </c>
      <c r="I866" t="s">
        <v>729</v>
      </c>
      <c r="J866" t="s">
        <v>730</v>
      </c>
      <c r="L866" t="s">
        <v>67</v>
      </c>
    </row>
    <row r="867" spans="6:12" x14ac:dyDescent="0.25">
      <c r="F867">
        <v>22</v>
      </c>
      <c r="G867" t="s">
        <v>95</v>
      </c>
      <c r="H867" t="s">
        <v>16</v>
      </c>
      <c r="I867" t="s">
        <v>969</v>
      </c>
      <c r="J867" t="s">
        <v>970</v>
      </c>
      <c r="L867" t="s">
        <v>67</v>
      </c>
    </row>
    <row r="868" spans="6:12" x14ac:dyDescent="0.25">
      <c r="F868">
        <v>24</v>
      </c>
      <c r="G868" t="s">
        <v>97</v>
      </c>
      <c r="H868" t="s">
        <v>16</v>
      </c>
      <c r="I868" t="s">
        <v>382</v>
      </c>
      <c r="J868" t="s">
        <v>360</v>
      </c>
      <c r="L868" t="s">
        <v>67</v>
      </c>
    </row>
    <row r="869" spans="6:12" x14ac:dyDescent="0.25">
      <c r="F869">
        <v>26</v>
      </c>
      <c r="G869" t="s">
        <v>100</v>
      </c>
      <c r="H869" t="s">
        <v>16</v>
      </c>
      <c r="I869" t="s">
        <v>881</v>
      </c>
      <c r="J869" t="s">
        <v>478</v>
      </c>
      <c r="L869" t="s">
        <v>67</v>
      </c>
    </row>
    <row r="870" spans="6:12" x14ac:dyDescent="0.25">
      <c r="F870">
        <v>27</v>
      </c>
      <c r="G870" t="s">
        <v>101</v>
      </c>
      <c r="H870" t="s">
        <v>16</v>
      </c>
      <c r="I870" t="s">
        <v>79</v>
      </c>
      <c r="J870" t="s">
        <v>465</v>
      </c>
      <c r="L870" t="s">
        <v>67</v>
      </c>
    </row>
    <row r="871" spans="6:12" x14ac:dyDescent="0.25">
      <c r="F871">
        <v>28</v>
      </c>
      <c r="G871" t="s">
        <v>103</v>
      </c>
      <c r="H871" t="s">
        <v>16</v>
      </c>
      <c r="I871" t="s">
        <v>814</v>
      </c>
      <c r="J871" t="s">
        <v>815</v>
      </c>
      <c r="L871" t="s">
        <v>67</v>
      </c>
    </row>
    <row r="872" spans="6:12" x14ac:dyDescent="0.25">
      <c r="F872">
        <v>29</v>
      </c>
      <c r="G872" t="s">
        <v>104</v>
      </c>
      <c r="H872" t="s">
        <v>16</v>
      </c>
      <c r="I872" t="s">
        <v>332</v>
      </c>
      <c r="J872" t="s">
        <v>333</v>
      </c>
      <c r="L872" t="s">
        <v>67</v>
      </c>
    </row>
    <row r="873" spans="6:12" x14ac:dyDescent="0.25">
      <c r="F873">
        <v>30</v>
      </c>
      <c r="G873" t="s">
        <v>106</v>
      </c>
      <c r="H873" t="s">
        <v>16</v>
      </c>
      <c r="I873" t="s">
        <v>382</v>
      </c>
      <c r="J873" t="s">
        <v>360</v>
      </c>
      <c r="L873" t="s">
        <v>67</v>
      </c>
    </row>
    <row r="874" spans="6:12" x14ac:dyDescent="0.25">
      <c r="F874">
        <v>31</v>
      </c>
      <c r="G874" t="s">
        <v>107</v>
      </c>
      <c r="H874" t="s">
        <v>16</v>
      </c>
      <c r="I874" t="s">
        <v>386</v>
      </c>
      <c r="J874" t="s">
        <v>360</v>
      </c>
      <c r="L874" t="s">
        <v>67</v>
      </c>
    </row>
    <row r="875" spans="6:12" x14ac:dyDescent="0.25">
      <c r="F875">
        <v>32</v>
      </c>
      <c r="G875" t="s">
        <v>108</v>
      </c>
      <c r="H875" t="s">
        <v>16</v>
      </c>
      <c r="I875" t="s">
        <v>932</v>
      </c>
      <c r="J875" t="s">
        <v>910</v>
      </c>
      <c r="L875" t="s">
        <v>67</v>
      </c>
    </row>
    <row r="876" spans="6:12" x14ac:dyDescent="0.25">
      <c r="F876">
        <v>33</v>
      </c>
      <c r="G876" t="s">
        <v>109</v>
      </c>
      <c r="H876" t="s">
        <v>16</v>
      </c>
      <c r="I876" t="s">
        <v>332</v>
      </c>
      <c r="J876" t="s">
        <v>333</v>
      </c>
      <c r="L876" t="s">
        <v>67</v>
      </c>
    </row>
    <row r="877" spans="6:12" x14ac:dyDescent="0.25">
      <c r="F877">
        <v>34</v>
      </c>
      <c r="G877" t="s">
        <v>110</v>
      </c>
      <c r="H877" t="s">
        <v>16</v>
      </c>
      <c r="I877" t="s">
        <v>79</v>
      </c>
      <c r="J877" t="s">
        <v>360</v>
      </c>
      <c r="L877" t="s">
        <v>67</v>
      </c>
    </row>
    <row r="878" spans="6:12" x14ac:dyDescent="0.25">
      <c r="F878">
        <v>35</v>
      </c>
      <c r="G878" t="s">
        <v>111</v>
      </c>
      <c r="H878" t="s">
        <v>16</v>
      </c>
      <c r="I878" t="s">
        <v>756</v>
      </c>
      <c r="J878" t="s">
        <v>757</v>
      </c>
      <c r="L878" t="s">
        <v>67</v>
      </c>
    </row>
    <row r="879" spans="6:12" x14ac:dyDescent="0.25">
      <c r="F879">
        <v>36</v>
      </c>
      <c r="G879" t="s">
        <v>112</v>
      </c>
      <c r="H879" t="s">
        <v>16</v>
      </c>
      <c r="I879" t="s">
        <v>729</v>
      </c>
      <c r="J879" t="s">
        <v>730</v>
      </c>
      <c r="L879" t="s">
        <v>67</v>
      </c>
    </row>
    <row r="880" spans="6:12" x14ac:dyDescent="0.25">
      <c r="F880">
        <v>37</v>
      </c>
      <c r="G880" t="s">
        <v>113</v>
      </c>
      <c r="H880" t="s">
        <v>16</v>
      </c>
      <c r="I880" t="s">
        <v>314</v>
      </c>
      <c r="J880" t="s">
        <v>315</v>
      </c>
      <c r="L880" t="s">
        <v>67</v>
      </c>
    </row>
    <row r="881" spans="2:12" x14ac:dyDescent="0.25">
      <c r="F881">
        <v>39</v>
      </c>
      <c r="G881" t="s">
        <v>124</v>
      </c>
      <c r="H881" t="s">
        <v>16</v>
      </c>
      <c r="I881" t="s">
        <v>971</v>
      </c>
      <c r="J881" t="s">
        <v>972</v>
      </c>
    </row>
    <row r="882" spans="2:12" x14ac:dyDescent="0.25">
      <c r="F882">
        <v>41</v>
      </c>
      <c r="G882" t="s">
        <v>131</v>
      </c>
      <c r="H882" t="s">
        <v>16</v>
      </c>
      <c r="I882" t="s">
        <v>973</v>
      </c>
      <c r="J882" t="s">
        <v>974</v>
      </c>
      <c r="L882" t="s">
        <v>67</v>
      </c>
    </row>
    <row r="883" spans="2:12" x14ac:dyDescent="0.25">
      <c r="F883">
        <v>48</v>
      </c>
      <c r="G883" t="s">
        <v>156</v>
      </c>
      <c r="H883" t="s">
        <v>16</v>
      </c>
      <c r="I883" t="s">
        <v>971</v>
      </c>
      <c r="J883" t="s">
        <v>972</v>
      </c>
    </row>
    <row r="884" spans="2:12" x14ac:dyDescent="0.25">
      <c r="F884">
        <v>49</v>
      </c>
      <c r="G884" t="s">
        <v>163</v>
      </c>
      <c r="H884" t="s">
        <v>16</v>
      </c>
      <c r="I884" t="s">
        <v>975</v>
      </c>
      <c r="J884" t="s">
        <v>976</v>
      </c>
    </row>
    <row r="885" spans="2:12" x14ac:dyDescent="0.25">
      <c r="F885">
        <v>50</v>
      </c>
      <c r="G885" t="s">
        <v>165</v>
      </c>
      <c r="H885" t="s">
        <v>16</v>
      </c>
      <c r="I885" t="s">
        <v>79</v>
      </c>
      <c r="J885" t="s">
        <v>507</v>
      </c>
      <c r="L885" t="s">
        <v>67</v>
      </c>
    </row>
    <row r="886" spans="2:12" x14ac:dyDescent="0.25">
      <c r="B886" t="s">
        <v>977</v>
      </c>
      <c r="C886" t="s">
        <v>164</v>
      </c>
      <c r="D886" t="s">
        <v>229</v>
      </c>
      <c r="E886" t="s">
        <v>230</v>
      </c>
      <c r="F886">
        <v>4</v>
      </c>
      <c r="G886" t="s">
        <v>71</v>
      </c>
      <c r="H886" t="s">
        <v>16</v>
      </c>
      <c r="I886" t="s">
        <v>546</v>
      </c>
      <c r="J886" t="s">
        <v>547</v>
      </c>
      <c r="L886" t="s">
        <v>67</v>
      </c>
    </row>
    <row r="887" spans="2:12" x14ac:dyDescent="0.25">
      <c r="F887">
        <v>5</v>
      </c>
      <c r="G887" t="s">
        <v>73</v>
      </c>
      <c r="H887" t="s">
        <v>16</v>
      </c>
      <c r="I887" t="s">
        <v>978</v>
      </c>
      <c r="J887" t="s">
        <v>979</v>
      </c>
      <c r="L887" t="s">
        <v>67</v>
      </c>
    </row>
    <row r="888" spans="2:12" x14ac:dyDescent="0.25">
      <c r="F888">
        <v>6</v>
      </c>
      <c r="G888" t="s">
        <v>74</v>
      </c>
      <c r="H888" t="s">
        <v>16</v>
      </c>
      <c r="I888" t="s">
        <v>916</v>
      </c>
      <c r="J888" t="s">
        <v>417</v>
      </c>
      <c r="L888" t="s">
        <v>67</v>
      </c>
    </row>
    <row r="889" spans="2:12" x14ac:dyDescent="0.25">
      <c r="F889">
        <v>7</v>
      </c>
      <c r="G889" t="s">
        <v>75</v>
      </c>
      <c r="H889" t="s">
        <v>39</v>
      </c>
      <c r="I889" t="s">
        <v>326</v>
      </c>
      <c r="J889" t="s">
        <v>417</v>
      </c>
      <c r="L889" t="s">
        <v>67</v>
      </c>
    </row>
    <row r="890" spans="2:12" x14ac:dyDescent="0.25">
      <c r="F890">
        <v>8</v>
      </c>
      <c r="G890" t="s">
        <v>76</v>
      </c>
      <c r="H890" t="s">
        <v>16</v>
      </c>
      <c r="I890" t="s">
        <v>980</v>
      </c>
      <c r="J890" t="s">
        <v>505</v>
      </c>
      <c r="L890" t="s">
        <v>67</v>
      </c>
    </row>
    <row r="891" spans="2:12" x14ac:dyDescent="0.25">
      <c r="F891">
        <v>10</v>
      </c>
      <c r="G891" t="s">
        <v>80</v>
      </c>
      <c r="H891" t="s">
        <v>16</v>
      </c>
      <c r="I891" t="s">
        <v>79</v>
      </c>
      <c r="J891" t="s">
        <v>331</v>
      </c>
      <c r="L891" t="s">
        <v>67</v>
      </c>
    </row>
    <row r="892" spans="2:12" x14ac:dyDescent="0.25">
      <c r="F892">
        <v>13</v>
      </c>
      <c r="G892" t="s">
        <v>84</v>
      </c>
      <c r="H892" t="s">
        <v>16</v>
      </c>
      <c r="I892" t="s">
        <v>743</v>
      </c>
      <c r="J892" t="s">
        <v>744</v>
      </c>
      <c r="L892" t="s">
        <v>67</v>
      </c>
    </row>
    <row r="893" spans="2:12" x14ac:dyDescent="0.25">
      <c r="F893">
        <v>21</v>
      </c>
      <c r="G893" t="s">
        <v>93</v>
      </c>
      <c r="H893" t="s">
        <v>16</v>
      </c>
      <c r="I893" t="s">
        <v>981</v>
      </c>
      <c r="J893" t="s">
        <v>982</v>
      </c>
      <c r="L893" t="s">
        <v>67</v>
      </c>
    </row>
    <row r="894" spans="2:12" x14ac:dyDescent="0.25">
      <c r="F894">
        <v>22</v>
      </c>
      <c r="G894" t="s">
        <v>95</v>
      </c>
      <c r="H894" t="s">
        <v>16</v>
      </c>
      <c r="I894" t="s">
        <v>981</v>
      </c>
      <c r="J894" t="s">
        <v>982</v>
      </c>
      <c r="L894" t="s">
        <v>67</v>
      </c>
    </row>
    <row r="895" spans="2:12" x14ac:dyDescent="0.25">
      <c r="F895">
        <v>24</v>
      </c>
      <c r="G895" t="s">
        <v>97</v>
      </c>
      <c r="H895" t="s">
        <v>16</v>
      </c>
      <c r="I895" t="s">
        <v>688</v>
      </c>
      <c r="J895" t="s">
        <v>942</v>
      </c>
      <c r="L895" t="s">
        <v>67</v>
      </c>
    </row>
    <row r="896" spans="2:12" x14ac:dyDescent="0.25">
      <c r="F896">
        <v>26</v>
      </c>
      <c r="G896" t="s">
        <v>100</v>
      </c>
      <c r="H896" t="s">
        <v>18</v>
      </c>
    </row>
    <row r="897" spans="6:12" x14ac:dyDescent="0.25">
      <c r="F897">
        <v>27</v>
      </c>
      <c r="G897" t="s">
        <v>101</v>
      </c>
      <c r="H897" t="s">
        <v>16</v>
      </c>
      <c r="I897" t="s">
        <v>79</v>
      </c>
      <c r="J897" t="s">
        <v>465</v>
      </c>
      <c r="L897" t="s">
        <v>67</v>
      </c>
    </row>
    <row r="898" spans="6:12" x14ac:dyDescent="0.25">
      <c r="F898">
        <v>28</v>
      </c>
      <c r="G898" t="s">
        <v>103</v>
      </c>
      <c r="H898" t="s">
        <v>16</v>
      </c>
      <c r="I898" t="s">
        <v>416</v>
      </c>
      <c r="J898" t="s">
        <v>417</v>
      </c>
      <c r="L898" t="s">
        <v>67</v>
      </c>
    </row>
    <row r="899" spans="6:12" x14ac:dyDescent="0.25">
      <c r="F899">
        <v>29</v>
      </c>
      <c r="G899" t="s">
        <v>104</v>
      </c>
      <c r="H899" t="s">
        <v>16</v>
      </c>
      <c r="I899" t="s">
        <v>332</v>
      </c>
      <c r="J899" t="s">
        <v>333</v>
      </c>
      <c r="L899" t="s">
        <v>67</v>
      </c>
    </row>
    <row r="900" spans="6:12" x14ac:dyDescent="0.25">
      <c r="F900">
        <v>30</v>
      </c>
      <c r="G900" t="s">
        <v>106</v>
      </c>
      <c r="H900" t="s">
        <v>16</v>
      </c>
      <c r="I900" t="s">
        <v>475</v>
      </c>
      <c r="J900" t="s">
        <v>476</v>
      </c>
      <c r="L900" t="s">
        <v>67</v>
      </c>
    </row>
    <row r="901" spans="6:12" x14ac:dyDescent="0.25">
      <c r="F901">
        <v>31</v>
      </c>
      <c r="G901" t="s">
        <v>107</v>
      </c>
      <c r="H901" t="s">
        <v>16</v>
      </c>
      <c r="I901" t="s">
        <v>983</v>
      </c>
      <c r="J901" t="s">
        <v>566</v>
      </c>
      <c r="L901" t="s">
        <v>67</v>
      </c>
    </row>
    <row r="902" spans="6:12" x14ac:dyDescent="0.25">
      <c r="F902">
        <v>32</v>
      </c>
      <c r="G902" t="s">
        <v>108</v>
      </c>
      <c r="H902" t="s">
        <v>16</v>
      </c>
      <c r="I902" t="s">
        <v>984</v>
      </c>
      <c r="J902" t="s">
        <v>985</v>
      </c>
      <c r="L902" t="s">
        <v>67</v>
      </c>
    </row>
    <row r="903" spans="6:12" x14ac:dyDescent="0.25">
      <c r="F903">
        <v>33</v>
      </c>
      <c r="G903" t="s">
        <v>109</v>
      </c>
      <c r="H903" t="s">
        <v>16</v>
      </c>
      <c r="I903" t="s">
        <v>332</v>
      </c>
      <c r="J903" t="s">
        <v>333</v>
      </c>
      <c r="L903" t="s">
        <v>67</v>
      </c>
    </row>
    <row r="904" spans="6:12" x14ac:dyDescent="0.25">
      <c r="F904">
        <v>34</v>
      </c>
      <c r="G904" t="s">
        <v>110</v>
      </c>
      <c r="H904" t="s">
        <v>16</v>
      </c>
      <c r="I904" t="s">
        <v>79</v>
      </c>
      <c r="J904" t="s">
        <v>476</v>
      </c>
      <c r="L904" t="s">
        <v>67</v>
      </c>
    </row>
    <row r="905" spans="6:12" x14ac:dyDescent="0.25">
      <c r="F905">
        <v>35</v>
      </c>
      <c r="G905" t="s">
        <v>111</v>
      </c>
      <c r="H905" t="s">
        <v>16</v>
      </c>
      <c r="I905" t="s">
        <v>774</v>
      </c>
      <c r="J905" t="s">
        <v>775</v>
      </c>
      <c r="L905" t="s">
        <v>67</v>
      </c>
    </row>
    <row r="906" spans="6:12" x14ac:dyDescent="0.25">
      <c r="F906">
        <v>36</v>
      </c>
      <c r="G906" t="s">
        <v>112</v>
      </c>
      <c r="H906" t="s">
        <v>16</v>
      </c>
      <c r="I906" t="s">
        <v>986</v>
      </c>
      <c r="J906" t="s">
        <v>987</v>
      </c>
      <c r="L906" t="s">
        <v>67</v>
      </c>
    </row>
    <row r="907" spans="6:12" x14ac:dyDescent="0.25">
      <c r="F907">
        <v>37</v>
      </c>
      <c r="G907" t="s">
        <v>113</v>
      </c>
      <c r="H907" t="s">
        <v>16</v>
      </c>
      <c r="I907" t="s">
        <v>772</v>
      </c>
      <c r="J907" t="s">
        <v>773</v>
      </c>
      <c r="L907" t="s">
        <v>67</v>
      </c>
    </row>
    <row r="908" spans="6:12" x14ac:dyDescent="0.25">
      <c r="F908">
        <v>39</v>
      </c>
      <c r="G908" t="s">
        <v>124</v>
      </c>
      <c r="H908" t="s">
        <v>16</v>
      </c>
      <c r="I908" t="s">
        <v>988</v>
      </c>
      <c r="J908" t="s">
        <v>833</v>
      </c>
    </row>
    <row r="909" spans="6:12" x14ac:dyDescent="0.25">
      <c r="F909">
        <v>41</v>
      </c>
      <c r="G909" t="s">
        <v>131</v>
      </c>
      <c r="H909" t="s">
        <v>16</v>
      </c>
      <c r="I909" t="s">
        <v>989</v>
      </c>
      <c r="J909" t="s">
        <v>990</v>
      </c>
      <c r="L909" t="s">
        <v>67</v>
      </c>
    </row>
    <row r="910" spans="6:12" x14ac:dyDescent="0.25">
      <c r="F910">
        <v>48</v>
      </c>
      <c r="G910" t="s">
        <v>156</v>
      </c>
      <c r="H910" t="s">
        <v>16</v>
      </c>
      <c r="I910" t="s">
        <v>988</v>
      </c>
      <c r="J910" t="s">
        <v>833</v>
      </c>
    </row>
    <row r="911" spans="6:12" x14ac:dyDescent="0.25">
      <c r="F911">
        <v>49</v>
      </c>
      <c r="G911" t="s">
        <v>163</v>
      </c>
      <c r="H911" t="s">
        <v>16</v>
      </c>
      <c r="I911" t="s">
        <v>953</v>
      </c>
      <c r="J911" t="s">
        <v>991</v>
      </c>
    </row>
    <row r="912" spans="6:12" x14ac:dyDescent="0.25">
      <c r="F912">
        <v>50</v>
      </c>
      <c r="G912" t="s">
        <v>165</v>
      </c>
      <c r="H912" t="s">
        <v>16</v>
      </c>
      <c r="I912" t="s">
        <v>79</v>
      </c>
      <c r="J912" t="s">
        <v>403</v>
      </c>
      <c r="L912" t="s">
        <v>67</v>
      </c>
    </row>
    <row r="913" spans="2:12" x14ac:dyDescent="0.25">
      <c r="B913" t="s">
        <v>992</v>
      </c>
      <c r="C913" t="s">
        <v>164</v>
      </c>
      <c r="D913" t="s">
        <v>232</v>
      </c>
      <c r="E913" t="s">
        <v>233</v>
      </c>
      <c r="F913">
        <v>4</v>
      </c>
      <c r="G913" t="s">
        <v>71</v>
      </c>
      <c r="H913" t="s">
        <v>18</v>
      </c>
    </row>
    <row r="914" spans="2:12" x14ac:dyDescent="0.25">
      <c r="F914">
        <v>5</v>
      </c>
      <c r="G914" t="s">
        <v>73</v>
      </c>
      <c r="H914" t="s">
        <v>16</v>
      </c>
      <c r="I914" t="s">
        <v>967</v>
      </c>
      <c r="J914" t="s">
        <v>433</v>
      </c>
      <c r="L914" t="s">
        <v>67</v>
      </c>
    </row>
    <row r="915" spans="2:12" x14ac:dyDescent="0.25">
      <c r="F915">
        <v>6</v>
      </c>
      <c r="G915" t="s">
        <v>74</v>
      </c>
      <c r="H915" t="s">
        <v>16</v>
      </c>
      <c r="I915" t="s">
        <v>993</v>
      </c>
      <c r="J915" t="s">
        <v>294</v>
      </c>
      <c r="L915" t="s">
        <v>67</v>
      </c>
    </row>
    <row r="916" spans="2:12" x14ac:dyDescent="0.25">
      <c r="F916">
        <v>7</v>
      </c>
      <c r="G916" t="s">
        <v>75</v>
      </c>
      <c r="H916" t="s">
        <v>18</v>
      </c>
    </row>
    <row r="917" spans="2:12" x14ac:dyDescent="0.25">
      <c r="F917">
        <v>8</v>
      </c>
      <c r="G917" t="s">
        <v>76</v>
      </c>
      <c r="H917" t="s">
        <v>16</v>
      </c>
      <c r="I917" t="s">
        <v>406</v>
      </c>
      <c r="J917" t="s">
        <v>994</v>
      </c>
      <c r="L917" t="s">
        <v>67</v>
      </c>
    </row>
    <row r="918" spans="2:12" x14ac:dyDescent="0.25">
      <c r="F918">
        <v>10</v>
      </c>
      <c r="G918" t="s">
        <v>80</v>
      </c>
      <c r="H918" t="s">
        <v>16</v>
      </c>
      <c r="I918" t="s">
        <v>79</v>
      </c>
      <c r="J918" t="s">
        <v>331</v>
      </c>
      <c r="L918" t="s">
        <v>67</v>
      </c>
    </row>
    <row r="919" spans="2:12" x14ac:dyDescent="0.25">
      <c r="F919">
        <v>13</v>
      </c>
      <c r="G919" t="s">
        <v>84</v>
      </c>
      <c r="H919" t="s">
        <v>16</v>
      </c>
      <c r="I919" t="s">
        <v>886</v>
      </c>
      <c r="J919" t="s">
        <v>887</v>
      </c>
      <c r="L919" t="s">
        <v>67</v>
      </c>
    </row>
    <row r="920" spans="2:12" x14ac:dyDescent="0.25">
      <c r="F920">
        <v>21</v>
      </c>
      <c r="G920" t="s">
        <v>93</v>
      </c>
      <c r="H920" t="s">
        <v>16</v>
      </c>
      <c r="I920" t="s">
        <v>836</v>
      </c>
      <c r="J920" t="s">
        <v>760</v>
      </c>
      <c r="L920" t="s">
        <v>67</v>
      </c>
    </row>
    <row r="921" spans="2:12" x14ac:dyDescent="0.25">
      <c r="F921">
        <v>22</v>
      </c>
      <c r="G921" t="s">
        <v>95</v>
      </c>
      <c r="H921" t="s">
        <v>16</v>
      </c>
      <c r="I921" t="s">
        <v>836</v>
      </c>
      <c r="J921" t="s">
        <v>760</v>
      </c>
      <c r="L921" t="s">
        <v>67</v>
      </c>
    </row>
    <row r="922" spans="2:12" x14ac:dyDescent="0.25">
      <c r="F922">
        <v>24</v>
      </c>
      <c r="G922" t="s">
        <v>97</v>
      </c>
      <c r="H922" t="s">
        <v>16</v>
      </c>
      <c r="I922" t="s">
        <v>995</v>
      </c>
      <c r="J922" t="s">
        <v>852</v>
      </c>
      <c r="L922" t="s">
        <v>67</v>
      </c>
    </row>
    <row r="923" spans="2:12" x14ac:dyDescent="0.25">
      <c r="F923">
        <v>26</v>
      </c>
      <c r="G923" t="s">
        <v>100</v>
      </c>
      <c r="H923" t="s">
        <v>18</v>
      </c>
    </row>
    <row r="924" spans="2:12" x14ac:dyDescent="0.25">
      <c r="F924">
        <v>27</v>
      </c>
      <c r="G924" t="s">
        <v>101</v>
      </c>
      <c r="H924" t="s">
        <v>16</v>
      </c>
      <c r="I924" t="s">
        <v>79</v>
      </c>
      <c r="J924" t="s">
        <v>852</v>
      </c>
      <c r="L924" t="s">
        <v>67</v>
      </c>
    </row>
    <row r="925" spans="2:12" x14ac:dyDescent="0.25">
      <c r="F925">
        <v>28</v>
      </c>
      <c r="G925" t="s">
        <v>103</v>
      </c>
      <c r="H925" t="s">
        <v>16</v>
      </c>
      <c r="I925" t="s">
        <v>453</v>
      </c>
      <c r="J925" t="s">
        <v>454</v>
      </c>
      <c r="L925" t="s">
        <v>67</v>
      </c>
    </row>
    <row r="926" spans="2:12" x14ac:dyDescent="0.25">
      <c r="F926">
        <v>29</v>
      </c>
      <c r="G926" t="s">
        <v>104</v>
      </c>
      <c r="H926" t="s">
        <v>16</v>
      </c>
      <c r="I926" t="s">
        <v>996</v>
      </c>
      <c r="J926" t="s">
        <v>917</v>
      </c>
      <c r="L926" t="s">
        <v>67</v>
      </c>
    </row>
    <row r="927" spans="2:12" x14ac:dyDescent="0.25">
      <c r="F927">
        <v>30</v>
      </c>
      <c r="G927" t="s">
        <v>106</v>
      </c>
      <c r="H927" t="s">
        <v>16</v>
      </c>
      <c r="I927" t="s">
        <v>997</v>
      </c>
      <c r="J927" t="s">
        <v>998</v>
      </c>
      <c r="L927" t="s">
        <v>67</v>
      </c>
    </row>
    <row r="928" spans="2:12" x14ac:dyDescent="0.25">
      <c r="F928">
        <v>31</v>
      </c>
      <c r="G928" t="s">
        <v>107</v>
      </c>
      <c r="H928" t="s">
        <v>16</v>
      </c>
      <c r="I928" t="s">
        <v>999</v>
      </c>
      <c r="J928" t="s">
        <v>852</v>
      </c>
      <c r="L928" t="s">
        <v>67</v>
      </c>
    </row>
    <row r="929" spans="2:12" x14ac:dyDescent="0.25">
      <c r="F929">
        <v>32</v>
      </c>
      <c r="G929" t="s">
        <v>108</v>
      </c>
      <c r="H929" t="s">
        <v>39</v>
      </c>
      <c r="I929" t="s">
        <v>323</v>
      </c>
      <c r="J929" t="s">
        <v>411</v>
      </c>
      <c r="L929" t="s">
        <v>67</v>
      </c>
    </row>
    <row r="930" spans="2:12" x14ac:dyDescent="0.25">
      <c r="F930">
        <v>33</v>
      </c>
      <c r="G930" t="s">
        <v>109</v>
      </c>
      <c r="H930" t="s">
        <v>16</v>
      </c>
      <c r="I930" t="s">
        <v>996</v>
      </c>
      <c r="J930" t="s">
        <v>917</v>
      </c>
      <c r="L930" t="s">
        <v>67</v>
      </c>
    </row>
    <row r="931" spans="2:12" x14ac:dyDescent="0.25">
      <c r="F931">
        <v>34</v>
      </c>
      <c r="G931" t="s">
        <v>110</v>
      </c>
      <c r="H931" t="s">
        <v>16</v>
      </c>
      <c r="I931" t="s">
        <v>79</v>
      </c>
      <c r="J931" t="s">
        <v>942</v>
      </c>
      <c r="L931" t="s">
        <v>67</v>
      </c>
    </row>
    <row r="932" spans="2:12" x14ac:dyDescent="0.25">
      <c r="F932">
        <v>35</v>
      </c>
      <c r="G932" t="s">
        <v>111</v>
      </c>
      <c r="H932" t="s">
        <v>16</v>
      </c>
      <c r="I932" t="s">
        <v>314</v>
      </c>
      <c r="J932" t="s">
        <v>315</v>
      </c>
      <c r="L932" t="s">
        <v>67</v>
      </c>
    </row>
    <row r="933" spans="2:12" x14ac:dyDescent="0.25">
      <c r="F933">
        <v>36</v>
      </c>
      <c r="G933" t="s">
        <v>112</v>
      </c>
      <c r="H933" t="s">
        <v>16</v>
      </c>
      <c r="I933" t="s">
        <v>314</v>
      </c>
      <c r="J933" t="s">
        <v>315</v>
      </c>
      <c r="L933" t="s">
        <v>67</v>
      </c>
    </row>
    <row r="934" spans="2:12" x14ac:dyDescent="0.25">
      <c r="F934">
        <v>37</v>
      </c>
      <c r="G934" t="s">
        <v>113</v>
      </c>
      <c r="H934" t="s">
        <v>16</v>
      </c>
      <c r="I934" t="s">
        <v>314</v>
      </c>
      <c r="J934" t="s">
        <v>315</v>
      </c>
      <c r="L934" t="s">
        <v>67</v>
      </c>
    </row>
    <row r="935" spans="2:12" x14ac:dyDescent="0.25">
      <c r="F935">
        <v>39</v>
      </c>
      <c r="G935" t="s">
        <v>124</v>
      </c>
      <c r="H935" t="s">
        <v>16</v>
      </c>
      <c r="I935" t="s">
        <v>439</v>
      </c>
      <c r="J935" t="s">
        <v>1000</v>
      </c>
      <c r="L935" t="s">
        <v>67</v>
      </c>
    </row>
    <row r="936" spans="2:12" x14ac:dyDescent="0.25">
      <c r="F936">
        <v>41</v>
      </c>
      <c r="G936" t="s">
        <v>131</v>
      </c>
      <c r="H936" t="s">
        <v>16</v>
      </c>
      <c r="I936" t="s">
        <v>1001</v>
      </c>
      <c r="J936" t="s">
        <v>1002</v>
      </c>
      <c r="L936" t="s">
        <v>67</v>
      </c>
    </row>
    <row r="937" spans="2:12" x14ac:dyDescent="0.25">
      <c r="F937">
        <v>48</v>
      </c>
      <c r="G937" t="s">
        <v>156</v>
      </c>
      <c r="H937" t="s">
        <v>16</v>
      </c>
      <c r="I937" t="s">
        <v>824</v>
      </c>
      <c r="J937" t="s">
        <v>1003</v>
      </c>
    </row>
    <row r="938" spans="2:12" x14ac:dyDescent="0.25">
      <c r="F938">
        <v>49</v>
      </c>
      <c r="G938" t="s">
        <v>163</v>
      </c>
      <c r="H938" t="s">
        <v>16</v>
      </c>
      <c r="I938" t="s">
        <v>1004</v>
      </c>
      <c r="J938" t="s">
        <v>1005</v>
      </c>
    </row>
    <row r="939" spans="2:12" x14ac:dyDescent="0.25">
      <c r="F939">
        <v>50</v>
      </c>
      <c r="G939" t="s">
        <v>165</v>
      </c>
      <c r="H939" t="s">
        <v>18</v>
      </c>
    </row>
    <row r="940" spans="2:12" x14ac:dyDescent="0.25">
      <c r="B940" t="s">
        <v>1006</v>
      </c>
      <c r="C940" t="s">
        <v>185</v>
      </c>
      <c r="D940" t="s">
        <v>235</v>
      </c>
      <c r="E940" t="s">
        <v>236</v>
      </c>
      <c r="F940">
        <v>4</v>
      </c>
      <c r="G940" t="s">
        <v>71</v>
      </c>
      <c r="H940" t="s">
        <v>18</v>
      </c>
    </row>
    <row r="941" spans="2:12" x14ac:dyDescent="0.25">
      <c r="F941">
        <v>5</v>
      </c>
      <c r="G941" t="s">
        <v>73</v>
      </c>
      <c r="H941" t="s">
        <v>16</v>
      </c>
      <c r="I941" t="s">
        <v>1007</v>
      </c>
      <c r="J941" t="s">
        <v>1008</v>
      </c>
      <c r="L941" t="s">
        <v>67</v>
      </c>
    </row>
    <row r="942" spans="2:12" x14ac:dyDescent="0.25">
      <c r="F942">
        <v>6</v>
      </c>
      <c r="G942" t="s">
        <v>74</v>
      </c>
      <c r="H942" t="s">
        <v>16</v>
      </c>
      <c r="I942" t="s">
        <v>326</v>
      </c>
      <c r="J942" t="s">
        <v>991</v>
      </c>
      <c r="L942" t="s">
        <v>67</v>
      </c>
    </row>
    <row r="943" spans="2:12" x14ac:dyDescent="0.25">
      <c r="F943">
        <v>7</v>
      </c>
      <c r="G943" t="s">
        <v>75</v>
      </c>
      <c r="H943" t="s">
        <v>18</v>
      </c>
    </row>
    <row r="944" spans="2:12" x14ac:dyDescent="0.25">
      <c r="F944">
        <v>8</v>
      </c>
      <c r="G944" t="s">
        <v>76</v>
      </c>
      <c r="H944" t="s">
        <v>16</v>
      </c>
      <c r="I944" t="s">
        <v>275</v>
      </c>
      <c r="J944" t="s">
        <v>276</v>
      </c>
      <c r="L944" t="s">
        <v>67</v>
      </c>
    </row>
    <row r="945" spans="2:12" x14ac:dyDescent="0.25">
      <c r="F945">
        <v>24</v>
      </c>
      <c r="G945" t="s">
        <v>97</v>
      </c>
      <c r="H945" t="s">
        <v>16</v>
      </c>
      <c r="I945" t="s">
        <v>346</v>
      </c>
      <c r="J945" t="s">
        <v>347</v>
      </c>
      <c r="L945" t="s">
        <v>67</v>
      </c>
    </row>
    <row r="946" spans="2:12" x14ac:dyDescent="0.25">
      <c r="F946">
        <v>27</v>
      </c>
      <c r="G946" t="s">
        <v>101</v>
      </c>
      <c r="H946" t="s">
        <v>16</v>
      </c>
      <c r="I946" t="s">
        <v>79</v>
      </c>
      <c r="J946" t="s">
        <v>350</v>
      </c>
      <c r="L946" t="s">
        <v>67</v>
      </c>
    </row>
    <row r="947" spans="2:12" x14ac:dyDescent="0.25">
      <c r="F947">
        <v>28</v>
      </c>
      <c r="G947" t="s">
        <v>103</v>
      </c>
      <c r="H947" t="s">
        <v>16</v>
      </c>
      <c r="I947" t="s">
        <v>1009</v>
      </c>
      <c r="J947" t="s">
        <v>1010</v>
      </c>
      <c r="L947" t="s">
        <v>67</v>
      </c>
    </row>
    <row r="948" spans="2:12" x14ac:dyDescent="0.25">
      <c r="F948">
        <v>29</v>
      </c>
      <c r="G948" t="s">
        <v>104</v>
      </c>
      <c r="H948" t="s">
        <v>16</v>
      </c>
      <c r="I948" t="s">
        <v>314</v>
      </c>
      <c r="J948" t="s">
        <v>315</v>
      </c>
      <c r="L948" t="s">
        <v>67</v>
      </c>
    </row>
    <row r="949" spans="2:12" x14ac:dyDescent="0.25">
      <c r="F949">
        <v>30</v>
      </c>
      <c r="G949" t="s">
        <v>106</v>
      </c>
      <c r="H949" t="s">
        <v>16</v>
      </c>
      <c r="I949" t="s">
        <v>414</v>
      </c>
      <c r="J949" t="s">
        <v>415</v>
      </c>
      <c r="L949" t="s">
        <v>67</v>
      </c>
    </row>
    <row r="950" spans="2:12" x14ac:dyDescent="0.25">
      <c r="F950">
        <v>31</v>
      </c>
      <c r="G950" t="s">
        <v>107</v>
      </c>
      <c r="H950" t="s">
        <v>16</v>
      </c>
      <c r="I950" t="s">
        <v>355</v>
      </c>
      <c r="J950" t="s">
        <v>347</v>
      </c>
      <c r="L950" t="s">
        <v>67</v>
      </c>
    </row>
    <row r="951" spans="2:12" x14ac:dyDescent="0.25">
      <c r="F951">
        <v>32</v>
      </c>
      <c r="G951" t="s">
        <v>108</v>
      </c>
      <c r="H951" t="s">
        <v>16</v>
      </c>
      <c r="I951" t="s">
        <v>546</v>
      </c>
      <c r="J951" t="s">
        <v>1011</v>
      </c>
      <c r="L951" t="s">
        <v>67</v>
      </c>
    </row>
    <row r="952" spans="2:12" x14ac:dyDescent="0.25">
      <c r="F952">
        <v>33</v>
      </c>
      <c r="G952" t="s">
        <v>109</v>
      </c>
      <c r="H952" t="s">
        <v>16</v>
      </c>
      <c r="I952" t="s">
        <v>314</v>
      </c>
      <c r="J952" t="s">
        <v>315</v>
      </c>
      <c r="L952" t="s">
        <v>67</v>
      </c>
    </row>
    <row r="953" spans="2:12" x14ac:dyDescent="0.25">
      <c r="F953">
        <v>34</v>
      </c>
      <c r="G953" t="s">
        <v>110</v>
      </c>
      <c r="H953" t="s">
        <v>16</v>
      </c>
      <c r="I953" t="s">
        <v>79</v>
      </c>
      <c r="J953" t="s">
        <v>347</v>
      </c>
      <c r="L953" t="s">
        <v>67</v>
      </c>
    </row>
    <row r="954" spans="2:12" x14ac:dyDescent="0.25">
      <c r="F954">
        <v>35</v>
      </c>
      <c r="G954" t="s">
        <v>111</v>
      </c>
      <c r="H954" t="s">
        <v>16</v>
      </c>
      <c r="I954" t="s">
        <v>314</v>
      </c>
      <c r="J954" t="s">
        <v>315</v>
      </c>
      <c r="L954" t="s">
        <v>67</v>
      </c>
    </row>
    <row r="955" spans="2:12" x14ac:dyDescent="0.25">
      <c r="F955">
        <v>36</v>
      </c>
      <c r="G955" t="s">
        <v>112</v>
      </c>
      <c r="H955" t="s">
        <v>16</v>
      </c>
      <c r="I955" t="s">
        <v>314</v>
      </c>
      <c r="J955" t="s">
        <v>315</v>
      </c>
      <c r="L955" t="s">
        <v>67</v>
      </c>
    </row>
    <row r="956" spans="2:12" x14ac:dyDescent="0.25">
      <c r="F956">
        <v>37</v>
      </c>
      <c r="G956" t="s">
        <v>113</v>
      </c>
      <c r="H956" t="s">
        <v>16</v>
      </c>
      <c r="I956" t="s">
        <v>314</v>
      </c>
      <c r="J956" t="s">
        <v>315</v>
      </c>
      <c r="L956" t="s">
        <v>67</v>
      </c>
    </row>
    <row r="957" spans="2:12" x14ac:dyDescent="0.25">
      <c r="F957">
        <v>41</v>
      </c>
      <c r="G957" t="s">
        <v>131</v>
      </c>
      <c r="H957" t="s">
        <v>16</v>
      </c>
      <c r="I957" t="s">
        <v>1012</v>
      </c>
      <c r="J957" t="s">
        <v>566</v>
      </c>
      <c r="L957" t="s">
        <v>67</v>
      </c>
    </row>
    <row r="958" spans="2:12" x14ac:dyDescent="0.25">
      <c r="F958">
        <v>51</v>
      </c>
      <c r="G958" t="s">
        <v>184</v>
      </c>
      <c r="H958" t="s">
        <v>16</v>
      </c>
      <c r="I958" t="s">
        <v>1012</v>
      </c>
      <c r="J958" t="s">
        <v>566</v>
      </c>
      <c r="L958" t="s">
        <v>67</v>
      </c>
    </row>
    <row r="959" spans="2:12" x14ac:dyDescent="0.25">
      <c r="B959" t="s">
        <v>1013</v>
      </c>
      <c r="C959" t="s">
        <v>66</v>
      </c>
      <c r="D959" t="s">
        <v>238</v>
      </c>
      <c r="E959" t="s">
        <v>239</v>
      </c>
      <c r="F959">
        <v>1</v>
      </c>
      <c r="G959" t="s">
        <v>64</v>
      </c>
      <c r="H959" t="s">
        <v>16</v>
      </c>
      <c r="I959" t="s">
        <v>608</v>
      </c>
      <c r="J959" t="s">
        <v>949</v>
      </c>
      <c r="L959" t="s">
        <v>67</v>
      </c>
    </row>
    <row r="960" spans="2:12" x14ac:dyDescent="0.25">
      <c r="F960">
        <v>2</v>
      </c>
      <c r="G960" t="s">
        <v>69</v>
      </c>
      <c r="H960" t="s">
        <v>16</v>
      </c>
      <c r="I960" t="s">
        <v>608</v>
      </c>
      <c r="J960" t="s">
        <v>949</v>
      </c>
    </row>
    <row r="961" spans="6:12" x14ac:dyDescent="0.25">
      <c r="F961">
        <v>3</v>
      </c>
      <c r="G961" t="s">
        <v>70</v>
      </c>
      <c r="H961" t="s">
        <v>16</v>
      </c>
      <c r="I961" t="s">
        <v>482</v>
      </c>
      <c r="J961" t="s">
        <v>483</v>
      </c>
      <c r="L961" t="s">
        <v>67</v>
      </c>
    </row>
    <row r="962" spans="6:12" x14ac:dyDescent="0.25">
      <c r="F962">
        <v>4</v>
      </c>
      <c r="G962" t="s">
        <v>71</v>
      </c>
      <c r="H962" t="s">
        <v>18</v>
      </c>
    </row>
    <row r="963" spans="6:12" x14ac:dyDescent="0.25">
      <c r="F963">
        <v>5</v>
      </c>
      <c r="G963" t="s">
        <v>73</v>
      </c>
      <c r="H963" t="s">
        <v>16</v>
      </c>
      <c r="I963" t="s">
        <v>1014</v>
      </c>
      <c r="J963" t="s">
        <v>847</v>
      </c>
      <c r="L963" t="s">
        <v>67</v>
      </c>
    </row>
    <row r="964" spans="6:12" x14ac:dyDescent="0.25">
      <c r="F964">
        <v>6</v>
      </c>
      <c r="G964" t="s">
        <v>74</v>
      </c>
      <c r="H964" t="s">
        <v>16</v>
      </c>
      <c r="I964" t="s">
        <v>326</v>
      </c>
      <c r="J964" t="s">
        <v>1015</v>
      </c>
      <c r="L964" t="s">
        <v>67</v>
      </c>
    </row>
    <row r="965" spans="6:12" x14ac:dyDescent="0.25">
      <c r="F965">
        <v>7</v>
      </c>
      <c r="G965" t="s">
        <v>75</v>
      </c>
      <c r="H965" t="s">
        <v>18</v>
      </c>
    </row>
    <row r="966" spans="6:12" x14ac:dyDescent="0.25">
      <c r="F966">
        <v>8</v>
      </c>
      <c r="G966" t="s">
        <v>76</v>
      </c>
      <c r="H966" t="s">
        <v>16</v>
      </c>
      <c r="I966" t="s">
        <v>275</v>
      </c>
      <c r="J966" t="s">
        <v>276</v>
      </c>
      <c r="L966" t="s">
        <v>67</v>
      </c>
    </row>
    <row r="967" spans="6:12" x14ac:dyDescent="0.25">
      <c r="F967">
        <v>9</v>
      </c>
      <c r="G967" t="s">
        <v>78</v>
      </c>
      <c r="H967" t="s">
        <v>16</v>
      </c>
      <c r="I967" t="s">
        <v>79</v>
      </c>
      <c r="J967" t="s">
        <v>559</v>
      </c>
      <c r="L967" t="s">
        <v>67</v>
      </c>
    </row>
    <row r="968" spans="6:12" x14ac:dyDescent="0.25">
      <c r="F968">
        <v>10</v>
      </c>
      <c r="G968" t="s">
        <v>80</v>
      </c>
      <c r="H968" t="s">
        <v>16</v>
      </c>
      <c r="I968" t="s">
        <v>79</v>
      </c>
      <c r="J968" t="s">
        <v>1016</v>
      </c>
      <c r="L968" t="s">
        <v>67</v>
      </c>
    </row>
    <row r="969" spans="6:12" x14ac:dyDescent="0.25">
      <c r="F969">
        <v>11</v>
      </c>
      <c r="G969" t="s">
        <v>81</v>
      </c>
      <c r="H969" t="s">
        <v>16</v>
      </c>
      <c r="I969" t="s">
        <v>362</v>
      </c>
      <c r="J969" t="s">
        <v>378</v>
      </c>
      <c r="L969" t="s">
        <v>67</v>
      </c>
    </row>
    <row r="970" spans="6:12" x14ac:dyDescent="0.25">
      <c r="F970">
        <v>12</v>
      </c>
      <c r="G970" t="s">
        <v>82</v>
      </c>
      <c r="H970" t="s">
        <v>16</v>
      </c>
      <c r="I970" t="s">
        <v>362</v>
      </c>
      <c r="J970" t="s">
        <v>378</v>
      </c>
      <c r="L970" t="s">
        <v>67</v>
      </c>
    </row>
    <row r="971" spans="6:12" x14ac:dyDescent="0.25">
      <c r="F971">
        <v>13</v>
      </c>
      <c r="G971" t="s">
        <v>84</v>
      </c>
      <c r="H971" t="s">
        <v>16</v>
      </c>
      <c r="I971" t="s">
        <v>470</v>
      </c>
      <c r="J971" t="s">
        <v>471</v>
      </c>
      <c r="L971" t="s">
        <v>67</v>
      </c>
    </row>
    <row r="972" spans="6:12" x14ac:dyDescent="0.25">
      <c r="F972">
        <v>14</v>
      </c>
      <c r="G972" t="s">
        <v>85</v>
      </c>
      <c r="H972" t="s">
        <v>16</v>
      </c>
      <c r="I972" t="s">
        <v>79</v>
      </c>
      <c r="J972" t="s">
        <v>1017</v>
      </c>
    </row>
    <row r="973" spans="6:12" x14ac:dyDescent="0.25">
      <c r="F973">
        <v>15</v>
      </c>
      <c r="G973" t="s">
        <v>87</v>
      </c>
      <c r="H973" t="s">
        <v>16</v>
      </c>
      <c r="I973" t="s">
        <v>79</v>
      </c>
      <c r="J973" t="s">
        <v>1018</v>
      </c>
      <c r="L973" t="s">
        <v>67</v>
      </c>
    </row>
    <row r="974" spans="6:12" x14ac:dyDescent="0.25">
      <c r="F974">
        <v>16</v>
      </c>
      <c r="G974" t="s">
        <v>88</v>
      </c>
      <c r="H974" t="s">
        <v>16</v>
      </c>
      <c r="I974" t="s">
        <v>79</v>
      </c>
      <c r="J974" t="s">
        <v>1019</v>
      </c>
      <c r="L974" t="s">
        <v>67</v>
      </c>
    </row>
    <row r="975" spans="6:12" x14ac:dyDescent="0.25">
      <c r="F975">
        <v>17</v>
      </c>
      <c r="G975" t="s">
        <v>89</v>
      </c>
      <c r="H975" t="s">
        <v>16</v>
      </c>
      <c r="I975" t="s">
        <v>79</v>
      </c>
      <c r="J975" t="s">
        <v>1020</v>
      </c>
      <c r="L975" t="s">
        <v>67</v>
      </c>
    </row>
    <row r="976" spans="6:12" x14ac:dyDescent="0.25">
      <c r="F976">
        <v>18</v>
      </c>
      <c r="G976" t="s">
        <v>90</v>
      </c>
      <c r="H976" t="s">
        <v>16</v>
      </c>
      <c r="I976" t="s">
        <v>79</v>
      </c>
      <c r="J976" t="s">
        <v>1020</v>
      </c>
      <c r="L976" t="s">
        <v>67</v>
      </c>
    </row>
    <row r="977" spans="6:12" x14ac:dyDescent="0.25">
      <c r="F977">
        <v>19</v>
      </c>
      <c r="G977" t="s">
        <v>91</v>
      </c>
      <c r="H977" t="s">
        <v>16</v>
      </c>
      <c r="I977" t="s">
        <v>79</v>
      </c>
      <c r="J977" t="s">
        <v>1021</v>
      </c>
      <c r="L977" t="s">
        <v>67</v>
      </c>
    </row>
    <row r="978" spans="6:12" x14ac:dyDescent="0.25">
      <c r="F978">
        <v>20</v>
      </c>
      <c r="G978" t="s">
        <v>92</v>
      </c>
      <c r="H978" t="s">
        <v>16</v>
      </c>
      <c r="I978" t="s">
        <v>1022</v>
      </c>
      <c r="J978" t="s">
        <v>1023</v>
      </c>
      <c r="L978" t="s">
        <v>67</v>
      </c>
    </row>
    <row r="979" spans="6:12" x14ac:dyDescent="0.25">
      <c r="F979">
        <v>21</v>
      </c>
      <c r="G979" t="s">
        <v>93</v>
      </c>
      <c r="H979" t="s">
        <v>16</v>
      </c>
      <c r="I979" t="s">
        <v>410</v>
      </c>
      <c r="J979" t="s">
        <v>411</v>
      </c>
      <c r="L979" t="s">
        <v>67</v>
      </c>
    </row>
    <row r="980" spans="6:12" x14ac:dyDescent="0.25">
      <c r="F980">
        <v>22</v>
      </c>
      <c r="G980" t="s">
        <v>95</v>
      </c>
      <c r="H980" t="s">
        <v>16</v>
      </c>
      <c r="I980" t="s">
        <v>410</v>
      </c>
      <c r="J980" t="s">
        <v>411</v>
      </c>
      <c r="L980" t="s">
        <v>67</v>
      </c>
    </row>
    <row r="981" spans="6:12" x14ac:dyDescent="0.25">
      <c r="F981">
        <v>23</v>
      </c>
      <c r="G981" t="s">
        <v>96</v>
      </c>
      <c r="H981" t="s">
        <v>16</v>
      </c>
      <c r="I981" t="s">
        <v>79</v>
      </c>
      <c r="J981" t="s">
        <v>653</v>
      </c>
      <c r="L981" t="s">
        <v>67</v>
      </c>
    </row>
    <row r="982" spans="6:12" x14ac:dyDescent="0.25">
      <c r="F982">
        <v>24</v>
      </c>
      <c r="G982" t="s">
        <v>97</v>
      </c>
      <c r="H982" t="s">
        <v>16</v>
      </c>
      <c r="I982" t="s">
        <v>1024</v>
      </c>
      <c r="J982" t="s">
        <v>1017</v>
      </c>
      <c r="L982" t="s">
        <v>67</v>
      </c>
    </row>
    <row r="983" spans="6:12" x14ac:dyDescent="0.25">
      <c r="F983">
        <v>25</v>
      </c>
      <c r="G983" t="s">
        <v>99</v>
      </c>
      <c r="H983" t="s">
        <v>16</v>
      </c>
      <c r="I983" t="s">
        <v>1025</v>
      </c>
      <c r="J983" t="s">
        <v>1026</v>
      </c>
      <c r="L983" t="s">
        <v>67</v>
      </c>
    </row>
    <row r="984" spans="6:12" x14ac:dyDescent="0.25">
      <c r="F984">
        <v>26</v>
      </c>
      <c r="G984" t="s">
        <v>100</v>
      </c>
      <c r="H984" t="s">
        <v>16</v>
      </c>
      <c r="I984" t="s">
        <v>1025</v>
      </c>
      <c r="J984" t="s">
        <v>1026</v>
      </c>
      <c r="L984" t="s">
        <v>67</v>
      </c>
    </row>
    <row r="985" spans="6:12" x14ac:dyDescent="0.25">
      <c r="F985">
        <v>27</v>
      </c>
      <c r="G985" t="s">
        <v>101</v>
      </c>
      <c r="H985" t="s">
        <v>16</v>
      </c>
      <c r="I985" t="s">
        <v>79</v>
      </c>
      <c r="J985" t="s">
        <v>383</v>
      </c>
      <c r="L985" t="s">
        <v>67</v>
      </c>
    </row>
    <row r="986" spans="6:12" x14ac:dyDescent="0.25">
      <c r="F986">
        <v>28</v>
      </c>
      <c r="G986" t="s">
        <v>103</v>
      </c>
      <c r="H986" t="s">
        <v>16</v>
      </c>
      <c r="I986" t="s">
        <v>528</v>
      </c>
      <c r="J986" t="s">
        <v>540</v>
      </c>
      <c r="L986" t="s">
        <v>67</v>
      </c>
    </row>
    <row r="987" spans="6:12" x14ac:dyDescent="0.25">
      <c r="F987">
        <v>29</v>
      </c>
      <c r="G987" t="s">
        <v>104</v>
      </c>
      <c r="H987" t="s">
        <v>16</v>
      </c>
      <c r="I987" t="s">
        <v>410</v>
      </c>
      <c r="J987" t="s">
        <v>411</v>
      </c>
      <c r="L987" t="s">
        <v>67</v>
      </c>
    </row>
    <row r="988" spans="6:12" x14ac:dyDescent="0.25">
      <c r="F988">
        <v>30</v>
      </c>
      <c r="G988" t="s">
        <v>106</v>
      </c>
      <c r="H988" t="s">
        <v>16</v>
      </c>
      <c r="I988" t="s">
        <v>1024</v>
      </c>
      <c r="J988" t="s">
        <v>1017</v>
      </c>
      <c r="L988" t="s">
        <v>67</v>
      </c>
    </row>
    <row r="989" spans="6:12" x14ac:dyDescent="0.25">
      <c r="F989">
        <v>31</v>
      </c>
      <c r="G989" t="s">
        <v>107</v>
      </c>
      <c r="H989" t="s">
        <v>16</v>
      </c>
      <c r="I989" t="s">
        <v>1027</v>
      </c>
      <c r="J989" t="s">
        <v>1017</v>
      </c>
      <c r="L989" t="s">
        <v>67</v>
      </c>
    </row>
    <row r="990" spans="6:12" x14ac:dyDescent="0.25">
      <c r="F990">
        <v>32</v>
      </c>
      <c r="G990" t="s">
        <v>108</v>
      </c>
      <c r="H990" t="s">
        <v>39</v>
      </c>
      <c r="I990" t="s">
        <v>1028</v>
      </c>
      <c r="J990" t="s">
        <v>1029</v>
      </c>
      <c r="L990" t="s">
        <v>67</v>
      </c>
    </row>
    <row r="991" spans="6:12" x14ac:dyDescent="0.25">
      <c r="F991">
        <v>33</v>
      </c>
      <c r="G991" t="s">
        <v>109</v>
      </c>
      <c r="H991" t="s">
        <v>16</v>
      </c>
      <c r="I991" t="s">
        <v>410</v>
      </c>
      <c r="J991" t="s">
        <v>411</v>
      </c>
      <c r="L991" t="s">
        <v>67</v>
      </c>
    </row>
    <row r="992" spans="6:12" x14ac:dyDescent="0.25">
      <c r="F992">
        <v>34</v>
      </c>
      <c r="G992" t="s">
        <v>110</v>
      </c>
      <c r="H992" t="s">
        <v>16</v>
      </c>
      <c r="I992" t="s">
        <v>79</v>
      </c>
      <c r="J992" t="s">
        <v>1017</v>
      </c>
      <c r="L992" t="s">
        <v>67</v>
      </c>
    </row>
    <row r="993" spans="2:12" x14ac:dyDescent="0.25">
      <c r="F993">
        <v>35</v>
      </c>
      <c r="G993" t="s">
        <v>111</v>
      </c>
      <c r="H993" t="s">
        <v>16</v>
      </c>
      <c r="I993" t="s">
        <v>410</v>
      </c>
      <c r="J993" t="s">
        <v>411</v>
      </c>
      <c r="L993" t="s">
        <v>67</v>
      </c>
    </row>
    <row r="994" spans="2:12" x14ac:dyDescent="0.25">
      <c r="F994">
        <v>36</v>
      </c>
      <c r="G994" t="s">
        <v>112</v>
      </c>
      <c r="H994" t="s">
        <v>16</v>
      </c>
      <c r="I994" t="s">
        <v>602</v>
      </c>
      <c r="J994" t="s">
        <v>617</v>
      </c>
      <c r="L994" t="s">
        <v>67</v>
      </c>
    </row>
    <row r="995" spans="2:12" x14ac:dyDescent="0.25">
      <c r="F995">
        <v>37</v>
      </c>
      <c r="G995" t="s">
        <v>113</v>
      </c>
      <c r="H995" t="s">
        <v>16</v>
      </c>
      <c r="I995" t="s">
        <v>362</v>
      </c>
      <c r="J995" t="s">
        <v>378</v>
      </c>
      <c r="L995" t="s">
        <v>67</v>
      </c>
    </row>
    <row r="996" spans="2:12" x14ac:dyDescent="0.25">
      <c r="B996" t="s">
        <v>1030</v>
      </c>
      <c r="C996" t="s">
        <v>120</v>
      </c>
      <c r="D996" t="s">
        <v>241</v>
      </c>
      <c r="E996" t="s">
        <v>242</v>
      </c>
      <c r="F996">
        <v>2</v>
      </c>
      <c r="G996" t="s">
        <v>69</v>
      </c>
      <c r="H996" t="s">
        <v>16</v>
      </c>
      <c r="I996" t="s">
        <v>1031</v>
      </c>
      <c r="J996" t="s">
        <v>1032</v>
      </c>
    </row>
    <row r="997" spans="2:12" x14ac:dyDescent="0.25">
      <c r="F997">
        <v>3</v>
      </c>
      <c r="G997" t="s">
        <v>70</v>
      </c>
      <c r="H997" t="s">
        <v>25</v>
      </c>
      <c r="I997" t="s">
        <v>1033</v>
      </c>
      <c r="J997" t="s">
        <v>1034</v>
      </c>
      <c r="L997" t="s">
        <v>67</v>
      </c>
    </row>
    <row r="998" spans="2:12" x14ac:dyDescent="0.25">
      <c r="F998">
        <v>4</v>
      </c>
      <c r="G998" t="s">
        <v>71</v>
      </c>
      <c r="H998" t="s">
        <v>18</v>
      </c>
    </row>
    <row r="999" spans="2:12" x14ac:dyDescent="0.25">
      <c r="F999">
        <v>5</v>
      </c>
      <c r="G999" t="s">
        <v>73</v>
      </c>
      <c r="H999" t="s">
        <v>25</v>
      </c>
      <c r="I999" t="s">
        <v>1035</v>
      </c>
      <c r="J999" t="s">
        <v>287</v>
      </c>
      <c r="L999" t="s">
        <v>67</v>
      </c>
    </row>
    <row r="1000" spans="2:12" x14ac:dyDescent="0.25">
      <c r="F1000">
        <v>6</v>
      </c>
      <c r="G1000" t="s">
        <v>74</v>
      </c>
      <c r="H1000" t="s">
        <v>16</v>
      </c>
      <c r="I1000" t="s">
        <v>883</v>
      </c>
      <c r="J1000" t="s">
        <v>603</v>
      </c>
      <c r="L1000" t="s">
        <v>67</v>
      </c>
    </row>
    <row r="1001" spans="2:12" x14ac:dyDescent="0.25">
      <c r="F1001">
        <v>7</v>
      </c>
      <c r="G1001" t="s">
        <v>75</v>
      </c>
      <c r="H1001" t="s">
        <v>18</v>
      </c>
    </row>
    <row r="1002" spans="2:12" x14ac:dyDescent="0.25">
      <c r="F1002">
        <v>8</v>
      </c>
      <c r="G1002" t="s">
        <v>76</v>
      </c>
      <c r="H1002" t="s">
        <v>16</v>
      </c>
      <c r="I1002" t="s">
        <v>1036</v>
      </c>
      <c r="J1002" t="s">
        <v>1037</v>
      </c>
      <c r="L1002" t="s">
        <v>67</v>
      </c>
    </row>
    <row r="1003" spans="2:12" x14ac:dyDescent="0.25">
      <c r="F1003">
        <v>9</v>
      </c>
      <c r="G1003" t="s">
        <v>78</v>
      </c>
      <c r="H1003" t="s">
        <v>16</v>
      </c>
      <c r="I1003" t="s">
        <v>79</v>
      </c>
      <c r="J1003" t="s">
        <v>1038</v>
      </c>
      <c r="L1003" t="s">
        <v>67</v>
      </c>
    </row>
    <row r="1004" spans="2:12" x14ac:dyDescent="0.25">
      <c r="F1004">
        <v>10</v>
      </c>
      <c r="G1004" t="s">
        <v>80</v>
      </c>
      <c r="H1004" t="s">
        <v>16</v>
      </c>
      <c r="I1004" t="s">
        <v>79</v>
      </c>
      <c r="J1004" t="s">
        <v>926</v>
      </c>
      <c r="L1004" t="s">
        <v>67</v>
      </c>
    </row>
    <row r="1005" spans="2:12" x14ac:dyDescent="0.25">
      <c r="F1005">
        <v>11</v>
      </c>
      <c r="G1005" t="s">
        <v>81</v>
      </c>
      <c r="H1005" t="s">
        <v>16</v>
      </c>
      <c r="I1005" t="s">
        <v>925</v>
      </c>
      <c r="J1005" t="s">
        <v>926</v>
      </c>
      <c r="L1005" t="s">
        <v>67</v>
      </c>
    </row>
    <row r="1006" spans="2:12" x14ac:dyDescent="0.25">
      <c r="F1006">
        <v>12</v>
      </c>
      <c r="G1006" t="s">
        <v>82</v>
      </c>
      <c r="H1006" t="s">
        <v>16</v>
      </c>
      <c r="I1006" t="s">
        <v>925</v>
      </c>
      <c r="J1006" t="s">
        <v>926</v>
      </c>
      <c r="L1006" t="s">
        <v>67</v>
      </c>
    </row>
    <row r="1007" spans="2:12" x14ac:dyDescent="0.25">
      <c r="F1007">
        <v>13</v>
      </c>
      <c r="G1007" t="s">
        <v>84</v>
      </c>
      <c r="H1007" t="s">
        <v>16</v>
      </c>
      <c r="I1007" t="s">
        <v>1039</v>
      </c>
      <c r="J1007" t="s">
        <v>1040</v>
      </c>
      <c r="L1007" t="s">
        <v>67</v>
      </c>
    </row>
    <row r="1008" spans="2:12" x14ac:dyDescent="0.25">
      <c r="F1008">
        <v>19</v>
      </c>
      <c r="G1008" t="s">
        <v>91</v>
      </c>
      <c r="H1008" t="s">
        <v>18</v>
      </c>
    </row>
    <row r="1009" spans="6:12" x14ac:dyDescent="0.25">
      <c r="F1009">
        <v>21</v>
      </c>
      <c r="G1009" t="s">
        <v>93</v>
      </c>
      <c r="H1009" t="s">
        <v>16</v>
      </c>
      <c r="I1009" t="s">
        <v>1039</v>
      </c>
      <c r="J1009" t="s">
        <v>1040</v>
      </c>
      <c r="L1009" t="s">
        <v>67</v>
      </c>
    </row>
    <row r="1010" spans="6:12" x14ac:dyDescent="0.25">
      <c r="F1010">
        <v>22</v>
      </c>
      <c r="G1010" t="s">
        <v>95</v>
      </c>
      <c r="H1010" t="s">
        <v>16</v>
      </c>
      <c r="I1010" t="s">
        <v>1039</v>
      </c>
      <c r="J1010" t="s">
        <v>1040</v>
      </c>
      <c r="L1010" t="s">
        <v>67</v>
      </c>
    </row>
    <row r="1011" spans="6:12" x14ac:dyDescent="0.25">
      <c r="F1011">
        <v>23</v>
      </c>
      <c r="G1011" t="s">
        <v>96</v>
      </c>
      <c r="H1011" t="s">
        <v>16</v>
      </c>
      <c r="I1011" t="s">
        <v>79</v>
      </c>
      <c r="J1011" t="s">
        <v>1041</v>
      </c>
      <c r="L1011" t="s">
        <v>67</v>
      </c>
    </row>
    <row r="1012" spans="6:12" x14ac:dyDescent="0.25">
      <c r="F1012">
        <v>24</v>
      </c>
      <c r="G1012" t="s">
        <v>97</v>
      </c>
      <c r="H1012" t="s">
        <v>16</v>
      </c>
      <c r="I1012" t="s">
        <v>1042</v>
      </c>
      <c r="J1012" t="s">
        <v>1040</v>
      </c>
      <c r="L1012" t="s">
        <v>67</v>
      </c>
    </row>
    <row r="1013" spans="6:12" x14ac:dyDescent="0.25">
      <c r="F1013">
        <v>27</v>
      </c>
      <c r="G1013" t="s">
        <v>101</v>
      </c>
      <c r="H1013" t="s">
        <v>18</v>
      </c>
    </row>
    <row r="1014" spans="6:12" x14ac:dyDescent="0.25">
      <c r="F1014">
        <v>28</v>
      </c>
      <c r="G1014" t="s">
        <v>103</v>
      </c>
      <c r="H1014" t="s">
        <v>16</v>
      </c>
      <c r="I1014" t="s">
        <v>1039</v>
      </c>
      <c r="J1014" t="s">
        <v>1040</v>
      </c>
      <c r="L1014" t="s">
        <v>67</v>
      </c>
    </row>
    <row r="1015" spans="6:12" x14ac:dyDescent="0.25">
      <c r="F1015">
        <v>29</v>
      </c>
      <c r="G1015" t="s">
        <v>104</v>
      </c>
      <c r="H1015" t="s">
        <v>16</v>
      </c>
      <c r="I1015" t="s">
        <v>1039</v>
      </c>
      <c r="J1015" t="s">
        <v>1040</v>
      </c>
      <c r="L1015" t="s">
        <v>67</v>
      </c>
    </row>
    <row r="1016" spans="6:12" x14ac:dyDescent="0.25">
      <c r="F1016">
        <v>30</v>
      </c>
      <c r="G1016" t="s">
        <v>106</v>
      </c>
      <c r="H1016" t="s">
        <v>16</v>
      </c>
      <c r="I1016" t="s">
        <v>1042</v>
      </c>
      <c r="J1016" t="s">
        <v>1040</v>
      </c>
      <c r="L1016" t="s">
        <v>67</v>
      </c>
    </row>
    <row r="1017" spans="6:12" x14ac:dyDescent="0.25">
      <c r="F1017">
        <v>31</v>
      </c>
      <c r="G1017" t="s">
        <v>107</v>
      </c>
      <c r="H1017" t="s">
        <v>16</v>
      </c>
      <c r="I1017" t="s">
        <v>1043</v>
      </c>
      <c r="J1017" t="s">
        <v>1040</v>
      </c>
      <c r="L1017" t="s">
        <v>67</v>
      </c>
    </row>
    <row r="1018" spans="6:12" x14ac:dyDescent="0.25">
      <c r="F1018">
        <v>32</v>
      </c>
      <c r="G1018" t="s">
        <v>108</v>
      </c>
      <c r="H1018" t="s">
        <v>39</v>
      </c>
      <c r="I1018" t="s">
        <v>323</v>
      </c>
      <c r="J1018" t="s">
        <v>1040</v>
      </c>
      <c r="L1018" t="s">
        <v>67</v>
      </c>
    </row>
    <row r="1019" spans="6:12" x14ac:dyDescent="0.25">
      <c r="F1019">
        <v>33</v>
      </c>
      <c r="G1019" t="s">
        <v>109</v>
      </c>
      <c r="H1019" t="s">
        <v>16</v>
      </c>
      <c r="I1019" t="s">
        <v>1039</v>
      </c>
      <c r="J1019" t="s">
        <v>1040</v>
      </c>
      <c r="L1019" t="s">
        <v>67</v>
      </c>
    </row>
    <row r="1020" spans="6:12" x14ac:dyDescent="0.25">
      <c r="F1020">
        <v>34</v>
      </c>
      <c r="G1020" t="s">
        <v>110</v>
      </c>
      <c r="H1020" t="s">
        <v>16</v>
      </c>
      <c r="I1020" t="s">
        <v>79</v>
      </c>
      <c r="J1020" t="s">
        <v>1040</v>
      </c>
      <c r="L1020" t="s">
        <v>67</v>
      </c>
    </row>
    <row r="1021" spans="6:12" x14ac:dyDescent="0.25">
      <c r="F1021">
        <v>35</v>
      </c>
      <c r="G1021" t="s">
        <v>111</v>
      </c>
      <c r="H1021" t="s">
        <v>16</v>
      </c>
      <c r="I1021" t="s">
        <v>1039</v>
      </c>
      <c r="J1021" t="s">
        <v>1040</v>
      </c>
      <c r="L1021" t="s">
        <v>67</v>
      </c>
    </row>
    <row r="1022" spans="6:12" x14ac:dyDescent="0.25">
      <c r="F1022">
        <v>36</v>
      </c>
      <c r="G1022" t="s">
        <v>112</v>
      </c>
      <c r="H1022" t="s">
        <v>16</v>
      </c>
      <c r="I1022" t="s">
        <v>1039</v>
      </c>
      <c r="J1022" t="s">
        <v>1040</v>
      </c>
      <c r="L1022" t="s">
        <v>67</v>
      </c>
    </row>
    <row r="1023" spans="6:12" x14ac:dyDescent="0.25">
      <c r="F1023">
        <v>37</v>
      </c>
      <c r="G1023" t="s">
        <v>113</v>
      </c>
      <c r="H1023" t="s">
        <v>16</v>
      </c>
      <c r="I1023" t="s">
        <v>1039</v>
      </c>
      <c r="J1023" t="s">
        <v>1040</v>
      </c>
      <c r="L1023" t="s">
        <v>67</v>
      </c>
    </row>
    <row r="1024" spans="6:12" x14ac:dyDescent="0.25">
      <c r="F1024">
        <v>38</v>
      </c>
      <c r="G1024" t="s">
        <v>121</v>
      </c>
      <c r="H1024" t="s">
        <v>16</v>
      </c>
      <c r="I1024" t="s">
        <v>1031</v>
      </c>
      <c r="J1024" t="s">
        <v>1032</v>
      </c>
      <c r="L1024" t="s">
        <v>67</v>
      </c>
    </row>
    <row r="1025" spans="2:12" x14ac:dyDescent="0.25">
      <c r="F1025">
        <v>39</v>
      </c>
      <c r="G1025" t="s">
        <v>124</v>
      </c>
      <c r="H1025" t="s">
        <v>18</v>
      </c>
    </row>
    <row r="1026" spans="2:12" x14ac:dyDescent="0.25">
      <c r="B1026" t="s">
        <v>1044</v>
      </c>
      <c r="C1026" t="s">
        <v>130</v>
      </c>
      <c r="D1026" t="s">
        <v>244</v>
      </c>
      <c r="E1026" t="s">
        <v>245</v>
      </c>
      <c r="F1026">
        <v>2</v>
      </c>
      <c r="G1026" t="s">
        <v>69</v>
      </c>
      <c r="H1026" t="s">
        <v>16</v>
      </c>
      <c r="I1026" t="s">
        <v>1045</v>
      </c>
      <c r="J1026" t="s">
        <v>1046</v>
      </c>
    </row>
    <row r="1027" spans="2:12" x14ac:dyDescent="0.25">
      <c r="F1027">
        <v>3</v>
      </c>
      <c r="G1027" t="s">
        <v>70</v>
      </c>
      <c r="H1027" t="s">
        <v>16</v>
      </c>
      <c r="I1027" t="s">
        <v>1047</v>
      </c>
      <c r="J1027" t="s">
        <v>1048</v>
      </c>
      <c r="L1027" t="s">
        <v>67</v>
      </c>
    </row>
    <row r="1028" spans="2:12" x14ac:dyDescent="0.25">
      <c r="F1028">
        <v>4</v>
      </c>
      <c r="G1028" t="s">
        <v>71</v>
      </c>
      <c r="H1028" t="s">
        <v>18</v>
      </c>
    </row>
    <row r="1029" spans="2:12" x14ac:dyDescent="0.25">
      <c r="F1029">
        <v>5</v>
      </c>
      <c r="G1029" t="s">
        <v>73</v>
      </c>
      <c r="H1029" t="s">
        <v>16</v>
      </c>
      <c r="I1029" t="s">
        <v>656</v>
      </c>
      <c r="J1029" t="s">
        <v>1049</v>
      </c>
      <c r="L1029" t="s">
        <v>67</v>
      </c>
    </row>
    <row r="1030" spans="2:12" x14ac:dyDescent="0.25">
      <c r="F1030">
        <v>6</v>
      </c>
      <c r="G1030" t="s">
        <v>74</v>
      </c>
      <c r="H1030" t="s">
        <v>16</v>
      </c>
      <c r="I1030" t="s">
        <v>326</v>
      </c>
      <c r="J1030" t="s">
        <v>502</v>
      </c>
      <c r="L1030" t="s">
        <v>67</v>
      </c>
    </row>
    <row r="1031" spans="2:12" x14ac:dyDescent="0.25">
      <c r="F1031">
        <v>7</v>
      </c>
      <c r="G1031" t="s">
        <v>75</v>
      </c>
      <c r="H1031" t="s">
        <v>39</v>
      </c>
      <c r="I1031" t="s">
        <v>326</v>
      </c>
      <c r="J1031" t="s">
        <v>637</v>
      </c>
      <c r="L1031" t="s">
        <v>67</v>
      </c>
    </row>
    <row r="1032" spans="2:12" x14ac:dyDescent="0.25">
      <c r="F1032">
        <v>8</v>
      </c>
      <c r="G1032" t="s">
        <v>76</v>
      </c>
      <c r="H1032" t="s">
        <v>16</v>
      </c>
      <c r="I1032" t="s">
        <v>883</v>
      </c>
      <c r="J1032" t="s">
        <v>884</v>
      </c>
      <c r="L1032" t="s">
        <v>67</v>
      </c>
    </row>
    <row r="1033" spans="2:12" x14ac:dyDescent="0.25">
      <c r="F1033">
        <v>9</v>
      </c>
      <c r="G1033" t="s">
        <v>78</v>
      </c>
      <c r="H1033" t="s">
        <v>16</v>
      </c>
      <c r="I1033" t="s">
        <v>79</v>
      </c>
      <c r="J1033" t="s">
        <v>1050</v>
      </c>
      <c r="L1033" t="s">
        <v>67</v>
      </c>
    </row>
    <row r="1034" spans="2:12" x14ac:dyDescent="0.25">
      <c r="F1034">
        <v>10</v>
      </c>
      <c r="G1034" t="s">
        <v>80</v>
      </c>
      <c r="H1034" t="s">
        <v>16</v>
      </c>
      <c r="I1034" t="s">
        <v>79</v>
      </c>
      <c r="J1034" t="s">
        <v>1041</v>
      </c>
      <c r="L1034" t="s">
        <v>67</v>
      </c>
    </row>
    <row r="1035" spans="2:12" x14ac:dyDescent="0.25">
      <c r="F1035">
        <v>11</v>
      </c>
      <c r="G1035" t="s">
        <v>81</v>
      </c>
      <c r="H1035" t="s">
        <v>16</v>
      </c>
      <c r="I1035" t="s">
        <v>1051</v>
      </c>
      <c r="J1035" t="s">
        <v>1052</v>
      </c>
      <c r="L1035" t="s">
        <v>67</v>
      </c>
    </row>
    <row r="1036" spans="2:12" x14ac:dyDescent="0.25">
      <c r="F1036">
        <v>12</v>
      </c>
      <c r="G1036" t="s">
        <v>82</v>
      </c>
      <c r="H1036" t="s">
        <v>16</v>
      </c>
      <c r="I1036" t="s">
        <v>358</v>
      </c>
      <c r="J1036" t="s">
        <v>359</v>
      </c>
      <c r="L1036" t="s">
        <v>67</v>
      </c>
    </row>
    <row r="1037" spans="2:12" x14ac:dyDescent="0.25">
      <c r="F1037">
        <v>13</v>
      </c>
      <c r="G1037" t="s">
        <v>84</v>
      </c>
      <c r="H1037" t="s">
        <v>16</v>
      </c>
      <c r="I1037" t="s">
        <v>832</v>
      </c>
      <c r="J1037" t="s">
        <v>833</v>
      </c>
      <c r="L1037" t="s">
        <v>67</v>
      </c>
    </row>
    <row r="1038" spans="2:12" x14ac:dyDescent="0.25">
      <c r="F1038">
        <v>19</v>
      </c>
      <c r="G1038" t="s">
        <v>91</v>
      </c>
      <c r="H1038" t="s">
        <v>16</v>
      </c>
      <c r="I1038" t="s">
        <v>79</v>
      </c>
      <c r="J1038" t="s">
        <v>1053</v>
      </c>
      <c r="L1038" t="s">
        <v>67</v>
      </c>
    </row>
    <row r="1039" spans="2:12" x14ac:dyDescent="0.25">
      <c r="F1039">
        <v>21</v>
      </c>
      <c r="G1039" t="s">
        <v>93</v>
      </c>
      <c r="H1039" t="s">
        <v>16</v>
      </c>
      <c r="I1039" t="s">
        <v>1054</v>
      </c>
      <c r="J1039" t="s">
        <v>1055</v>
      </c>
      <c r="L1039" t="s">
        <v>67</v>
      </c>
    </row>
    <row r="1040" spans="2:12" x14ac:dyDescent="0.25">
      <c r="F1040">
        <v>22</v>
      </c>
      <c r="G1040" t="s">
        <v>95</v>
      </c>
      <c r="H1040" t="s">
        <v>16</v>
      </c>
      <c r="I1040" t="s">
        <v>1054</v>
      </c>
      <c r="J1040" t="s">
        <v>1055</v>
      </c>
      <c r="L1040" t="s">
        <v>67</v>
      </c>
    </row>
    <row r="1041" spans="6:12" x14ac:dyDescent="0.25">
      <c r="F1041">
        <v>23</v>
      </c>
      <c r="G1041" t="s">
        <v>96</v>
      </c>
      <c r="H1041" t="s">
        <v>16</v>
      </c>
      <c r="I1041" t="s">
        <v>79</v>
      </c>
      <c r="J1041" t="s">
        <v>1056</v>
      </c>
      <c r="L1041" t="s">
        <v>67</v>
      </c>
    </row>
    <row r="1042" spans="6:12" x14ac:dyDescent="0.25">
      <c r="F1042">
        <v>24</v>
      </c>
      <c r="G1042" t="s">
        <v>97</v>
      </c>
      <c r="H1042" t="s">
        <v>16</v>
      </c>
      <c r="I1042" t="s">
        <v>1057</v>
      </c>
      <c r="J1042" t="s">
        <v>829</v>
      </c>
      <c r="L1042" t="s">
        <v>67</v>
      </c>
    </row>
    <row r="1043" spans="6:12" x14ac:dyDescent="0.25">
      <c r="F1043">
        <v>27</v>
      </c>
      <c r="G1043" t="s">
        <v>101</v>
      </c>
      <c r="H1043" t="s">
        <v>16</v>
      </c>
      <c r="I1043" t="s">
        <v>79</v>
      </c>
      <c r="J1043" t="s">
        <v>1058</v>
      </c>
      <c r="L1043" t="s">
        <v>67</v>
      </c>
    </row>
    <row r="1044" spans="6:12" x14ac:dyDescent="0.25">
      <c r="F1044">
        <v>28</v>
      </c>
      <c r="G1044" t="s">
        <v>103</v>
      </c>
      <c r="H1044" t="s">
        <v>16</v>
      </c>
      <c r="I1044" t="s">
        <v>358</v>
      </c>
      <c r="J1044" t="s">
        <v>359</v>
      </c>
      <c r="L1044" t="s">
        <v>67</v>
      </c>
    </row>
    <row r="1045" spans="6:12" x14ac:dyDescent="0.25">
      <c r="F1045">
        <v>29</v>
      </c>
      <c r="G1045" t="s">
        <v>104</v>
      </c>
      <c r="H1045" t="s">
        <v>16</v>
      </c>
      <c r="I1045" t="s">
        <v>1059</v>
      </c>
      <c r="J1045" t="s">
        <v>1060</v>
      </c>
      <c r="L1045" t="s">
        <v>67</v>
      </c>
    </row>
    <row r="1046" spans="6:12" x14ac:dyDescent="0.25">
      <c r="F1046">
        <v>30</v>
      </c>
      <c r="G1046" t="s">
        <v>106</v>
      </c>
      <c r="H1046" t="s">
        <v>16</v>
      </c>
      <c r="I1046" t="s">
        <v>1057</v>
      </c>
      <c r="J1046" t="s">
        <v>829</v>
      </c>
      <c r="L1046" t="s">
        <v>67</v>
      </c>
    </row>
    <row r="1047" spans="6:12" x14ac:dyDescent="0.25">
      <c r="F1047">
        <v>31</v>
      </c>
      <c r="G1047" t="s">
        <v>107</v>
      </c>
      <c r="H1047" t="s">
        <v>16</v>
      </c>
      <c r="I1047" t="s">
        <v>828</v>
      </c>
      <c r="J1047" t="s">
        <v>829</v>
      </c>
      <c r="L1047" t="s">
        <v>67</v>
      </c>
    </row>
    <row r="1048" spans="6:12" x14ac:dyDescent="0.25">
      <c r="F1048">
        <v>32</v>
      </c>
      <c r="G1048" t="s">
        <v>108</v>
      </c>
      <c r="H1048" t="s">
        <v>16</v>
      </c>
      <c r="I1048" t="s">
        <v>1061</v>
      </c>
      <c r="J1048" t="s">
        <v>1062</v>
      </c>
      <c r="L1048" t="s">
        <v>67</v>
      </c>
    </row>
    <row r="1049" spans="6:12" x14ac:dyDescent="0.25">
      <c r="F1049">
        <v>33</v>
      </c>
      <c r="G1049" t="s">
        <v>109</v>
      </c>
      <c r="H1049" t="s">
        <v>16</v>
      </c>
      <c r="I1049" t="s">
        <v>1063</v>
      </c>
      <c r="J1049" t="s">
        <v>1064</v>
      </c>
      <c r="L1049" t="s">
        <v>67</v>
      </c>
    </row>
    <row r="1050" spans="6:12" x14ac:dyDescent="0.25">
      <c r="F1050">
        <v>34</v>
      </c>
      <c r="G1050" t="s">
        <v>110</v>
      </c>
      <c r="H1050" t="s">
        <v>16</v>
      </c>
      <c r="I1050" t="s">
        <v>79</v>
      </c>
      <c r="J1050" t="s">
        <v>829</v>
      </c>
      <c r="L1050" t="s">
        <v>67</v>
      </c>
    </row>
    <row r="1051" spans="6:12" x14ac:dyDescent="0.25">
      <c r="F1051">
        <v>35</v>
      </c>
      <c r="G1051" t="s">
        <v>111</v>
      </c>
      <c r="H1051" t="s">
        <v>16</v>
      </c>
      <c r="I1051" t="s">
        <v>1059</v>
      </c>
      <c r="J1051" t="s">
        <v>1060</v>
      </c>
      <c r="L1051" t="s">
        <v>67</v>
      </c>
    </row>
    <row r="1052" spans="6:12" x14ac:dyDescent="0.25">
      <c r="F1052">
        <v>36</v>
      </c>
      <c r="G1052" t="s">
        <v>112</v>
      </c>
      <c r="H1052" t="s">
        <v>16</v>
      </c>
      <c r="I1052" t="s">
        <v>1065</v>
      </c>
      <c r="J1052" t="s">
        <v>1066</v>
      </c>
      <c r="L1052" t="s">
        <v>67</v>
      </c>
    </row>
    <row r="1053" spans="6:12" x14ac:dyDescent="0.25">
      <c r="F1053">
        <v>37</v>
      </c>
      <c r="G1053" t="s">
        <v>113</v>
      </c>
      <c r="H1053" t="s">
        <v>16</v>
      </c>
      <c r="I1053" t="s">
        <v>1051</v>
      </c>
      <c r="J1053" t="s">
        <v>1052</v>
      </c>
      <c r="L1053" t="s">
        <v>67</v>
      </c>
    </row>
    <row r="1054" spans="6:12" x14ac:dyDescent="0.25">
      <c r="F1054">
        <v>39</v>
      </c>
      <c r="G1054" t="s">
        <v>124</v>
      </c>
      <c r="H1054" t="s">
        <v>18</v>
      </c>
    </row>
    <row r="1055" spans="6:12" x14ac:dyDescent="0.25">
      <c r="F1055">
        <v>40</v>
      </c>
      <c r="G1055" t="s">
        <v>129</v>
      </c>
      <c r="H1055" t="s">
        <v>16</v>
      </c>
      <c r="I1055" t="s">
        <v>1045</v>
      </c>
      <c r="J1055" t="s">
        <v>1046</v>
      </c>
    </row>
    <row r="1056" spans="6:12" x14ac:dyDescent="0.25">
      <c r="F1056">
        <v>41</v>
      </c>
      <c r="G1056" t="s">
        <v>131</v>
      </c>
      <c r="H1056" t="s">
        <v>16</v>
      </c>
      <c r="I1056" t="s">
        <v>1045</v>
      </c>
      <c r="J1056" t="s">
        <v>1046</v>
      </c>
      <c r="L1056" t="s">
        <v>67</v>
      </c>
    </row>
    <row r="1057" spans="2:12" x14ac:dyDescent="0.25">
      <c r="F1057">
        <v>42</v>
      </c>
      <c r="G1057" t="s">
        <v>132</v>
      </c>
      <c r="H1057" t="s">
        <v>16</v>
      </c>
      <c r="I1057" t="s">
        <v>1047</v>
      </c>
      <c r="J1057" t="s">
        <v>1048</v>
      </c>
    </row>
    <row r="1058" spans="2:12" x14ac:dyDescent="0.25">
      <c r="F1058">
        <v>43</v>
      </c>
      <c r="G1058" t="s">
        <v>122</v>
      </c>
      <c r="H1058" t="s">
        <v>18</v>
      </c>
    </row>
    <row r="1059" spans="2:12" x14ac:dyDescent="0.25">
      <c r="B1059" t="s">
        <v>1067</v>
      </c>
      <c r="C1059" t="s">
        <v>137</v>
      </c>
      <c r="D1059" t="s">
        <v>248</v>
      </c>
      <c r="E1059" t="s">
        <v>249</v>
      </c>
      <c r="F1059">
        <v>2</v>
      </c>
      <c r="G1059" t="s">
        <v>69</v>
      </c>
      <c r="H1059" t="s">
        <v>16</v>
      </c>
      <c r="I1059" t="s">
        <v>364</v>
      </c>
      <c r="J1059" t="s">
        <v>590</v>
      </c>
      <c r="L1059" t="s">
        <v>67</v>
      </c>
    </row>
    <row r="1060" spans="2:12" x14ac:dyDescent="0.25">
      <c r="F1060">
        <v>4</v>
      </c>
      <c r="G1060" t="s">
        <v>71</v>
      </c>
      <c r="H1060" t="s">
        <v>18</v>
      </c>
    </row>
    <row r="1061" spans="2:12" x14ac:dyDescent="0.25">
      <c r="F1061">
        <v>5</v>
      </c>
      <c r="G1061" t="s">
        <v>73</v>
      </c>
      <c r="H1061" t="s">
        <v>16</v>
      </c>
      <c r="I1061" t="s">
        <v>967</v>
      </c>
      <c r="J1061" t="s">
        <v>433</v>
      </c>
      <c r="L1061" t="s">
        <v>67</v>
      </c>
    </row>
    <row r="1062" spans="2:12" x14ac:dyDescent="0.25">
      <c r="F1062">
        <v>6</v>
      </c>
      <c r="G1062" t="s">
        <v>74</v>
      </c>
      <c r="H1062" t="s">
        <v>16</v>
      </c>
      <c r="I1062" t="s">
        <v>326</v>
      </c>
      <c r="J1062" t="s">
        <v>1068</v>
      </c>
      <c r="L1062" t="s">
        <v>67</v>
      </c>
    </row>
    <row r="1063" spans="2:12" x14ac:dyDescent="0.25">
      <c r="F1063">
        <v>7</v>
      </c>
      <c r="G1063" t="s">
        <v>75</v>
      </c>
      <c r="H1063" t="s">
        <v>18</v>
      </c>
    </row>
    <row r="1064" spans="2:12" x14ac:dyDescent="0.25">
      <c r="F1064">
        <v>8</v>
      </c>
      <c r="G1064" t="s">
        <v>76</v>
      </c>
      <c r="H1064" t="s">
        <v>16</v>
      </c>
      <c r="I1064" t="s">
        <v>630</v>
      </c>
      <c r="J1064" t="s">
        <v>297</v>
      </c>
      <c r="L1064" t="s">
        <v>67</v>
      </c>
    </row>
    <row r="1065" spans="2:12" x14ac:dyDescent="0.25">
      <c r="F1065">
        <v>9</v>
      </c>
      <c r="G1065" t="s">
        <v>78</v>
      </c>
      <c r="H1065" t="s">
        <v>16</v>
      </c>
      <c r="I1065" t="s">
        <v>79</v>
      </c>
      <c r="J1065" t="s">
        <v>1069</v>
      </c>
      <c r="L1065" t="s">
        <v>67</v>
      </c>
    </row>
    <row r="1066" spans="2:12" x14ac:dyDescent="0.25">
      <c r="F1066">
        <v>10</v>
      </c>
      <c r="G1066" t="s">
        <v>80</v>
      </c>
      <c r="H1066" t="s">
        <v>16</v>
      </c>
      <c r="I1066" t="s">
        <v>79</v>
      </c>
      <c r="J1066" t="s">
        <v>471</v>
      </c>
      <c r="L1066" t="s">
        <v>67</v>
      </c>
    </row>
    <row r="1067" spans="2:12" x14ac:dyDescent="0.25">
      <c r="F1067">
        <v>11</v>
      </c>
      <c r="G1067" t="s">
        <v>81</v>
      </c>
      <c r="H1067" t="s">
        <v>16</v>
      </c>
      <c r="I1067" t="s">
        <v>1070</v>
      </c>
      <c r="J1067" t="s">
        <v>1071</v>
      </c>
      <c r="L1067" t="s">
        <v>67</v>
      </c>
    </row>
    <row r="1068" spans="2:12" x14ac:dyDescent="0.25">
      <c r="F1068">
        <v>12</v>
      </c>
      <c r="G1068" t="s">
        <v>82</v>
      </c>
      <c r="H1068" t="s">
        <v>16</v>
      </c>
      <c r="I1068" t="s">
        <v>443</v>
      </c>
      <c r="J1068" t="s">
        <v>444</v>
      </c>
      <c r="L1068" t="s">
        <v>67</v>
      </c>
    </row>
    <row r="1069" spans="2:12" x14ac:dyDescent="0.25">
      <c r="F1069">
        <v>13</v>
      </c>
      <c r="G1069" t="s">
        <v>84</v>
      </c>
      <c r="H1069" t="s">
        <v>16</v>
      </c>
      <c r="I1069" t="s">
        <v>528</v>
      </c>
      <c r="J1069" t="s">
        <v>540</v>
      </c>
      <c r="L1069" t="s">
        <v>67</v>
      </c>
    </row>
    <row r="1070" spans="2:12" x14ac:dyDescent="0.25">
      <c r="F1070">
        <v>21</v>
      </c>
      <c r="G1070" t="s">
        <v>93</v>
      </c>
      <c r="H1070" t="s">
        <v>16</v>
      </c>
      <c r="I1070" t="s">
        <v>1072</v>
      </c>
      <c r="J1070" t="s">
        <v>1073</v>
      </c>
      <c r="L1070" t="s">
        <v>67</v>
      </c>
    </row>
    <row r="1071" spans="2:12" x14ac:dyDescent="0.25">
      <c r="F1071">
        <v>22</v>
      </c>
      <c r="G1071" t="s">
        <v>95</v>
      </c>
      <c r="H1071" t="s">
        <v>16</v>
      </c>
      <c r="I1071" t="s">
        <v>1072</v>
      </c>
      <c r="J1071" t="s">
        <v>1073</v>
      </c>
      <c r="L1071" t="s">
        <v>67</v>
      </c>
    </row>
    <row r="1072" spans="2:12" x14ac:dyDescent="0.25">
      <c r="F1072">
        <v>23</v>
      </c>
      <c r="G1072" t="s">
        <v>96</v>
      </c>
      <c r="H1072" t="s">
        <v>16</v>
      </c>
      <c r="I1072" t="s">
        <v>79</v>
      </c>
      <c r="J1072" t="s">
        <v>627</v>
      </c>
      <c r="L1072" t="s">
        <v>67</v>
      </c>
    </row>
    <row r="1073" spans="6:12" x14ac:dyDescent="0.25">
      <c r="F1073">
        <v>24</v>
      </c>
      <c r="G1073" t="s">
        <v>97</v>
      </c>
      <c r="H1073" t="s">
        <v>16</v>
      </c>
      <c r="I1073" t="s">
        <v>1074</v>
      </c>
      <c r="J1073" t="s">
        <v>1075</v>
      </c>
      <c r="L1073" t="s">
        <v>67</v>
      </c>
    </row>
    <row r="1074" spans="6:12" x14ac:dyDescent="0.25">
      <c r="F1074">
        <v>27</v>
      </c>
      <c r="G1074" t="s">
        <v>101</v>
      </c>
      <c r="H1074" t="s">
        <v>16</v>
      </c>
      <c r="I1074" t="s">
        <v>79</v>
      </c>
      <c r="J1074" t="s">
        <v>1076</v>
      </c>
      <c r="L1074" t="s">
        <v>67</v>
      </c>
    </row>
    <row r="1075" spans="6:12" x14ac:dyDescent="0.25">
      <c r="F1075">
        <v>28</v>
      </c>
      <c r="G1075" t="s">
        <v>103</v>
      </c>
      <c r="H1075" t="s">
        <v>16</v>
      </c>
      <c r="I1075" t="s">
        <v>686</v>
      </c>
      <c r="J1075" t="s">
        <v>687</v>
      </c>
      <c r="L1075" t="s">
        <v>67</v>
      </c>
    </row>
    <row r="1076" spans="6:12" x14ac:dyDescent="0.25">
      <c r="F1076">
        <v>29</v>
      </c>
      <c r="G1076" t="s">
        <v>104</v>
      </c>
      <c r="H1076" t="s">
        <v>16</v>
      </c>
      <c r="I1076" t="s">
        <v>528</v>
      </c>
      <c r="J1076" t="s">
        <v>540</v>
      </c>
      <c r="L1076" t="s">
        <v>67</v>
      </c>
    </row>
    <row r="1077" spans="6:12" x14ac:dyDescent="0.25">
      <c r="F1077">
        <v>30</v>
      </c>
      <c r="G1077" t="s">
        <v>106</v>
      </c>
      <c r="H1077" t="s">
        <v>16</v>
      </c>
      <c r="I1077" t="s">
        <v>1074</v>
      </c>
      <c r="J1077" t="s">
        <v>1075</v>
      </c>
      <c r="L1077" t="s">
        <v>67</v>
      </c>
    </row>
    <row r="1078" spans="6:12" x14ac:dyDescent="0.25">
      <c r="F1078">
        <v>31</v>
      </c>
      <c r="G1078" t="s">
        <v>107</v>
      </c>
      <c r="H1078" t="s">
        <v>16</v>
      </c>
      <c r="I1078" t="s">
        <v>1077</v>
      </c>
      <c r="J1078" t="s">
        <v>1075</v>
      </c>
      <c r="L1078" t="s">
        <v>67</v>
      </c>
    </row>
    <row r="1079" spans="6:12" x14ac:dyDescent="0.25">
      <c r="F1079">
        <v>32</v>
      </c>
      <c r="G1079" t="s">
        <v>108</v>
      </c>
      <c r="H1079" t="s">
        <v>39</v>
      </c>
      <c r="I1079" t="s">
        <v>323</v>
      </c>
      <c r="J1079" t="s">
        <v>1078</v>
      </c>
      <c r="L1079" t="s">
        <v>67</v>
      </c>
    </row>
    <row r="1080" spans="6:12" x14ac:dyDescent="0.25">
      <c r="F1080">
        <v>33</v>
      </c>
      <c r="G1080" t="s">
        <v>109</v>
      </c>
      <c r="H1080" t="s">
        <v>16</v>
      </c>
      <c r="I1080" t="s">
        <v>528</v>
      </c>
      <c r="J1080" t="s">
        <v>540</v>
      </c>
      <c r="L1080" t="s">
        <v>67</v>
      </c>
    </row>
    <row r="1081" spans="6:12" x14ac:dyDescent="0.25">
      <c r="F1081">
        <v>34</v>
      </c>
      <c r="G1081" t="s">
        <v>110</v>
      </c>
      <c r="H1081" t="s">
        <v>16</v>
      </c>
      <c r="I1081" t="s">
        <v>79</v>
      </c>
      <c r="J1081" t="s">
        <v>1079</v>
      </c>
      <c r="L1081" t="s">
        <v>67</v>
      </c>
    </row>
    <row r="1082" spans="6:12" x14ac:dyDescent="0.25">
      <c r="F1082">
        <v>35</v>
      </c>
      <c r="G1082" t="s">
        <v>111</v>
      </c>
      <c r="H1082" t="s">
        <v>16</v>
      </c>
      <c r="I1082" t="s">
        <v>362</v>
      </c>
      <c r="J1082" t="s">
        <v>378</v>
      </c>
      <c r="L1082" t="s">
        <v>67</v>
      </c>
    </row>
    <row r="1083" spans="6:12" x14ac:dyDescent="0.25">
      <c r="F1083">
        <v>36</v>
      </c>
      <c r="G1083" t="s">
        <v>112</v>
      </c>
      <c r="H1083" t="s">
        <v>16</v>
      </c>
      <c r="I1083" t="s">
        <v>1080</v>
      </c>
      <c r="J1083" t="s">
        <v>1081</v>
      </c>
      <c r="L1083" t="s">
        <v>67</v>
      </c>
    </row>
    <row r="1084" spans="6:12" x14ac:dyDescent="0.25">
      <c r="F1084">
        <v>37</v>
      </c>
      <c r="G1084" t="s">
        <v>113</v>
      </c>
      <c r="H1084" t="s">
        <v>16</v>
      </c>
      <c r="I1084" t="s">
        <v>1070</v>
      </c>
      <c r="J1084" t="s">
        <v>1071</v>
      </c>
      <c r="L1084" t="s">
        <v>67</v>
      </c>
    </row>
    <row r="1085" spans="6:12" x14ac:dyDescent="0.25">
      <c r="F1085">
        <v>39</v>
      </c>
      <c r="G1085" t="s">
        <v>124</v>
      </c>
      <c r="H1085" t="s">
        <v>18</v>
      </c>
    </row>
    <row r="1086" spans="6:12" x14ac:dyDescent="0.25">
      <c r="F1086">
        <v>41</v>
      </c>
      <c r="G1086" t="s">
        <v>131</v>
      </c>
      <c r="H1086" t="s">
        <v>16</v>
      </c>
      <c r="I1086" t="s">
        <v>1082</v>
      </c>
      <c r="J1086" t="s">
        <v>1083</v>
      </c>
      <c r="L1086" t="s">
        <v>67</v>
      </c>
    </row>
    <row r="1087" spans="6:12" x14ac:dyDescent="0.25">
      <c r="F1087">
        <v>42</v>
      </c>
      <c r="G1087" t="s">
        <v>132</v>
      </c>
      <c r="H1087" t="s">
        <v>16</v>
      </c>
      <c r="I1087" t="s">
        <v>1084</v>
      </c>
      <c r="J1087" t="s">
        <v>1085</v>
      </c>
    </row>
    <row r="1088" spans="6:12" x14ac:dyDescent="0.25">
      <c r="F1088">
        <v>44</v>
      </c>
      <c r="G1088" t="s">
        <v>136</v>
      </c>
      <c r="H1088" t="s">
        <v>16</v>
      </c>
      <c r="I1088" t="s">
        <v>1086</v>
      </c>
      <c r="J1088" t="s">
        <v>1087</v>
      </c>
      <c r="L1088" t="s">
        <v>67</v>
      </c>
    </row>
    <row r="1089" spans="2:12" x14ac:dyDescent="0.25">
      <c r="B1089" t="s">
        <v>1088</v>
      </c>
      <c r="C1089" t="s">
        <v>155</v>
      </c>
      <c r="D1089" t="s">
        <v>251</v>
      </c>
      <c r="E1089" t="s">
        <v>252</v>
      </c>
      <c r="F1089">
        <v>4</v>
      </c>
      <c r="G1089" t="s">
        <v>71</v>
      </c>
      <c r="H1089" t="s">
        <v>18</v>
      </c>
    </row>
    <row r="1090" spans="2:12" x14ac:dyDescent="0.25">
      <c r="F1090">
        <v>5</v>
      </c>
      <c r="G1090" t="s">
        <v>73</v>
      </c>
      <c r="H1090" t="s">
        <v>16</v>
      </c>
      <c r="I1090" t="s">
        <v>1089</v>
      </c>
      <c r="J1090" t="s">
        <v>365</v>
      </c>
      <c r="L1090" t="s">
        <v>67</v>
      </c>
    </row>
    <row r="1091" spans="2:12" x14ac:dyDescent="0.25">
      <c r="F1091">
        <v>6</v>
      </c>
      <c r="G1091" t="s">
        <v>74</v>
      </c>
      <c r="H1091" t="s">
        <v>16</v>
      </c>
      <c r="I1091" t="s">
        <v>1090</v>
      </c>
      <c r="J1091" t="s">
        <v>620</v>
      </c>
      <c r="L1091" t="s">
        <v>67</v>
      </c>
    </row>
    <row r="1092" spans="2:12" x14ac:dyDescent="0.25">
      <c r="F1092">
        <v>7</v>
      </c>
      <c r="G1092" t="s">
        <v>75</v>
      </c>
      <c r="H1092" t="s">
        <v>18</v>
      </c>
    </row>
    <row r="1093" spans="2:12" x14ac:dyDescent="0.25">
      <c r="F1093">
        <v>8</v>
      </c>
      <c r="G1093" t="s">
        <v>76</v>
      </c>
      <c r="H1093" t="s">
        <v>16</v>
      </c>
      <c r="I1093" t="s">
        <v>304</v>
      </c>
      <c r="J1093" t="s">
        <v>1091</v>
      </c>
      <c r="L1093" t="s">
        <v>67</v>
      </c>
    </row>
    <row r="1094" spans="2:12" x14ac:dyDescent="0.25">
      <c r="F1094">
        <v>10</v>
      </c>
      <c r="G1094" t="s">
        <v>80</v>
      </c>
      <c r="H1094" t="s">
        <v>16</v>
      </c>
      <c r="I1094" t="s">
        <v>79</v>
      </c>
      <c r="J1094" t="s">
        <v>337</v>
      </c>
      <c r="L1094" t="s">
        <v>67</v>
      </c>
    </row>
    <row r="1095" spans="2:12" x14ac:dyDescent="0.25">
      <c r="F1095">
        <v>13</v>
      </c>
      <c r="G1095" t="s">
        <v>84</v>
      </c>
      <c r="H1095" t="s">
        <v>16</v>
      </c>
      <c r="I1095" t="s">
        <v>445</v>
      </c>
      <c r="J1095" t="s">
        <v>446</v>
      </c>
      <c r="L1095" t="s">
        <v>67</v>
      </c>
    </row>
    <row r="1096" spans="2:12" x14ac:dyDescent="0.25">
      <c r="F1096">
        <v>21</v>
      </c>
      <c r="G1096" t="s">
        <v>93</v>
      </c>
      <c r="H1096" t="s">
        <v>16</v>
      </c>
      <c r="I1096" t="s">
        <v>1092</v>
      </c>
      <c r="J1096" t="s">
        <v>1093</v>
      </c>
      <c r="L1096" t="s">
        <v>67</v>
      </c>
    </row>
    <row r="1097" spans="2:12" x14ac:dyDescent="0.25">
      <c r="F1097">
        <v>22</v>
      </c>
      <c r="G1097" t="s">
        <v>95</v>
      </c>
      <c r="H1097" t="s">
        <v>16</v>
      </c>
      <c r="I1097" t="s">
        <v>1092</v>
      </c>
      <c r="J1097" t="s">
        <v>1093</v>
      </c>
      <c r="L1097" t="s">
        <v>67</v>
      </c>
    </row>
    <row r="1098" spans="2:12" x14ac:dyDescent="0.25">
      <c r="F1098">
        <v>24</v>
      </c>
      <c r="G1098" t="s">
        <v>97</v>
      </c>
      <c r="H1098" t="s">
        <v>16</v>
      </c>
      <c r="I1098" t="s">
        <v>1094</v>
      </c>
      <c r="J1098" t="s">
        <v>744</v>
      </c>
      <c r="L1098" t="s">
        <v>67</v>
      </c>
    </row>
    <row r="1099" spans="2:12" x14ac:dyDescent="0.25">
      <c r="F1099">
        <v>26</v>
      </c>
      <c r="G1099" t="s">
        <v>100</v>
      </c>
      <c r="H1099" t="s">
        <v>16</v>
      </c>
      <c r="I1099" t="s">
        <v>1095</v>
      </c>
      <c r="J1099" t="s">
        <v>1096</v>
      </c>
      <c r="L1099" t="s">
        <v>67</v>
      </c>
    </row>
    <row r="1100" spans="2:12" x14ac:dyDescent="0.25">
      <c r="F1100">
        <v>27</v>
      </c>
      <c r="G1100" t="s">
        <v>101</v>
      </c>
      <c r="H1100" t="s">
        <v>16</v>
      </c>
      <c r="I1100" t="s">
        <v>79</v>
      </c>
      <c r="J1100" t="s">
        <v>349</v>
      </c>
      <c r="L1100" t="s">
        <v>67</v>
      </c>
    </row>
    <row r="1101" spans="2:12" x14ac:dyDescent="0.25">
      <c r="F1101">
        <v>28</v>
      </c>
      <c r="G1101" t="s">
        <v>103</v>
      </c>
      <c r="H1101" t="s">
        <v>16</v>
      </c>
      <c r="I1101" t="s">
        <v>774</v>
      </c>
      <c r="J1101" t="s">
        <v>775</v>
      </c>
      <c r="L1101" t="s">
        <v>67</v>
      </c>
    </row>
    <row r="1102" spans="2:12" x14ac:dyDescent="0.25">
      <c r="F1102">
        <v>29</v>
      </c>
      <c r="G1102" t="s">
        <v>104</v>
      </c>
      <c r="H1102" t="s">
        <v>16</v>
      </c>
      <c r="I1102" t="s">
        <v>1092</v>
      </c>
      <c r="J1102" t="s">
        <v>1093</v>
      </c>
      <c r="L1102" t="s">
        <v>67</v>
      </c>
    </row>
    <row r="1103" spans="2:12" x14ac:dyDescent="0.25">
      <c r="F1103">
        <v>30</v>
      </c>
      <c r="G1103" t="s">
        <v>106</v>
      </c>
      <c r="H1103" t="s">
        <v>16</v>
      </c>
      <c r="I1103" t="s">
        <v>1094</v>
      </c>
      <c r="J1103" t="s">
        <v>744</v>
      </c>
      <c r="L1103" t="s">
        <v>67</v>
      </c>
    </row>
    <row r="1104" spans="2:12" x14ac:dyDescent="0.25">
      <c r="F1104">
        <v>31</v>
      </c>
      <c r="G1104" t="s">
        <v>107</v>
      </c>
      <c r="H1104" t="s">
        <v>16</v>
      </c>
      <c r="I1104" t="s">
        <v>1097</v>
      </c>
      <c r="J1104" t="s">
        <v>744</v>
      </c>
      <c r="L1104" t="s">
        <v>67</v>
      </c>
    </row>
    <row r="1105" spans="2:12" x14ac:dyDescent="0.25">
      <c r="F1105">
        <v>32</v>
      </c>
      <c r="G1105" t="s">
        <v>108</v>
      </c>
      <c r="H1105" t="s">
        <v>39</v>
      </c>
      <c r="I1105" t="s">
        <v>323</v>
      </c>
      <c r="J1105" t="s">
        <v>744</v>
      </c>
      <c r="L1105" t="s">
        <v>67</v>
      </c>
    </row>
    <row r="1106" spans="2:12" x14ac:dyDescent="0.25">
      <c r="F1106">
        <v>33</v>
      </c>
      <c r="G1106" t="s">
        <v>109</v>
      </c>
      <c r="H1106" t="s">
        <v>16</v>
      </c>
      <c r="I1106" t="s">
        <v>1092</v>
      </c>
      <c r="J1106" t="s">
        <v>1093</v>
      </c>
      <c r="L1106" t="s">
        <v>67</v>
      </c>
    </row>
    <row r="1107" spans="2:12" x14ac:dyDescent="0.25">
      <c r="F1107">
        <v>34</v>
      </c>
      <c r="G1107" t="s">
        <v>110</v>
      </c>
      <c r="H1107" t="s">
        <v>16</v>
      </c>
      <c r="I1107" t="s">
        <v>79</v>
      </c>
      <c r="J1107" t="s">
        <v>1093</v>
      </c>
      <c r="L1107" t="s">
        <v>67</v>
      </c>
    </row>
    <row r="1108" spans="2:12" x14ac:dyDescent="0.25">
      <c r="F1108">
        <v>35</v>
      </c>
      <c r="G1108" t="s">
        <v>111</v>
      </c>
      <c r="H1108" t="s">
        <v>16</v>
      </c>
      <c r="I1108" t="s">
        <v>774</v>
      </c>
      <c r="J1108" t="s">
        <v>775</v>
      </c>
      <c r="L1108" t="s">
        <v>67</v>
      </c>
    </row>
    <row r="1109" spans="2:12" x14ac:dyDescent="0.25">
      <c r="F1109">
        <v>36</v>
      </c>
      <c r="G1109" t="s">
        <v>112</v>
      </c>
      <c r="H1109" t="s">
        <v>16</v>
      </c>
      <c r="I1109" t="s">
        <v>1092</v>
      </c>
      <c r="J1109" t="s">
        <v>1093</v>
      </c>
      <c r="L1109" t="s">
        <v>67</v>
      </c>
    </row>
    <row r="1110" spans="2:12" x14ac:dyDescent="0.25">
      <c r="F1110">
        <v>37</v>
      </c>
      <c r="G1110" t="s">
        <v>113</v>
      </c>
      <c r="H1110" t="s">
        <v>16</v>
      </c>
      <c r="I1110" t="s">
        <v>774</v>
      </c>
      <c r="J1110" t="s">
        <v>775</v>
      </c>
      <c r="L1110" t="s">
        <v>67</v>
      </c>
    </row>
    <row r="1111" spans="2:12" x14ac:dyDescent="0.25">
      <c r="F1111">
        <v>39</v>
      </c>
      <c r="G1111" t="s">
        <v>124</v>
      </c>
      <c r="H1111" t="s">
        <v>18</v>
      </c>
    </row>
    <row r="1112" spans="2:12" x14ac:dyDescent="0.25">
      <c r="F1112">
        <v>41</v>
      </c>
      <c r="G1112" t="s">
        <v>131</v>
      </c>
      <c r="H1112" t="s">
        <v>16</v>
      </c>
      <c r="I1112" t="s">
        <v>366</v>
      </c>
      <c r="J1112" t="s">
        <v>1098</v>
      </c>
    </row>
    <row r="1113" spans="2:12" x14ac:dyDescent="0.25">
      <c r="F1113">
        <v>47</v>
      </c>
      <c r="G1113" t="s">
        <v>154</v>
      </c>
      <c r="H1113" t="s">
        <v>16</v>
      </c>
      <c r="I1113" t="s">
        <v>366</v>
      </c>
      <c r="J1113" t="s">
        <v>1098</v>
      </c>
    </row>
    <row r="1114" spans="2:12" x14ac:dyDescent="0.25">
      <c r="F1114">
        <v>48</v>
      </c>
      <c r="G1114" t="s">
        <v>156</v>
      </c>
      <c r="H1114" t="s">
        <v>18</v>
      </c>
    </row>
    <row r="1115" spans="2:12" x14ac:dyDescent="0.25">
      <c r="B1115" t="s">
        <v>1099</v>
      </c>
      <c r="C1115" t="s">
        <v>164</v>
      </c>
      <c r="D1115" t="s">
        <v>254</v>
      </c>
      <c r="E1115" t="s">
        <v>255</v>
      </c>
      <c r="F1115">
        <v>4</v>
      </c>
      <c r="G1115" t="s">
        <v>71</v>
      </c>
      <c r="H1115" t="s">
        <v>16</v>
      </c>
      <c r="I1115" t="s">
        <v>1100</v>
      </c>
      <c r="J1115" t="s">
        <v>651</v>
      </c>
      <c r="L1115" t="s">
        <v>67</v>
      </c>
    </row>
    <row r="1116" spans="2:12" x14ac:dyDescent="0.25">
      <c r="F1116">
        <v>5</v>
      </c>
      <c r="G1116" t="s">
        <v>73</v>
      </c>
      <c r="H1116" t="s">
        <v>16</v>
      </c>
      <c r="I1116" t="s">
        <v>336</v>
      </c>
      <c r="J1116" t="s">
        <v>337</v>
      </c>
      <c r="L1116" t="s">
        <v>67</v>
      </c>
    </row>
    <row r="1117" spans="2:12" x14ac:dyDescent="0.25">
      <c r="F1117">
        <v>6</v>
      </c>
      <c r="G1117" t="s">
        <v>74</v>
      </c>
      <c r="H1117" t="s">
        <v>16</v>
      </c>
      <c r="I1117" t="s">
        <v>1101</v>
      </c>
      <c r="J1117" t="s">
        <v>1102</v>
      </c>
      <c r="L1117" t="s">
        <v>67</v>
      </c>
    </row>
    <row r="1118" spans="2:12" x14ac:dyDescent="0.25">
      <c r="F1118">
        <v>7</v>
      </c>
      <c r="G1118" t="s">
        <v>75</v>
      </c>
      <c r="H1118" t="s">
        <v>39</v>
      </c>
      <c r="I1118" t="s">
        <v>326</v>
      </c>
      <c r="J1118" t="s">
        <v>511</v>
      </c>
      <c r="L1118" t="s">
        <v>67</v>
      </c>
    </row>
    <row r="1119" spans="2:12" x14ac:dyDescent="0.25">
      <c r="F1119">
        <v>8</v>
      </c>
      <c r="G1119" t="s">
        <v>76</v>
      </c>
      <c r="H1119" t="s">
        <v>16</v>
      </c>
      <c r="I1119" t="s">
        <v>410</v>
      </c>
      <c r="J1119" t="s">
        <v>508</v>
      </c>
      <c r="L1119" t="s">
        <v>67</v>
      </c>
    </row>
    <row r="1120" spans="2:12" x14ac:dyDescent="0.25">
      <c r="F1120">
        <v>10</v>
      </c>
      <c r="G1120" t="s">
        <v>80</v>
      </c>
      <c r="H1120" t="s">
        <v>16</v>
      </c>
      <c r="I1120" t="s">
        <v>79</v>
      </c>
      <c r="J1120" t="s">
        <v>1103</v>
      </c>
      <c r="L1120" t="s">
        <v>67</v>
      </c>
    </row>
    <row r="1121" spans="6:12" x14ac:dyDescent="0.25">
      <c r="F1121">
        <v>13</v>
      </c>
      <c r="G1121" t="s">
        <v>84</v>
      </c>
      <c r="H1121" t="s">
        <v>16</v>
      </c>
      <c r="I1121" t="s">
        <v>1104</v>
      </c>
      <c r="J1121" t="s">
        <v>1105</v>
      </c>
      <c r="L1121" t="s">
        <v>67</v>
      </c>
    </row>
    <row r="1122" spans="6:12" x14ac:dyDescent="0.25">
      <c r="F1122">
        <v>21</v>
      </c>
      <c r="G1122" t="s">
        <v>93</v>
      </c>
      <c r="H1122" t="s">
        <v>16</v>
      </c>
      <c r="I1122" t="s">
        <v>1106</v>
      </c>
      <c r="J1122" t="s">
        <v>1103</v>
      </c>
      <c r="L1122" t="s">
        <v>67</v>
      </c>
    </row>
    <row r="1123" spans="6:12" x14ac:dyDescent="0.25">
      <c r="F1123">
        <v>22</v>
      </c>
      <c r="G1123" t="s">
        <v>95</v>
      </c>
      <c r="H1123" t="s">
        <v>16</v>
      </c>
      <c r="I1123" t="s">
        <v>1106</v>
      </c>
      <c r="J1123" t="s">
        <v>1103</v>
      </c>
      <c r="L1123" t="s">
        <v>67</v>
      </c>
    </row>
    <row r="1124" spans="6:12" x14ac:dyDescent="0.25">
      <c r="F1124">
        <v>24</v>
      </c>
      <c r="G1124" t="s">
        <v>97</v>
      </c>
      <c r="H1124" t="s">
        <v>16</v>
      </c>
      <c r="I1124" t="s">
        <v>1107</v>
      </c>
      <c r="J1124" t="s">
        <v>917</v>
      </c>
      <c r="L1124" t="s">
        <v>67</v>
      </c>
    </row>
    <row r="1125" spans="6:12" x14ac:dyDescent="0.25">
      <c r="F1125">
        <v>26</v>
      </c>
      <c r="G1125" t="s">
        <v>100</v>
      </c>
      <c r="H1125" t="s">
        <v>18</v>
      </c>
    </row>
    <row r="1126" spans="6:12" x14ac:dyDescent="0.25">
      <c r="F1126">
        <v>27</v>
      </c>
      <c r="G1126" t="s">
        <v>101</v>
      </c>
      <c r="H1126" t="s">
        <v>16</v>
      </c>
      <c r="I1126" t="s">
        <v>79</v>
      </c>
      <c r="J1126" t="s">
        <v>552</v>
      </c>
      <c r="L1126" t="s">
        <v>67</v>
      </c>
    </row>
    <row r="1127" spans="6:12" x14ac:dyDescent="0.25">
      <c r="F1127">
        <v>28</v>
      </c>
      <c r="G1127" t="s">
        <v>103</v>
      </c>
      <c r="H1127" t="s">
        <v>16</v>
      </c>
      <c r="I1127" t="s">
        <v>1104</v>
      </c>
      <c r="J1127" t="s">
        <v>1105</v>
      </c>
      <c r="L1127" t="s">
        <v>67</v>
      </c>
    </row>
    <row r="1128" spans="6:12" x14ac:dyDescent="0.25">
      <c r="F1128">
        <v>29</v>
      </c>
      <c r="G1128" t="s">
        <v>104</v>
      </c>
      <c r="H1128" t="s">
        <v>16</v>
      </c>
      <c r="I1128" t="s">
        <v>925</v>
      </c>
      <c r="J1128" t="s">
        <v>926</v>
      </c>
      <c r="L1128" t="s">
        <v>67</v>
      </c>
    </row>
    <row r="1129" spans="6:12" x14ac:dyDescent="0.25">
      <c r="F1129">
        <v>30</v>
      </c>
      <c r="G1129" t="s">
        <v>106</v>
      </c>
      <c r="H1129" t="s">
        <v>16</v>
      </c>
      <c r="I1129" t="s">
        <v>1107</v>
      </c>
      <c r="J1129" t="s">
        <v>917</v>
      </c>
      <c r="L1129" t="s">
        <v>67</v>
      </c>
    </row>
    <row r="1130" spans="6:12" x14ac:dyDescent="0.25">
      <c r="F1130">
        <v>31</v>
      </c>
      <c r="G1130" t="s">
        <v>107</v>
      </c>
      <c r="H1130" t="s">
        <v>16</v>
      </c>
      <c r="I1130" t="s">
        <v>1108</v>
      </c>
      <c r="J1130" t="s">
        <v>917</v>
      </c>
      <c r="L1130" t="s">
        <v>67</v>
      </c>
    </row>
    <row r="1131" spans="6:12" x14ac:dyDescent="0.25">
      <c r="F1131">
        <v>32</v>
      </c>
      <c r="G1131" t="s">
        <v>108</v>
      </c>
      <c r="H1131" t="s">
        <v>16</v>
      </c>
      <c r="I1131" t="s">
        <v>477</v>
      </c>
      <c r="J1131" t="s">
        <v>478</v>
      </c>
      <c r="L1131" t="s">
        <v>67</v>
      </c>
    </row>
    <row r="1132" spans="6:12" x14ac:dyDescent="0.25">
      <c r="F1132">
        <v>33</v>
      </c>
      <c r="G1132" t="s">
        <v>109</v>
      </c>
      <c r="H1132" t="s">
        <v>16</v>
      </c>
      <c r="I1132" t="s">
        <v>925</v>
      </c>
      <c r="J1132" t="s">
        <v>926</v>
      </c>
      <c r="L1132" t="s">
        <v>67</v>
      </c>
    </row>
    <row r="1133" spans="6:12" x14ac:dyDescent="0.25">
      <c r="F1133">
        <v>34</v>
      </c>
      <c r="G1133" t="s">
        <v>110</v>
      </c>
      <c r="H1133" t="s">
        <v>16</v>
      </c>
      <c r="I1133" t="s">
        <v>79</v>
      </c>
      <c r="J1133" t="s">
        <v>926</v>
      </c>
      <c r="L1133" t="s">
        <v>67</v>
      </c>
    </row>
    <row r="1134" spans="6:12" x14ac:dyDescent="0.25">
      <c r="F1134">
        <v>35</v>
      </c>
      <c r="G1134" t="s">
        <v>111</v>
      </c>
      <c r="H1134" t="s">
        <v>16</v>
      </c>
      <c r="I1134" t="s">
        <v>1104</v>
      </c>
      <c r="J1134" t="s">
        <v>1105</v>
      </c>
      <c r="L1134" t="s">
        <v>67</v>
      </c>
    </row>
    <row r="1135" spans="6:12" x14ac:dyDescent="0.25">
      <c r="F1135">
        <v>36</v>
      </c>
      <c r="G1135" t="s">
        <v>112</v>
      </c>
      <c r="H1135" t="s">
        <v>16</v>
      </c>
      <c r="I1135" t="s">
        <v>996</v>
      </c>
      <c r="J1135" t="s">
        <v>917</v>
      </c>
      <c r="L1135" t="s">
        <v>67</v>
      </c>
    </row>
    <row r="1136" spans="6:12" x14ac:dyDescent="0.25">
      <c r="F1136">
        <v>37</v>
      </c>
      <c r="G1136" t="s">
        <v>113</v>
      </c>
      <c r="H1136" t="s">
        <v>16</v>
      </c>
      <c r="I1136" t="s">
        <v>1109</v>
      </c>
      <c r="J1136" t="s">
        <v>786</v>
      </c>
      <c r="L1136" t="s">
        <v>67</v>
      </c>
    </row>
    <row r="1137" spans="2:12" x14ac:dyDescent="0.25">
      <c r="F1137">
        <v>39</v>
      </c>
      <c r="G1137" t="s">
        <v>124</v>
      </c>
      <c r="H1137" t="s">
        <v>16</v>
      </c>
      <c r="I1137" t="s">
        <v>1110</v>
      </c>
      <c r="J1137" t="s">
        <v>789</v>
      </c>
    </row>
    <row r="1138" spans="2:12" x14ac:dyDescent="0.25">
      <c r="F1138">
        <v>41</v>
      </c>
      <c r="G1138" t="s">
        <v>131</v>
      </c>
      <c r="H1138" t="s">
        <v>16</v>
      </c>
      <c r="I1138" t="s">
        <v>1111</v>
      </c>
      <c r="J1138" t="s">
        <v>952</v>
      </c>
      <c r="L1138" t="s">
        <v>67</v>
      </c>
    </row>
    <row r="1139" spans="2:12" x14ac:dyDescent="0.25">
      <c r="F1139">
        <v>48</v>
      </c>
      <c r="G1139" t="s">
        <v>156</v>
      </c>
      <c r="H1139" t="s">
        <v>16</v>
      </c>
      <c r="I1139" t="s">
        <v>1110</v>
      </c>
      <c r="J1139" t="s">
        <v>789</v>
      </c>
    </row>
    <row r="1140" spans="2:12" x14ac:dyDescent="0.25">
      <c r="F1140">
        <v>49</v>
      </c>
      <c r="G1140" t="s">
        <v>163</v>
      </c>
      <c r="H1140" t="s">
        <v>16</v>
      </c>
      <c r="I1140" t="s">
        <v>1112</v>
      </c>
      <c r="J1140" t="s">
        <v>1113</v>
      </c>
    </row>
    <row r="1141" spans="2:12" x14ac:dyDescent="0.25">
      <c r="F1141">
        <v>50</v>
      </c>
      <c r="G1141" t="s">
        <v>165</v>
      </c>
      <c r="H1141" t="s">
        <v>18</v>
      </c>
    </row>
    <row r="1142" spans="2:12" x14ac:dyDescent="0.25">
      <c r="B1142" t="s">
        <v>1114</v>
      </c>
      <c r="C1142" t="s">
        <v>164</v>
      </c>
      <c r="D1142" t="s">
        <v>257</v>
      </c>
      <c r="E1142" t="s">
        <v>258</v>
      </c>
      <c r="F1142">
        <v>4</v>
      </c>
      <c r="G1142" t="s">
        <v>71</v>
      </c>
      <c r="H1142" t="s">
        <v>18</v>
      </c>
    </row>
    <row r="1143" spans="2:12" x14ac:dyDescent="0.25">
      <c r="F1143">
        <v>5</v>
      </c>
      <c r="G1143" t="s">
        <v>73</v>
      </c>
      <c r="H1143" t="s">
        <v>16</v>
      </c>
      <c r="I1143" t="s">
        <v>816</v>
      </c>
      <c r="J1143" t="s">
        <v>817</v>
      </c>
      <c r="L1143" t="s">
        <v>67</v>
      </c>
    </row>
    <row r="1144" spans="2:12" x14ac:dyDescent="0.25">
      <c r="F1144">
        <v>6</v>
      </c>
      <c r="G1144" t="s">
        <v>74</v>
      </c>
      <c r="H1144" t="s">
        <v>16</v>
      </c>
      <c r="I1144" t="s">
        <v>306</v>
      </c>
      <c r="J1144" t="s">
        <v>1115</v>
      </c>
      <c r="L1144" t="s">
        <v>67</v>
      </c>
    </row>
    <row r="1145" spans="2:12" x14ac:dyDescent="0.25">
      <c r="F1145">
        <v>7</v>
      </c>
      <c r="G1145" t="s">
        <v>75</v>
      </c>
      <c r="H1145" t="s">
        <v>18</v>
      </c>
    </row>
    <row r="1146" spans="2:12" x14ac:dyDescent="0.25">
      <c r="F1146">
        <v>8</v>
      </c>
      <c r="G1146" t="s">
        <v>76</v>
      </c>
      <c r="H1146" t="s">
        <v>16</v>
      </c>
      <c r="I1146" t="s">
        <v>1116</v>
      </c>
      <c r="J1146" t="s">
        <v>584</v>
      </c>
      <c r="L1146" t="s">
        <v>67</v>
      </c>
    </row>
    <row r="1147" spans="2:12" x14ac:dyDescent="0.25">
      <c r="F1147">
        <v>10</v>
      </c>
      <c r="G1147" t="s">
        <v>80</v>
      </c>
      <c r="H1147" t="s">
        <v>18</v>
      </c>
    </row>
    <row r="1148" spans="2:12" x14ac:dyDescent="0.25">
      <c r="F1148">
        <v>13</v>
      </c>
      <c r="G1148" t="s">
        <v>84</v>
      </c>
      <c r="H1148" t="s">
        <v>16</v>
      </c>
      <c r="I1148" t="s">
        <v>1117</v>
      </c>
      <c r="J1148" t="s">
        <v>1016</v>
      </c>
      <c r="L1148" t="s">
        <v>67</v>
      </c>
    </row>
    <row r="1149" spans="2:12" x14ac:dyDescent="0.25">
      <c r="F1149">
        <v>21</v>
      </c>
      <c r="G1149" t="s">
        <v>93</v>
      </c>
      <c r="H1149" t="s">
        <v>16</v>
      </c>
      <c r="I1149" t="s">
        <v>1117</v>
      </c>
      <c r="J1149" t="s">
        <v>1016</v>
      </c>
      <c r="L1149" t="s">
        <v>67</v>
      </c>
    </row>
    <row r="1150" spans="2:12" x14ac:dyDescent="0.25">
      <c r="F1150">
        <v>22</v>
      </c>
      <c r="G1150" t="s">
        <v>95</v>
      </c>
      <c r="H1150" t="s">
        <v>16</v>
      </c>
      <c r="I1150" t="s">
        <v>1117</v>
      </c>
      <c r="J1150" t="s">
        <v>1016</v>
      </c>
      <c r="L1150" t="s">
        <v>67</v>
      </c>
    </row>
    <row r="1151" spans="2:12" x14ac:dyDescent="0.25">
      <c r="F1151">
        <v>24</v>
      </c>
      <c r="G1151" t="s">
        <v>97</v>
      </c>
      <c r="H1151" t="s">
        <v>16</v>
      </c>
      <c r="I1151" t="s">
        <v>1118</v>
      </c>
      <c r="J1151" t="s">
        <v>1119</v>
      </c>
      <c r="L1151" t="s">
        <v>67</v>
      </c>
    </row>
    <row r="1152" spans="2:12" x14ac:dyDescent="0.25">
      <c r="F1152">
        <v>26</v>
      </c>
      <c r="G1152" t="s">
        <v>100</v>
      </c>
      <c r="H1152" t="s">
        <v>18</v>
      </c>
    </row>
    <row r="1153" spans="6:12" x14ac:dyDescent="0.25">
      <c r="F1153">
        <v>27</v>
      </c>
      <c r="G1153" t="s">
        <v>101</v>
      </c>
      <c r="H1153" t="s">
        <v>16</v>
      </c>
      <c r="I1153" t="s">
        <v>79</v>
      </c>
      <c r="J1153" t="s">
        <v>1113</v>
      </c>
      <c r="L1153" t="s">
        <v>67</v>
      </c>
    </row>
    <row r="1154" spans="6:12" x14ac:dyDescent="0.25">
      <c r="F1154">
        <v>28</v>
      </c>
      <c r="G1154" t="s">
        <v>103</v>
      </c>
      <c r="H1154" t="s">
        <v>16</v>
      </c>
      <c r="I1154" t="s">
        <v>1117</v>
      </c>
      <c r="J1154" t="s">
        <v>1016</v>
      </c>
      <c r="L1154" t="s">
        <v>67</v>
      </c>
    </row>
    <row r="1155" spans="6:12" x14ac:dyDescent="0.25">
      <c r="F1155">
        <v>29</v>
      </c>
      <c r="G1155" t="s">
        <v>104</v>
      </c>
      <c r="H1155" t="s">
        <v>16</v>
      </c>
      <c r="I1155" t="s">
        <v>1120</v>
      </c>
      <c r="J1155" t="s">
        <v>1121</v>
      </c>
      <c r="L1155" t="s">
        <v>67</v>
      </c>
    </row>
    <row r="1156" spans="6:12" x14ac:dyDescent="0.25">
      <c r="F1156">
        <v>30</v>
      </c>
      <c r="G1156" t="s">
        <v>106</v>
      </c>
      <c r="H1156" t="s">
        <v>16</v>
      </c>
      <c r="I1156" t="s">
        <v>1122</v>
      </c>
      <c r="J1156" t="s">
        <v>1123</v>
      </c>
      <c r="L1156" t="s">
        <v>67</v>
      </c>
    </row>
    <row r="1157" spans="6:12" x14ac:dyDescent="0.25">
      <c r="F1157">
        <v>31</v>
      </c>
      <c r="G1157" t="s">
        <v>107</v>
      </c>
      <c r="H1157" t="s">
        <v>16</v>
      </c>
      <c r="I1157" t="s">
        <v>1124</v>
      </c>
      <c r="J1157" t="s">
        <v>1123</v>
      </c>
      <c r="L1157" t="s">
        <v>67</v>
      </c>
    </row>
    <row r="1158" spans="6:12" x14ac:dyDescent="0.25">
      <c r="F1158">
        <v>32</v>
      </c>
      <c r="G1158" t="s">
        <v>108</v>
      </c>
      <c r="H1158" t="s">
        <v>39</v>
      </c>
      <c r="I1158" t="s">
        <v>323</v>
      </c>
      <c r="J1158" t="s">
        <v>1123</v>
      </c>
      <c r="L1158" t="s">
        <v>67</v>
      </c>
    </row>
    <row r="1159" spans="6:12" x14ac:dyDescent="0.25">
      <c r="F1159">
        <v>33</v>
      </c>
      <c r="G1159" t="s">
        <v>109</v>
      </c>
      <c r="H1159" t="s">
        <v>16</v>
      </c>
      <c r="I1159" t="s">
        <v>308</v>
      </c>
      <c r="J1159" t="s">
        <v>1123</v>
      </c>
      <c r="L1159" t="s">
        <v>67</v>
      </c>
    </row>
    <row r="1160" spans="6:12" x14ac:dyDescent="0.25">
      <c r="F1160">
        <v>34</v>
      </c>
      <c r="G1160" t="s">
        <v>110</v>
      </c>
      <c r="H1160" t="s">
        <v>16</v>
      </c>
      <c r="I1160" t="s">
        <v>79</v>
      </c>
      <c r="J1160" t="s">
        <v>1125</v>
      </c>
      <c r="L1160" t="s">
        <v>67</v>
      </c>
    </row>
    <row r="1161" spans="6:12" x14ac:dyDescent="0.25">
      <c r="F1161">
        <v>35</v>
      </c>
      <c r="G1161" t="s">
        <v>111</v>
      </c>
      <c r="H1161" t="s">
        <v>16</v>
      </c>
      <c r="I1161" t="s">
        <v>1117</v>
      </c>
      <c r="J1161" t="s">
        <v>1016</v>
      </c>
      <c r="L1161" t="s">
        <v>67</v>
      </c>
    </row>
    <row r="1162" spans="6:12" x14ac:dyDescent="0.25">
      <c r="F1162">
        <v>36</v>
      </c>
      <c r="G1162" t="s">
        <v>112</v>
      </c>
      <c r="H1162" t="s">
        <v>16</v>
      </c>
      <c r="I1162" t="s">
        <v>1120</v>
      </c>
      <c r="J1162" t="s">
        <v>1121</v>
      </c>
      <c r="L1162" t="s">
        <v>67</v>
      </c>
    </row>
    <row r="1163" spans="6:12" x14ac:dyDescent="0.25">
      <c r="F1163">
        <v>37</v>
      </c>
      <c r="G1163" t="s">
        <v>113</v>
      </c>
      <c r="H1163" t="s">
        <v>16</v>
      </c>
      <c r="I1163" t="s">
        <v>1126</v>
      </c>
      <c r="J1163" t="s">
        <v>320</v>
      </c>
      <c r="L1163" t="s">
        <v>67</v>
      </c>
    </row>
    <row r="1164" spans="6:12" x14ac:dyDescent="0.25">
      <c r="F1164">
        <v>39</v>
      </c>
      <c r="G1164" t="s">
        <v>124</v>
      </c>
      <c r="H1164" t="s">
        <v>18</v>
      </c>
    </row>
    <row r="1165" spans="6:12" x14ac:dyDescent="0.25">
      <c r="F1165">
        <v>41</v>
      </c>
      <c r="G1165" t="s">
        <v>131</v>
      </c>
      <c r="H1165" t="s">
        <v>16</v>
      </c>
      <c r="I1165" t="s">
        <v>1127</v>
      </c>
      <c r="J1165" t="s">
        <v>1128</v>
      </c>
      <c r="L1165" t="s">
        <v>67</v>
      </c>
    </row>
    <row r="1166" spans="6:12" x14ac:dyDescent="0.25">
      <c r="F1166">
        <v>48</v>
      </c>
      <c r="G1166" t="s">
        <v>156</v>
      </c>
      <c r="H1166" t="s">
        <v>18</v>
      </c>
    </row>
    <row r="1167" spans="6:12" x14ac:dyDescent="0.25">
      <c r="F1167">
        <v>49</v>
      </c>
      <c r="G1167" t="s">
        <v>163</v>
      </c>
      <c r="H1167" t="s">
        <v>16</v>
      </c>
      <c r="I1167" t="s">
        <v>1129</v>
      </c>
      <c r="J1167" t="s">
        <v>1130</v>
      </c>
    </row>
    <row r="1168" spans="6:12" x14ac:dyDescent="0.25">
      <c r="F1168">
        <v>50</v>
      </c>
      <c r="G1168" t="s">
        <v>165</v>
      </c>
      <c r="H1168" t="s">
        <v>18</v>
      </c>
    </row>
    <row r="1169" spans="2:12" x14ac:dyDescent="0.25">
      <c r="B1169" t="s">
        <v>1131</v>
      </c>
      <c r="C1169" t="s">
        <v>164</v>
      </c>
      <c r="D1169" t="s">
        <v>260</v>
      </c>
      <c r="E1169" t="s">
        <v>261</v>
      </c>
      <c r="F1169">
        <v>4</v>
      </c>
      <c r="G1169" t="s">
        <v>71</v>
      </c>
      <c r="H1169" t="s">
        <v>18</v>
      </c>
    </row>
    <row r="1170" spans="2:12" x14ac:dyDescent="0.25">
      <c r="F1170">
        <v>5</v>
      </c>
      <c r="G1170" t="s">
        <v>73</v>
      </c>
      <c r="H1170" t="s">
        <v>16</v>
      </c>
      <c r="I1170" t="s">
        <v>1132</v>
      </c>
      <c r="J1170" t="s">
        <v>1133</v>
      </c>
      <c r="L1170" t="s">
        <v>67</v>
      </c>
    </row>
    <row r="1171" spans="2:12" x14ac:dyDescent="0.25">
      <c r="F1171">
        <v>6</v>
      </c>
      <c r="G1171" t="s">
        <v>74</v>
      </c>
      <c r="H1171" t="s">
        <v>16</v>
      </c>
      <c r="I1171" t="s">
        <v>1134</v>
      </c>
      <c r="J1171" t="s">
        <v>1008</v>
      </c>
      <c r="L1171" t="s">
        <v>67</v>
      </c>
    </row>
    <row r="1172" spans="2:12" x14ac:dyDescent="0.25">
      <c r="F1172">
        <v>7</v>
      </c>
      <c r="G1172" t="s">
        <v>75</v>
      </c>
      <c r="H1172" t="s">
        <v>18</v>
      </c>
    </row>
    <row r="1173" spans="2:12" x14ac:dyDescent="0.25">
      <c r="F1173">
        <v>8</v>
      </c>
      <c r="G1173" t="s">
        <v>76</v>
      </c>
      <c r="H1173" t="s">
        <v>16</v>
      </c>
      <c r="I1173" t="s">
        <v>1135</v>
      </c>
      <c r="J1173" t="s">
        <v>1136</v>
      </c>
      <c r="L1173" t="s">
        <v>67</v>
      </c>
    </row>
    <row r="1174" spans="2:12" x14ac:dyDescent="0.25">
      <c r="F1174">
        <v>10</v>
      </c>
      <c r="G1174" t="s">
        <v>80</v>
      </c>
      <c r="H1174" t="s">
        <v>16</v>
      </c>
      <c r="I1174" t="s">
        <v>79</v>
      </c>
      <c r="J1174" t="s">
        <v>449</v>
      </c>
      <c r="L1174" t="s">
        <v>67</v>
      </c>
    </row>
    <row r="1175" spans="2:12" x14ac:dyDescent="0.25">
      <c r="F1175">
        <v>13</v>
      </c>
      <c r="G1175" t="s">
        <v>84</v>
      </c>
      <c r="H1175" t="s">
        <v>16</v>
      </c>
      <c r="I1175" t="s">
        <v>861</v>
      </c>
      <c r="J1175" t="s">
        <v>862</v>
      </c>
      <c r="L1175" t="s">
        <v>67</v>
      </c>
    </row>
    <row r="1176" spans="2:12" x14ac:dyDescent="0.25">
      <c r="F1176">
        <v>21</v>
      </c>
      <c r="G1176" t="s">
        <v>93</v>
      </c>
      <c r="H1176" t="s">
        <v>16</v>
      </c>
      <c r="I1176" t="s">
        <v>861</v>
      </c>
      <c r="J1176" t="s">
        <v>862</v>
      </c>
      <c r="L1176" t="s">
        <v>67</v>
      </c>
    </row>
    <row r="1177" spans="2:12" x14ac:dyDescent="0.25">
      <c r="F1177">
        <v>22</v>
      </c>
      <c r="G1177" t="s">
        <v>95</v>
      </c>
      <c r="H1177" t="s">
        <v>16</v>
      </c>
      <c r="I1177" t="s">
        <v>861</v>
      </c>
      <c r="J1177" t="s">
        <v>862</v>
      </c>
      <c r="L1177" t="s">
        <v>67</v>
      </c>
    </row>
    <row r="1178" spans="2:12" x14ac:dyDescent="0.25">
      <c r="F1178">
        <v>24</v>
      </c>
      <c r="G1178" t="s">
        <v>97</v>
      </c>
      <c r="H1178" t="s">
        <v>16</v>
      </c>
      <c r="I1178" t="s">
        <v>1137</v>
      </c>
      <c r="J1178" t="s">
        <v>529</v>
      </c>
      <c r="L1178" t="s">
        <v>67</v>
      </c>
    </row>
    <row r="1179" spans="2:12" x14ac:dyDescent="0.25">
      <c r="F1179">
        <v>26</v>
      </c>
      <c r="G1179" t="s">
        <v>100</v>
      </c>
      <c r="H1179" t="s">
        <v>18</v>
      </c>
    </row>
    <row r="1180" spans="2:12" x14ac:dyDescent="0.25">
      <c r="F1180">
        <v>27</v>
      </c>
      <c r="G1180" t="s">
        <v>101</v>
      </c>
      <c r="H1180" t="s">
        <v>16</v>
      </c>
      <c r="I1180" t="s">
        <v>79</v>
      </c>
      <c r="J1180" t="s">
        <v>411</v>
      </c>
      <c r="L1180" t="s">
        <v>67</v>
      </c>
    </row>
    <row r="1181" spans="2:12" x14ac:dyDescent="0.25">
      <c r="F1181">
        <v>28</v>
      </c>
      <c r="G1181" t="s">
        <v>103</v>
      </c>
      <c r="H1181" t="s">
        <v>16</v>
      </c>
      <c r="I1181" t="s">
        <v>410</v>
      </c>
      <c r="J1181" t="s">
        <v>411</v>
      </c>
      <c r="L1181" t="s">
        <v>67</v>
      </c>
    </row>
    <row r="1182" spans="2:12" x14ac:dyDescent="0.25">
      <c r="F1182">
        <v>29</v>
      </c>
      <c r="G1182" t="s">
        <v>104</v>
      </c>
      <c r="H1182" t="s">
        <v>16</v>
      </c>
      <c r="I1182" t="s">
        <v>499</v>
      </c>
      <c r="J1182" t="s">
        <v>500</v>
      </c>
      <c r="L1182" t="s">
        <v>67</v>
      </c>
    </row>
    <row r="1183" spans="2:12" x14ac:dyDescent="0.25">
      <c r="F1183">
        <v>30</v>
      </c>
      <c r="G1183" t="s">
        <v>106</v>
      </c>
      <c r="H1183" t="s">
        <v>16</v>
      </c>
      <c r="I1183" t="s">
        <v>1137</v>
      </c>
      <c r="J1183" t="s">
        <v>529</v>
      </c>
      <c r="L1183" t="s">
        <v>67</v>
      </c>
    </row>
    <row r="1184" spans="2:12" x14ac:dyDescent="0.25">
      <c r="F1184">
        <v>31</v>
      </c>
      <c r="G1184" t="s">
        <v>107</v>
      </c>
      <c r="H1184" t="s">
        <v>16</v>
      </c>
      <c r="I1184" t="s">
        <v>528</v>
      </c>
      <c r="J1184" t="s">
        <v>529</v>
      </c>
      <c r="L1184" t="s">
        <v>67</v>
      </c>
    </row>
    <row r="1185" spans="2:12" x14ac:dyDescent="0.25">
      <c r="F1185">
        <v>32</v>
      </c>
      <c r="G1185" t="s">
        <v>108</v>
      </c>
      <c r="H1185" t="s">
        <v>39</v>
      </c>
      <c r="I1185" t="s">
        <v>323</v>
      </c>
      <c r="J1185" t="s">
        <v>529</v>
      </c>
      <c r="L1185" t="s">
        <v>67</v>
      </c>
    </row>
    <row r="1186" spans="2:12" x14ac:dyDescent="0.25">
      <c r="F1186">
        <v>33</v>
      </c>
      <c r="G1186" t="s">
        <v>109</v>
      </c>
      <c r="H1186" t="s">
        <v>16</v>
      </c>
      <c r="I1186" t="s">
        <v>499</v>
      </c>
      <c r="J1186" t="s">
        <v>500</v>
      </c>
      <c r="L1186" t="s">
        <v>67</v>
      </c>
    </row>
    <row r="1187" spans="2:12" x14ac:dyDescent="0.25">
      <c r="F1187">
        <v>34</v>
      </c>
      <c r="G1187" t="s">
        <v>110</v>
      </c>
      <c r="H1187" t="s">
        <v>16</v>
      </c>
      <c r="I1187" t="s">
        <v>79</v>
      </c>
      <c r="J1187" t="s">
        <v>912</v>
      </c>
      <c r="L1187" t="s">
        <v>67</v>
      </c>
    </row>
    <row r="1188" spans="2:12" x14ac:dyDescent="0.25">
      <c r="F1188">
        <v>35</v>
      </c>
      <c r="G1188" t="s">
        <v>111</v>
      </c>
      <c r="H1188" t="s">
        <v>16</v>
      </c>
      <c r="I1188" t="s">
        <v>314</v>
      </c>
      <c r="J1188" t="s">
        <v>315</v>
      </c>
      <c r="L1188" t="s">
        <v>67</v>
      </c>
    </row>
    <row r="1189" spans="2:12" x14ac:dyDescent="0.25">
      <c r="F1189">
        <v>36</v>
      </c>
      <c r="G1189" t="s">
        <v>112</v>
      </c>
      <c r="H1189" t="s">
        <v>16</v>
      </c>
      <c r="I1189" t="s">
        <v>499</v>
      </c>
      <c r="J1189" t="s">
        <v>500</v>
      </c>
      <c r="L1189" t="s">
        <v>67</v>
      </c>
    </row>
    <row r="1190" spans="2:12" x14ac:dyDescent="0.25">
      <c r="F1190">
        <v>37</v>
      </c>
      <c r="G1190" t="s">
        <v>113</v>
      </c>
      <c r="H1190" t="s">
        <v>16</v>
      </c>
      <c r="I1190" t="s">
        <v>783</v>
      </c>
      <c r="J1190" t="s">
        <v>500</v>
      </c>
      <c r="L1190" t="s">
        <v>67</v>
      </c>
    </row>
    <row r="1191" spans="2:12" x14ac:dyDescent="0.25">
      <c r="F1191">
        <v>39</v>
      </c>
      <c r="G1191" t="s">
        <v>124</v>
      </c>
      <c r="H1191" t="s">
        <v>18</v>
      </c>
    </row>
    <row r="1192" spans="2:12" x14ac:dyDescent="0.25">
      <c r="F1192">
        <v>41</v>
      </c>
      <c r="G1192" t="s">
        <v>131</v>
      </c>
      <c r="H1192" t="s">
        <v>16</v>
      </c>
      <c r="I1192" t="s">
        <v>1138</v>
      </c>
      <c r="J1192" t="s">
        <v>1139</v>
      </c>
      <c r="L1192" t="s">
        <v>67</v>
      </c>
    </row>
    <row r="1193" spans="2:12" x14ac:dyDescent="0.25">
      <c r="F1193">
        <v>48</v>
      </c>
      <c r="G1193" t="s">
        <v>156</v>
      </c>
      <c r="H1193" t="s">
        <v>16</v>
      </c>
      <c r="I1193" t="s">
        <v>1140</v>
      </c>
      <c r="J1193" t="s">
        <v>1141</v>
      </c>
      <c r="L1193" t="s">
        <v>67</v>
      </c>
    </row>
    <row r="1194" spans="2:12" x14ac:dyDescent="0.25">
      <c r="F1194">
        <v>49</v>
      </c>
      <c r="G1194" t="s">
        <v>163</v>
      </c>
      <c r="H1194" t="s">
        <v>16</v>
      </c>
      <c r="I1194" t="s">
        <v>1142</v>
      </c>
      <c r="J1194" t="s">
        <v>1143</v>
      </c>
    </row>
    <row r="1195" spans="2:12" x14ac:dyDescent="0.25">
      <c r="F1195">
        <v>50</v>
      </c>
      <c r="G1195" t="s">
        <v>165</v>
      </c>
      <c r="H1195" t="s">
        <v>18</v>
      </c>
    </row>
    <row r="1196" spans="2:12" x14ac:dyDescent="0.25">
      <c r="B1196" t="s">
        <v>1144</v>
      </c>
      <c r="C1196" t="s">
        <v>264</v>
      </c>
      <c r="F1196">
        <v>52</v>
      </c>
      <c r="G1196" t="s">
        <v>263</v>
      </c>
      <c r="H1196" t="s">
        <v>18</v>
      </c>
    </row>
    <row r="1197" spans="2:12" x14ac:dyDescent="0.25">
      <c r="B1197" t="s">
        <v>50</v>
      </c>
    </row>
  </sheetData>
  <mergeCells count="1">
    <mergeCell ref="B2:D2"/>
  </mergeCells>
  <conditionalFormatting sqref="H4:H821">
    <cfRule type="cellIs" dxfId="14" priority="1" operator="equal">
      <formula>"Expired"</formula>
    </cfRule>
    <cfRule type="cellIs" dxfId="13" priority="2" operator="equal">
      <formula>"Outstanding"</formula>
    </cfRule>
    <cfRule type="cellIs" dxfId="12" priority="3" operator="equal">
      <formula>"In Date"</formula>
    </cfRule>
    <cfRule type="cellIs" dxfId="11" priority="4" operator="equal">
      <formula>"About to Expire"</formula>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94"/>
  <sheetViews>
    <sheetView workbookViewId="0">
      <selection activeCell="F52" sqref="F52"/>
    </sheetView>
  </sheetViews>
  <sheetFormatPr defaultColWidth="9" defaultRowHeight="15" x14ac:dyDescent="0.25"/>
  <cols>
    <col min="1" max="1" width="11" bestFit="1" customWidth="1"/>
    <col min="2" max="2" width="29.42578125" bestFit="1" customWidth="1"/>
    <col min="3" max="3" width="19.42578125" bestFit="1" customWidth="1"/>
    <col min="4" max="4" width="34.28515625" bestFit="1" customWidth="1"/>
    <col min="5" max="5" width="15.140625" bestFit="1" customWidth="1"/>
    <col min="6" max="6" width="75.42578125" bestFit="1" customWidth="1"/>
    <col min="7" max="7" width="30.7109375" bestFit="1" customWidth="1"/>
    <col min="8" max="8" width="20.7109375" bestFit="1" customWidth="1"/>
    <col min="9" max="9" width="17" bestFit="1" customWidth="1"/>
    <col min="10" max="11" width="10.42578125" bestFit="1" customWidth="1"/>
    <col min="12" max="12" width="14.85546875" bestFit="1" customWidth="1"/>
    <col min="13" max="14" width="10.42578125" bestFit="1" customWidth="1"/>
    <col min="15" max="15" width="15.85546875" bestFit="1" customWidth="1"/>
  </cols>
  <sheetData>
    <row r="1" spans="1:12" x14ac:dyDescent="0.25">
      <c r="A1" t="s">
        <v>0</v>
      </c>
      <c r="B1" t="s">
        <v>42</v>
      </c>
      <c r="C1" t="s">
        <v>4</v>
      </c>
      <c r="D1" t="s">
        <v>44</v>
      </c>
      <c r="E1" t="s">
        <v>45</v>
      </c>
      <c r="F1" t="s">
        <v>1</v>
      </c>
      <c r="G1" t="s">
        <v>56</v>
      </c>
      <c r="H1" t="s">
        <v>2</v>
      </c>
      <c r="I1" t="s">
        <v>57</v>
      </c>
      <c r="J1" t="s">
        <v>41</v>
      </c>
      <c r="K1" t="s">
        <v>52</v>
      </c>
      <c r="L1" t="s">
        <v>58</v>
      </c>
    </row>
    <row r="2" spans="1:12" x14ac:dyDescent="0.25">
      <c r="A2">
        <v>161</v>
      </c>
      <c r="B2" s="10" t="s">
        <v>859</v>
      </c>
      <c r="C2" s="10" t="s">
        <v>145</v>
      </c>
      <c r="D2" s="10" t="s">
        <v>205</v>
      </c>
      <c r="E2" s="10" t="s">
        <v>206</v>
      </c>
      <c r="F2" s="10" t="s">
        <v>71</v>
      </c>
      <c r="G2" s="10" t="s">
        <v>68</v>
      </c>
      <c r="H2" s="10" t="s">
        <v>72</v>
      </c>
      <c r="I2" s="10" t="s">
        <v>18</v>
      </c>
      <c r="J2" s="10" t="s">
        <v>54</v>
      </c>
      <c r="K2" s="10" t="s">
        <v>54</v>
      </c>
      <c r="L2" s="10" t="s">
        <v>54</v>
      </c>
    </row>
    <row r="3" spans="1:12" x14ac:dyDescent="0.25">
      <c r="A3">
        <v>161</v>
      </c>
      <c r="B3" s="10" t="s">
        <v>859</v>
      </c>
      <c r="C3" s="10" t="s">
        <v>145</v>
      </c>
      <c r="D3" s="10" t="s">
        <v>205</v>
      </c>
      <c r="E3" s="10" t="s">
        <v>206</v>
      </c>
      <c r="F3" s="10" t="s">
        <v>73</v>
      </c>
      <c r="G3" s="10" t="s">
        <v>68</v>
      </c>
      <c r="H3" s="10" t="s">
        <v>65</v>
      </c>
      <c r="I3" s="10" t="s">
        <v>16</v>
      </c>
      <c r="J3" s="10" t="s">
        <v>528</v>
      </c>
      <c r="K3" s="10" t="s">
        <v>540</v>
      </c>
      <c r="L3" s="10" t="s">
        <v>67</v>
      </c>
    </row>
    <row r="4" spans="1:12" x14ac:dyDescent="0.25">
      <c r="A4">
        <v>161</v>
      </c>
      <c r="B4" s="10" t="s">
        <v>859</v>
      </c>
      <c r="C4" s="10" t="s">
        <v>145</v>
      </c>
      <c r="D4" s="10" t="s">
        <v>205</v>
      </c>
      <c r="E4" s="10" t="s">
        <v>206</v>
      </c>
      <c r="F4" s="10" t="s">
        <v>74</v>
      </c>
      <c r="G4" s="10" t="s">
        <v>68</v>
      </c>
      <c r="H4" s="10" t="s">
        <v>65</v>
      </c>
      <c r="I4" s="10" t="s">
        <v>16</v>
      </c>
      <c r="J4" s="10" t="s">
        <v>314</v>
      </c>
      <c r="K4" s="10" t="s">
        <v>860</v>
      </c>
      <c r="L4" s="10" t="s">
        <v>67</v>
      </c>
    </row>
    <row r="5" spans="1:12" x14ac:dyDescent="0.25">
      <c r="A5">
        <v>161</v>
      </c>
      <c r="B5" s="10" t="s">
        <v>859</v>
      </c>
      <c r="C5" s="10" t="s">
        <v>145</v>
      </c>
      <c r="D5" s="10" t="s">
        <v>205</v>
      </c>
      <c r="E5" s="10" t="s">
        <v>206</v>
      </c>
      <c r="F5" s="10" t="s">
        <v>75</v>
      </c>
      <c r="G5" s="10" t="s">
        <v>68</v>
      </c>
      <c r="H5" s="10" t="s">
        <v>72</v>
      </c>
      <c r="I5" s="10" t="s">
        <v>18</v>
      </c>
      <c r="J5" s="10" t="s">
        <v>54</v>
      </c>
      <c r="K5" s="10" t="s">
        <v>54</v>
      </c>
      <c r="L5" s="10" t="s">
        <v>54</v>
      </c>
    </row>
    <row r="6" spans="1:12" x14ac:dyDescent="0.25">
      <c r="A6">
        <v>161</v>
      </c>
      <c r="B6" s="10" t="s">
        <v>859</v>
      </c>
      <c r="C6" s="10" t="s">
        <v>145</v>
      </c>
      <c r="D6" s="10" t="s">
        <v>205</v>
      </c>
      <c r="E6" s="10" t="s">
        <v>206</v>
      </c>
      <c r="F6" s="10" t="s">
        <v>76</v>
      </c>
      <c r="G6" s="10" t="s">
        <v>77</v>
      </c>
      <c r="H6" s="10" t="s">
        <v>65</v>
      </c>
      <c r="I6" s="10" t="s">
        <v>16</v>
      </c>
      <c r="J6" s="10" t="s">
        <v>602</v>
      </c>
      <c r="K6" s="10" t="s">
        <v>603</v>
      </c>
      <c r="L6" s="10" t="s">
        <v>67</v>
      </c>
    </row>
    <row r="7" spans="1:12" x14ac:dyDescent="0.25">
      <c r="A7">
        <v>161</v>
      </c>
      <c r="B7" s="10" t="s">
        <v>859</v>
      </c>
      <c r="C7" s="10" t="s">
        <v>145</v>
      </c>
      <c r="D7" s="10" t="s">
        <v>205</v>
      </c>
      <c r="E7" s="10" t="s">
        <v>206</v>
      </c>
      <c r="F7" s="10" t="s">
        <v>80</v>
      </c>
      <c r="G7" s="10" t="s">
        <v>77</v>
      </c>
      <c r="H7" s="10" t="s">
        <v>65</v>
      </c>
      <c r="I7" s="10" t="s">
        <v>16</v>
      </c>
      <c r="J7" s="10" t="s">
        <v>79</v>
      </c>
      <c r="K7" s="10" t="s">
        <v>331</v>
      </c>
      <c r="L7" s="10" t="s">
        <v>67</v>
      </c>
    </row>
    <row r="8" spans="1:12" x14ac:dyDescent="0.25">
      <c r="A8">
        <v>161</v>
      </c>
      <c r="B8" s="10" t="s">
        <v>859</v>
      </c>
      <c r="C8" s="10" t="s">
        <v>145</v>
      </c>
      <c r="D8" s="10" t="s">
        <v>205</v>
      </c>
      <c r="E8" s="10" t="s">
        <v>206</v>
      </c>
      <c r="F8" s="10" t="s">
        <v>84</v>
      </c>
      <c r="G8" s="10" t="s">
        <v>83</v>
      </c>
      <c r="H8" s="10" t="s">
        <v>65</v>
      </c>
      <c r="I8" s="10" t="s">
        <v>16</v>
      </c>
      <c r="J8" s="10" t="s">
        <v>861</v>
      </c>
      <c r="K8" s="10" t="s">
        <v>862</v>
      </c>
      <c r="L8" s="10" t="s">
        <v>67</v>
      </c>
    </row>
    <row r="9" spans="1:12" x14ac:dyDescent="0.25">
      <c r="A9">
        <v>161</v>
      </c>
      <c r="B9" s="10" t="s">
        <v>859</v>
      </c>
      <c r="C9" s="10" t="s">
        <v>145</v>
      </c>
      <c r="D9" s="10" t="s">
        <v>205</v>
      </c>
      <c r="E9" s="10" t="s">
        <v>206</v>
      </c>
      <c r="F9" s="10" t="s">
        <v>93</v>
      </c>
      <c r="G9" s="10" t="s">
        <v>94</v>
      </c>
      <c r="H9" s="10" t="s">
        <v>65</v>
      </c>
      <c r="I9" s="10" t="s">
        <v>16</v>
      </c>
      <c r="J9" s="10" t="s">
        <v>863</v>
      </c>
      <c r="K9" s="10" t="s">
        <v>864</v>
      </c>
      <c r="L9" s="10" t="s">
        <v>67</v>
      </c>
    </row>
    <row r="10" spans="1:12" x14ac:dyDescent="0.25">
      <c r="A10">
        <v>161</v>
      </c>
      <c r="B10" s="10" t="s">
        <v>859</v>
      </c>
      <c r="C10" s="10" t="s">
        <v>145</v>
      </c>
      <c r="D10" s="10" t="s">
        <v>205</v>
      </c>
      <c r="E10" s="10" t="s">
        <v>206</v>
      </c>
      <c r="F10" s="10" t="s">
        <v>95</v>
      </c>
      <c r="G10" s="10" t="s">
        <v>94</v>
      </c>
      <c r="H10" s="10" t="s">
        <v>65</v>
      </c>
      <c r="I10" s="10" t="s">
        <v>16</v>
      </c>
      <c r="J10" s="10" t="s">
        <v>863</v>
      </c>
      <c r="K10" s="10" t="s">
        <v>864</v>
      </c>
      <c r="L10" s="10" t="s">
        <v>67</v>
      </c>
    </row>
    <row r="11" spans="1:12" x14ac:dyDescent="0.25">
      <c r="A11">
        <v>161</v>
      </c>
      <c r="B11" s="10" t="s">
        <v>859</v>
      </c>
      <c r="C11" s="10" t="s">
        <v>145</v>
      </c>
      <c r="D11" s="10" t="s">
        <v>205</v>
      </c>
      <c r="E11" s="10" t="s">
        <v>206</v>
      </c>
      <c r="F11" s="10" t="s">
        <v>97</v>
      </c>
      <c r="G11" s="10" t="s">
        <v>98</v>
      </c>
      <c r="H11" s="10" t="s">
        <v>65</v>
      </c>
      <c r="I11" s="10" t="s">
        <v>16</v>
      </c>
      <c r="J11" s="10" t="s">
        <v>382</v>
      </c>
      <c r="K11" s="10" t="s">
        <v>360</v>
      </c>
      <c r="L11" s="10" t="s">
        <v>67</v>
      </c>
    </row>
    <row r="12" spans="1:12" x14ac:dyDescent="0.25">
      <c r="A12">
        <v>161</v>
      </c>
      <c r="B12" s="10" t="s">
        <v>859</v>
      </c>
      <c r="C12" s="10" t="s">
        <v>145</v>
      </c>
      <c r="D12" s="10" t="s">
        <v>205</v>
      </c>
      <c r="E12" s="10" t="s">
        <v>206</v>
      </c>
      <c r="F12" s="10" t="s">
        <v>99</v>
      </c>
      <c r="G12" s="10" t="s">
        <v>98</v>
      </c>
      <c r="H12" s="10" t="s">
        <v>65</v>
      </c>
      <c r="I12" s="10" t="s">
        <v>16</v>
      </c>
      <c r="J12" s="10" t="s">
        <v>425</v>
      </c>
      <c r="K12" s="10" t="s">
        <v>426</v>
      </c>
      <c r="L12" s="10" t="s">
        <v>67</v>
      </c>
    </row>
    <row r="13" spans="1:12" x14ac:dyDescent="0.25">
      <c r="A13">
        <v>161</v>
      </c>
      <c r="B13" s="10" t="s">
        <v>859</v>
      </c>
      <c r="C13" s="10" t="s">
        <v>145</v>
      </c>
      <c r="D13" s="10" t="s">
        <v>205</v>
      </c>
      <c r="E13" s="10" t="s">
        <v>206</v>
      </c>
      <c r="F13" s="10" t="s">
        <v>100</v>
      </c>
      <c r="G13" s="10" t="s">
        <v>98</v>
      </c>
      <c r="H13" s="10" t="s">
        <v>65</v>
      </c>
      <c r="I13" s="10" t="s">
        <v>16</v>
      </c>
      <c r="J13" s="10" t="s">
        <v>425</v>
      </c>
      <c r="K13" s="10" t="s">
        <v>426</v>
      </c>
      <c r="L13" s="10" t="s">
        <v>67</v>
      </c>
    </row>
    <row r="14" spans="1:12" x14ac:dyDescent="0.25">
      <c r="A14">
        <v>161</v>
      </c>
      <c r="B14" s="10" t="s">
        <v>859</v>
      </c>
      <c r="C14" s="10" t="s">
        <v>145</v>
      </c>
      <c r="D14" s="10" t="s">
        <v>205</v>
      </c>
      <c r="E14" s="10" t="s">
        <v>206</v>
      </c>
      <c r="F14" s="10" t="s">
        <v>101</v>
      </c>
      <c r="G14" s="10" t="s">
        <v>102</v>
      </c>
      <c r="H14" s="10" t="s">
        <v>65</v>
      </c>
      <c r="I14" s="10" t="s">
        <v>16</v>
      </c>
      <c r="J14" s="10" t="s">
        <v>79</v>
      </c>
      <c r="K14" s="10" t="s">
        <v>473</v>
      </c>
      <c r="L14" s="10" t="s">
        <v>67</v>
      </c>
    </row>
    <row r="15" spans="1:12" x14ac:dyDescent="0.25">
      <c r="A15">
        <v>161</v>
      </c>
      <c r="B15" s="10" t="s">
        <v>859</v>
      </c>
      <c r="C15" s="10" t="s">
        <v>145</v>
      </c>
      <c r="D15" s="10" t="s">
        <v>205</v>
      </c>
      <c r="E15" s="10" t="s">
        <v>206</v>
      </c>
      <c r="F15" s="10" t="s">
        <v>103</v>
      </c>
      <c r="G15" s="10" t="s">
        <v>102</v>
      </c>
      <c r="H15" s="10" t="s">
        <v>65</v>
      </c>
      <c r="I15" s="10" t="s">
        <v>16</v>
      </c>
      <c r="J15" s="10" t="s">
        <v>445</v>
      </c>
      <c r="K15" s="10" t="s">
        <v>446</v>
      </c>
      <c r="L15" s="10" t="s">
        <v>67</v>
      </c>
    </row>
    <row r="16" spans="1:12" x14ac:dyDescent="0.25">
      <c r="A16">
        <v>161</v>
      </c>
      <c r="B16" s="10" t="s">
        <v>859</v>
      </c>
      <c r="C16" s="10" t="s">
        <v>145</v>
      </c>
      <c r="D16" s="10" t="s">
        <v>205</v>
      </c>
      <c r="E16" s="10" t="s">
        <v>206</v>
      </c>
      <c r="F16" s="10" t="s">
        <v>104</v>
      </c>
      <c r="G16" s="10" t="s">
        <v>105</v>
      </c>
      <c r="H16" s="10" t="s">
        <v>65</v>
      </c>
      <c r="I16" s="10" t="s">
        <v>16</v>
      </c>
      <c r="J16" s="10" t="s">
        <v>314</v>
      </c>
      <c r="K16" s="10" t="s">
        <v>315</v>
      </c>
      <c r="L16" s="10" t="s">
        <v>67</v>
      </c>
    </row>
    <row r="17" spans="1:12" x14ac:dyDescent="0.25">
      <c r="A17">
        <v>161</v>
      </c>
      <c r="B17" s="10" t="s">
        <v>859</v>
      </c>
      <c r="C17" s="10" t="s">
        <v>145</v>
      </c>
      <c r="D17" s="10" t="s">
        <v>205</v>
      </c>
      <c r="E17" s="10" t="s">
        <v>206</v>
      </c>
      <c r="F17" s="10" t="s">
        <v>106</v>
      </c>
      <c r="G17" s="10" t="s">
        <v>105</v>
      </c>
      <c r="H17" s="10" t="s">
        <v>65</v>
      </c>
      <c r="I17" s="10" t="s">
        <v>16</v>
      </c>
      <c r="J17" s="10" t="s">
        <v>382</v>
      </c>
      <c r="K17" s="10" t="s">
        <v>360</v>
      </c>
      <c r="L17" s="10" t="s">
        <v>67</v>
      </c>
    </row>
    <row r="18" spans="1:12" x14ac:dyDescent="0.25">
      <c r="A18">
        <v>161</v>
      </c>
      <c r="B18" s="10" t="s">
        <v>859</v>
      </c>
      <c r="C18" s="10" t="s">
        <v>145</v>
      </c>
      <c r="D18" s="10" t="s">
        <v>205</v>
      </c>
      <c r="E18" s="10" t="s">
        <v>206</v>
      </c>
      <c r="F18" s="10" t="s">
        <v>107</v>
      </c>
      <c r="G18" s="10" t="s">
        <v>105</v>
      </c>
      <c r="H18" s="10" t="s">
        <v>65</v>
      </c>
      <c r="I18" s="10" t="s">
        <v>16</v>
      </c>
      <c r="J18" s="10" t="s">
        <v>386</v>
      </c>
      <c r="K18" s="10" t="s">
        <v>360</v>
      </c>
      <c r="L18" s="10" t="s">
        <v>67</v>
      </c>
    </row>
    <row r="19" spans="1:12" x14ac:dyDescent="0.25">
      <c r="A19">
        <v>161</v>
      </c>
      <c r="B19" s="10" t="s">
        <v>859</v>
      </c>
      <c r="C19" s="10" t="s">
        <v>145</v>
      </c>
      <c r="D19" s="10" t="s">
        <v>205</v>
      </c>
      <c r="E19" s="10" t="s">
        <v>206</v>
      </c>
      <c r="F19" s="10" t="s">
        <v>108</v>
      </c>
      <c r="G19" s="10" t="s">
        <v>105</v>
      </c>
      <c r="H19" s="10" t="s">
        <v>65</v>
      </c>
      <c r="I19" s="10" t="s">
        <v>16</v>
      </c>
      <c r="J19" s="10" t="s">
        <v>742</v>
      </c>
      <c r="K19" s="10" t="s">
        <v>456</v>
      </c>
      <c r="L19" s="10" t="s">
        <v>67</v>
      </c>
    </row>
    <row r="20" spans="1:12" x14ac:dyDescent="0.25">
      <c r="A20">
        <v>161</v>
      </c>
      <c r="B20" s="10" t="s">
        <v>859</v>
      </c>
      <c r="C20" s="10" t="s">
        <v>145</v>
      </c>
      <c r="D20" s="10" t="s">
        <v>205</v>
      </c>
      <c r="E20" s="10" t="s">
        <v>206</v>
      </c>
      <c r="F20" s="10" t="s">
        <v>109</v>
      </c>
      <c r="G20" s="10" t="s">
        <v>105</v>
      </c>
      <c r="H20" s="10" t="s">
        <v>65</v>
      </c>
      <c r="I20" s="10" t="s">
        <v>16</v>
      </c>
      <c r="J20" s="10" t="s">
        <v>314</v>
      </c>
      <c r="K20" s="10" t="s">
        <v>315</v>
      </c>
      <c r="L20" s="10" t="s">
        <v>67</v>
      </c>
    </row>
    <row r="21" spans="1:12" x14ac:dyDescent="0.25">
      <c r="A21">
        <v>161</v>
      </c>
      <c r="B21" s="10" t="s">
        <v>859</v>
      </c>
      <c r="C21" s="10" t="s">
        <v>145</v>
      </c>
      <c r="D21" s="10" t="s">
        <v>205</v>
      </c>
      <c r="E21" s="10" t="s">
        <v>206</v>
      </c>
      <c r="F21" s="10" t="s">
        <v>110</v>
      </c>
      <c r="G21" s="10" t="s">
        <v>105</v>
      </c>
      <c r="H21" s="10" t="s">
        <v>65</v>
      </c>
      <c r="I21" s="10" t="s">
        <v>16</v>
      </c>
      <c r="J21" s="10" t="s">
        <v>79</v>
      </c>
      <c r="K21" s="10" t="s">
        <v>360</v>
      </c>
      <c r="L21" s="10" t="s">
        <v>67</v>
      </c>
    </row>
    <row r="22" spans="1:12" x14ac:dyDescent="0.25">
      <c r="A22">
        <v>161</v>
      </c>
      <c r="B22" s="10" t="s">
        <v>859</v>
      </c>
      <c r="C22" s="10" t="s">
        <v>145</v>
      </c>
      <c r="D22" s="10" t="s">
        <v>205</v>
      </c>
      <c r="E22" s="10" t="s">
        <v>206</v>
      </c>
      <c r="F22" s="10" t="s">
        <v>111</v>
      </c>
      <c r="G22" s="10" t="s">
        <v>105</v>
      </c>
      <c r="H22" s="10" t="s">
        <v>65</v>
      </c>
      <c r="I22" s="10" t="s">
        <v>16</v>
      </c>
      <c r="J22" s="10" t="s">
        <v>861</v>
      </c>
      <c r="K22" s="10" t="s">
        <v>862</v>
      </c>
      <c r="L22" s="10" t="s">
        <v>67</v>
      </c>
    </row>
    <row r="23" spans="1:12" x14ac:dyDescent="0.25">
      <c r="A23">
        <v>161</v>
      </c>
      <c r="B23" s="10" t="s">
        <v>859</v>
      </c>
      <c r="C23" s="10" t="s">
        <v>145</v>
      </c>
      <c r="D23" s="10" t="s">
        <v>205</v>
      </c>
      <c r="E23" s="10" t="s">
        <v>206</v>
      </c>
      <c r="F23" s="10" t="s">
        <v>112</v>
      </c>
      <c r="G23" s="10" t="s">
        <v>105</v>
      </c>
      <c r="H23" s="10" t="s">
        <v>65</v>
      </c>
      <c r="I23" s="10" t="s">
        <v>16</v>
      </c>
      <c r="J23" s="10" t="s">
        <v>863</v>
      </c>
      <c r="K23" s="10" t="s">
        <v>864</v>
      </c>
      <c r="L23" s="10" t="s">
        <v>67</v>
      </c>
    </row>
    <row r="24" spans="1:12" x14ac:dyDescent="0.25">
      <c r="A24">
        <v>161</v>
      </c>
      <c r="B24" s="10" t="s">
        <v>859</v>
      </c>
      <c r="C24" s="10" t="s">
        <v>145</v>
      </c>
      <c r="D24" s="10" t="s">
        <v>205</v>
      </c>
      <c r="E24" s="10" t="s">
        <v>206</v>
      </c>
      <c r="F24" s="10" t="s">
        <v>113</v>
      </c>
      <c r="G24" s="10" t="s">
        <v>105</v>
      </c>
      <c r="H24" s="10" t="s">
        <v>65</v>
      </c>
      <c r="I24" s="10" t="s">
        <v>16</v>
      </c>
      <c r="J24" s="10" t="s">
        <v>772</v>
      </c>
      <c r="K24" s="10" t="s">
        <v>773</v>
      </c>
      <c r="L24" s="10" t="s">
        <v>67</v>
      </c>
    </row>
    <row r="25" spans="1:12" x14ac:dyDescent="0.25">
      <c r="A25">
        <v>161</v>
      </c>
      <c r="B25" s="10" t="s">
        <v>859</v>
      </c>
      <c r="C25" s="10" t="s">
        <v>145</v>
      </c>
      <c r="D25" s="10" t="s">
        <v>205</v>
      </c>
      <c r="E25" s="10" t="s">
        <v>206</v>
      </c>
      <c r="F25" s="10" t="s">
        <v>144</v>
      </c>
      <c r="G25" s="10" t="s">
        <v>68</v>
      </c>
      <c r="H25" s="10" t="s">
        <v>65</v>
      </c>
      <c r="I25" s="10" t="s">
        <v>16</v>
      </c>
      <c r="J25" s="10" t="s">
        <v>865</v>
      </c>
      <c r="K25" s="10" t="s">
        <v>866</v>
      </c>
      <c r="L25" s="10" t="s">
        <v>67</v>
      </c>
    </row>
    <row r="26" spans="1:12" x14ac:dyDescent="0.25">
      <c r="A26">
        <v>243</v>
      </c>
      <c r="B26" s="10" t="s">
        <v>918</v>
      </c>
      <c r="C26" s="10" t="s">
        <v>155</v>
      </c>
      <c r="D26" s="10" t="s">
        <v>217</v>
      </c>
      <c r="E26" s="10" t="s">
        <v>218</v>
      </c>
      <c r="F26" s="10" t="s">
        <v>71</v>
      </c>
      <c r="G26" s="10" t="s">
        <v>68</v>
      </c>
      <c r="H26" s="10" t="s">
        <v>72</v>
      </c>
      <c r="I26" s="10" t="s">
        <v>18</v>
      </c>
      <c r="J26" s="10" t="s">
        <v>54</v>
      </c>
      <c r="K26" s="10" t="s">
        <v>54</v>
      </c>
      <c r="L26" s="10" t="s">
        <v>54</v>
      </c>
    </row>
    <row r="27" spans="1:12" x14ac:dyDescent="0.25">
      <c r="A27">
        <v>243</v>
      </c>
      <c r="B27" s="10" t="s">
        <v>918</v>
      </c>
      <c r="C27" s="10" t="s">
        <v>155</v>
      </c>
      <c r="D27" s="10" t="s">
        <v>217</v>
      </c>
      <c r="E27" s="10" t="s">
        <v>218</v>
      </c>
      <c r="F27" s="10" t="s">
        <v>73</v>
      </c>
      <c r="G27" s="10" t="s">
        <v>68</v>
      </c>
      <c r="H27" s="10" t="s">
        <v>65</v>
      </c>
      <c r="I27" s="10" t="s">
        <v>16</v>
      </c>
      <c r="J27" s="10" t="s">
        <v>777</v>
      </c>
      <c r="K27" s="10" t="s">
        <v>919</v>
      </c>
      <c r="L27" s="10" t="s">
        <v>67</v>
      </c>
    </row>
    <row r="28" spans="1:12" x14ac:dyDescent="0.25">
      <c r="A28">
        <v>243</v>
      </c>
      <c r="B28" s="10" t="s">
        <v>918</v>
      </c>
      <c r="C28" s="10" t="s">
        <v>155</v>
      </c>
      <c r="D28" s="10" t="s">
        <v>217</v>
      </c>
      <c r="E28" s="10" t="s">
        <v>218</v>
      </c>
      <c r="F28" s="10" t="s">
        <v>74</v>
      </c>
      <c r="G28" s="10" t="s">
        <v>68</v>
      </c>
      <c r="H28" s="10" t="s">
        <v>65</v>
      </c>
      <c r="I28" s="10" t="s">
        <v>16</v>
      </c>
      <c r="J28" s="10" t="s">
        <v>920</v>
      </c>
      <c r="K28" s="10" t="s">
        <v>921</v>
      </c>
      <c r="L28" s="10" t="s">
        <v>67</v>
      </c>
    </row>
    <row r="29" spans="1:12" x14ac:dyDescent="0.25">
      <c r="A29">
        <v>243</v>
      </c>
      <c r="B29" s="10" t="s">
        <v>918</v>
      </c>
      <c r="C29" s="10" t="s">
        <v>155</v>
      </c>
      <c r="D29" s="10" t="s">
        <v>217</v>
      </c>
      <c r="E29" s="10" t="s">
        <v>218</v>
      </c>
      <c r="F29" s="10" t="s">
        <v>75</v>
      </c>
      <c r="G29" s="10" t="s">
        <v>68</v>
      </c>
      <c r="H29" s="10" t="s">
        <v>72</v>
      </c>
      <c r="I29" s="10" t="s">
        <v>18</v>
      </c>
      <c r="J29" s="10" t="s">
        <v>54</v>
      </c>
      <c r="K29" s="10" t="s">
        <v>54</v>
      </c>
      <c r="L29" s="10" t="s">
        <v>54</v>
      </c>
    </row>
    <row r="30" spans="1:12" x14ac:dyDescent="0.25">
      <c r="A30">
        <v>243</v>
      </c>
      <c r="B30" s="10" t="s">
        <v>918</v>
      </c>
      <c r="C30" s="10" t="s">
        <v>155</v>
      </c>
      <c r="D30" s="10" t="s">
        <v>217</v>
      </c>
      <c r="E30" s="10" t="s">
        <v>218</v>
      </c>
      <c r="F30" s="10" t="s">
        <v>76</v>
      </c>
      <c r="G30" s="10" t="s">
        <v>77</v>
      </c>
      <c r="H30" s="10" t="s">
        <v>65</v>
      </c>
      <c r="I30" s="10" t="s">
        <v>16</v>
      </c>
      <c r="J30" s="10" t="s">
        <v>922</v>
      </c>
      <c r="K30" s="10" t="s">
        <v>923</v>
      </c>
      <c r="L30" s="10" t="s">
        <v>67</v>
      </c>
    </row>
    <row r="31" spans="1:12" x14ac:dyDescent="0.25">
      <c r="A31">
        <v>243</v>
      </c>
      <c r="B31" s="10" t="s">
        <v>918</v>
      </c>
      <c r="C31" s="10" t="s">
        <v>155</v>
      </c>
      <c r="D31" s="10" t="s">
        <v>217</v>
      </c>
      <c r="E31" s="10" t="s">
        <v>218</v>
      </c>
      <c r="F31" s="10" t="s">
        <v>80</v>
      </c>
      <c r="G31" s="10" t="s">
        <v>77</v>
      </c>
      <c r="H31" s="10" t="s">
        <v>65</v>
      </c>
      <c r="I31" s="10" t="s">
        <v>16</v>
      </c>
      <c r="J31" s="10" t="s">
        <v>79</v>
      </c>
      <c r="K31" s="10" t="s">
        <v>811</v>
      </c>
      <c r="L31" s="10" t="s">
        <v>67</v>
      </c>
    </row>
    <row r="32" spans="1:12" x14ac:dyDescent="0.25">
      <c r="A32">
        <v>243</v>
      </c>
      <c r="B32" s="10" t="s">
        <v>918</v>
      </c>
      <c r="C32" s="10" t="s">
        <v>155</v>
      </c>
      <c r="D32" s="10" t="s">
        <v>217</v>
      </c>
      <c r="E32" s="10" t="s">
        <v>218</v>
      </c>
      <c r="F32" s="10" t="s">
        <v>84</v>
      </c>
      <c r="G32" s="10" t="s">
        <v>83</v>
      </c>
      <c r="H32" s="10" t="s">
        <v>65</v>
      </c>
      <c r="I32" s="10" t="s">
        <v>16</v>
      </c>
      <c r="J32" s="10" t="s">
        <v>740</v>
      </c>
      <c r="K32" s="10" t="s">
        <v>924</v>
      </c>
      <c r="L32" s="10" t="s">
        <v>67</v>
      </c>
    </row>
    <row r="33" spans="1:12" x14ac:dyDescent="0.25">
      <c r="A33">
        <v>243</v>
      </c>
      <c r="B33" s="10" t="s">
        <v>918</v>
      </c>
      <c r="C33" s="10" t="s">
        <v>155</v>
      </c>
      <c r="D33" s="10" t="s">
        <v>217</v>
      </c>
      <c r="E33" s="10" t="s">
        <v>218</v>
      </c>
      <c r="F33" s="10" t="s">
        <v>93</v>
      </c>
      <c r="G33" s="10" t="s">
        <v>94</v>
      </c>
      <c r="H33" s="10" t="s">
        <v>65</v>
      </c>
      <c r="I33" s="10" t="s">
        <v>16</v>
      </c>
      <c r="J33" s="10" t="s">
        <v>925</v>
      </c>
      <c r="K33" s="10" t="s">
        <v>926</v>
      </c>
      <c r="L33" s="10" t="s">
        <v>67</v>
      </c>
    </row>
    <row r="34" spans="1:12" x14ac:dyDescent="0.25">
      <c r="A34">
        <v>243</v>
      </c>
      <c r="B34" s="10" t="s">
        <v>918</v>
      </c>
      <c r="C34" s="10" t="s">
        <v>155</v>
      </c>
      <c r="D34" s="10" t="s">
        <v>217</v>
      </c>
      <c r="E34" s="10" t="s">
        <v>218</v>
      </c>
      <c r="F34" s="10" t="s">
        <v>95</v>
      </c>
      <c r="G34" s="10" t="s">
        <v>94</v>
      </c>
      <c r="H34" s="10" t="s">
        <v>65</v>
      </c>
      <c r="I34" s="10" t="s">
        <v>16</v>
      </c>
      <c r="J34" s="10" t="s">
        <v>925</v>
      </c>
      <c r="K34" s="10" t="s">
        <v>926</v>
      </c>
      <c r="L34" s="10" t="s">
        <v>67</v>
      </c>
    </row>
    <row r="35" spans="1:12" x14ac:dyDescent="0.25">
      <c r="A35">
        <v>243</v>
      </c>
      <c r="B35" s="10" t="s">
        <v>918</v>
      </c>
      <c r="C35" s="10" t="s">
        <v>155</v>
      </c>
      <c r="D35" s="10" t="s">
        <v>217</v>
      </c>
      <c r="E35" s="10" t="s">
        <v>218</v>
      </c>
      <c r="F35" s="10" t="s">
        <v>97</v>
      </c>
      <c r="G35" s="10" t="s">
        <v>98</v>
      </c>
      <c r="H35" s="10" t="s">
        <v>65</v>
      </c>
      <c r="I35" s="10" t="s">
        <v>16</v>
      </c>
      <c r="J35" s="10" t="s">
        <v>927</v>
      </c>
      <c r="K35" s="10" t="s">
        <v>928</v>
      </c>
      <c r="L35" s="10" t="s">
        <v>67</v>
      </c>
    </row>
    <row r="36" spans="1:12" x14ac:dyDescent="0.25">
      <c r="A36">
        <v>243</v>
      </c>
      <c r="B36" s="10" t="s">
        <v>918</v>
      </c>
      <c r="C36" s="10" t="s">
        <v>155</v>
      </c>
      <c r="D36" s="10" t="s">
        <v>217</v>
      </c>
      <c r="E36" s="10" t="s">
        <v>218</v>
      </c>
      <c r="F36" s="10" t="s">
        <v>100</v>
      </c>
      <c r="G36" s="10" t="s">
        <v>98</v>
      </c>
      <c r="H36" s="10" t="s">
        <v>65</v>
      </c>
      <c r="I36" s="10" t="s">
        <v>18</v>
      </c>
      <c r="J36" s="10" t="s">
        <v>54</v>
      </c>
      <c r="K36" s="10" t="s">
        <v>54</v>
      </c>
      <c r="L36" s="10" t="s">
        <v>54</v>
      </c>
    </row>
    <row r="37" spans="1:12" x14ac:dyDescent="0.25">
      <c r="A37">
        <v>243</v>
      </c>
      <c r="B37" s="10" t="s">
        <v>918</v>
      </c>
      <c r="C37" s="10" t="s">
        <v>155</v>
      </c>
      <c r="D37" s="10" t="s">
        <v>217</v>
      </c>
      <c r="E37" s="10" t="s">
        <v>218</v>
      </c>
      <c r="F37" s="10" t="s">
        <v>101</v>
      </c>
      <c r="G37" s="10" t="s">
        <v>102</v>
      </c>
      <c r="H37" s="10" t="s">
        <v>65</v>
      </c>
      <c r="I37" s="10" t="s">
        <v>16</v>
      </c>
      <c r="J37" s="10" t="s">
        <v>79</v>
      </c>
      <c r="K37" s="10" t="s">
        <v>749</v>
      </c>
      <c r="L37" s="10" t="s">
        <v>67</v>
      </c>
    </row>
    <row r="38" spans="1:12" x14ac:dyDescent="0.25">
      <c r="A38">
        <v>243</v>
      </c>
      <c r="B38" s="10" t="s">
        <v>918</v>
      </c>
      <c r="C38" s="10" t="s">
        <v>155</v>
      </c>
      <c r="D38" s="10" t="s">
        <v>217</v>
      </c>
      <c r="E38" s="10" t="s">
        <v>218</v>
      </c>
      <c r="F38" s="10" t="s">
        <v>103</v>
      </c>
      <c r="G38" s="10" t="s">
        <v>102</v>
      </c>
      <c r="H38" s="10" t="s">
        <v>65</v>
      </c>
      <c r="I38" s="10" t="s">
        <v>16</v>
      </c>
      <c r="J38" s="10" t="s">
        <v>740</v>
      </c>
      <c r="K38" s="10" t="s">
        <v>924</v>
      </c>
      <c r="L38" s="10" t="s">
        <v>67</v>
      </c>
    </row>
    <row r="39" spans="1:12" x14ac:dyDescent="0.25">
      <c r="A39">
        <v>243</v>
      </c>
      <c r="B39" s="10" t="s">
        <v>918</v>
      </c>
      <c r="C39" s="10" t="s">
        <v>155</v>
      </c>
      <c r="D39" s="10" t="s">
        <v>217</v>
      </c>
      <c r="E39" s="10" t="s">
        <v>218</v>
      </c>
      <c r="F39" s="10" t="s">
        <v>104</v>
      </c>
      <c r="G39" s="10" t="s">
        <v>105</v>
      </c>
      <c r="H39" s="10" t="s">
        <v>65</v>
      </c>
      <c r="I39" s="10" t="s">
        <v>16</v>
      </c>
      <c r="J39" s="10" t="s">
        <v>929</v>
      </c>
      <c r="K39" s="10" t="s">
        <v>930</v>
      </c>
      <c r="L39" s="10" t="s">
        <v>67</v>
      </c>
    </row>
    <row r="40" spans="1:12" x14ac:dyDescent="0.25">
      <c r="A40">
        <v>243</v>
      </c>
      <c r="B40" s="10" t="s">
        <v>918</v>
      </c>
      <c r="C40" s="10" t="s">
        <v>155</v>
      </c>
      <c r="D40" s="10" t="s">
        <v>217</v>
      </c>
      <c r="E40" s="10" t="s">
        <v>218</v>
      </c>
      <c r="F40" s="10" t="s">
        <v>106</v>
      </c>
      <c r="G40" s="10" t="s">
        <v>105</v>
      </c>
      <c r="H40" s="10" t="s">
        <v>65</v>
      </c>
      <c r="I40" s="10" t="s">
        <v>16</v>
      </c>
      <c r="J40" s="10" t="s">
        <v>927</v>
      </c>
      <c r="K40" s="10" t="s">
        <v>928</v>
      </c>
      <c r="L40" s="10" t="s">
        <v>67</v>
      </c>
    </row>
    <row r="41" spans="1:12" x14ac:dyDescent="0.25">
      <c r="A41">
        <v>243</v>
      </c>
      <c r="B41" s="10" t="s">
        <v>918</v>
      </c>
      <c r="C41" s="10" t="s">
        <v>155</v>
      </c>
      <c r="D41" s="10" t="s">
        <v>217</v>
      </c>
      <c r="E41" s="10" t="s">
        <v>218</v>
      </c>
      <c r="F41" s="10" t="s">
        <v>107</v>
      </c>
      <c r="G41" s="10" t="s">
        <v>105</v>
      </c>
      <c r="H41" s="10" t="s">
        <v>65</v>
      </c>
      <c r="I41" s="10" t="s">
        <v>16</v>
      </c>
      <c r="J41" s="10" t="s">
        <v>931</v>
      </c>
      <c r="K41" s="10" t="s">
        <v>433</v>
      </c>
      <c r="L41" s="10" t="s">
        <v>67</v>
      </c>
    </row>
    <row r="42" spans="1:12" x14ac:dyDescent="0.25">
      <c r="A42">
        <v>243</v>
      </c>
      <c r="B42" s="10" t="s">
        <v>918</v>
      </c>
      <c r="C42" s="10" t="s">
        <v>155</v>
      </c>
      <c r="D42" s="10" t="s">
        <v>217</v>
      </c>
      <c r="E42" s="10" t="s">
        <v>218</v>
      </c>
      <c r="F42" s="10" t="s">
        <v>108</v>
      </c>
      <c r="G42" s="10" t="s">
        <v>105</v>
      </c>
      <c r="H42" s="10" t="s">
        <v>65</v>
      </c>
      <c r="I42" s="10" t="s">
        <v>16</v>
      </c>
      <c r="J42" s="10" t="s">
        <v>932</v>
      </c>
      <c r="K42" s="10" t="s">
        <v>910</v>
      </c>
      <c r="L42" s="10" t="s">
        <v>67</v>
      </c>
    </row>
    <row r="43" spans="1:12" x14ac:dyDescent="0.25">
      <c r="A43">
        <v>243</v>
      </c>
      <c r="B43" s="10" t="s">
        <v>918</v>
      </c>
      <c r="C43" s="10" t="s">
        <v>155</v>
      </c>
      <c r="D43" s="10" t="s">
        <v>217</v>
      </c>
      <c r="E43" s="10" t="s">
        <v>218</v>
      </c>
      <c r="F43" s="10" t="s">
        <v>109</v>
      </c>
      <c r="G43" s="10" t="s">
        <v>105</v>
      </c>
      <c r="H43" s="10" t="s">
        <v>65</v>
      </c>
      <c r="I43" s="10" t="s">
        <v>16</v>
      </c>
      <c r="J43" s="10" t="s">
        <v>929</v>
      </c>
      <c r="K43" s="10" t="s">
        <v>930</v>
      </c>
      <c r="L43" s="10" t="s">
        <v>67</v>
      </c>
    </row>
    <row r="44" spans="1:12" x14ac:dyDescent="0.25">
      <c r="A44">
        <v>243</v>
      </c>
      <c r="B44" s="10" t="s">
        <v>918</v>
      </c>
      <c r="C44" s="10" t="s">
        <v>155</v>
      </c>
      <c r="D44" s="10" t="s">
        <v>217</v>
      </c>
      <c r="E44" s="10" t="s">
        <v>218</v>
      </c>
      <c r="F44" s="10" t="s">
        <v>110</v>
      </c>
      <c r="G44" s="10" t="s">
        <v>105</v>
      </c>
      <c r="H44" s="10" t="s">
        <v>65</v>
      </c>
      <c r="I44" s="10" t="s">
        <v>16</v>
      </c>
      <c r="J44" s="10" t="s">
        <v>79</v>
      </c>
      <c r="K44" s="10" t="s">
        <v>928</v>
      </c>
      <c r="L44" s="10" t="s">
        <v>67</v>
      </c>
    </row>
    <row r="45" spans="1:12" x14ac:dyDescent="0.25">
      <c r="A45">
        <v>243</v>
      </c>
      <c r="B45" s="10" t="s">
        <v>918</v>
      </c>
      <c r="C45" s="10" t="s">
        <v>155</v>
      </c>
      <c r="D45" s="10" t="s">
        <v>217</v>
      </c>
      <c r="E45" s="10" t="s">
        <v>218</v>
      </c>
      <c r="F45" s="10" t="s">
        <v>111</v>
      </c>
      <c r="G45" s="10" t="s">
        <v>105</v>
      </c>
      <c r="H45" s="10" t="s">
        <v>65</v>
      </c>
      <c r="I45" s="10" t="s">
        <v>16</v>
      </c>
      <c r="J45" s="10" t="s">
        <v>740</v>
      </c>
      <c r="K45" s="10" t="s">
        <v>924</v>
      </c>
      <c r="L45" s="10" t="s">
        <v>67</v>
      </c>
    </row>
    <row r="46" spans="1:12" x14ac:dyDescent="0.25">
      <c r="A46">
        <v>243</v>
      </c>
      <c r="B46" s="10" t="s">
        <v>918</v>
      </c>
      <c r="C46" s="10" t="s">
        <v>155</v>
      </c>
      <c r="D46" s="10" t="s">
        <v>217</v>
      </c>
      <c r="E46" s="10" t="s">
        <v>218</v>
      </c>
      <c r="F46" s="10" t="s">
        <v>112</v>
      </c>
      <c r="G46" s="10" t="s">
        <v>105</v>
      </c>
      <c r="H46" s="10" t="s">
        <v>65</v>
      </c>
      <c r="I46" s="10" t="s">
        <v>16</v>
      </c>
      <c r="J46" s="10" t="s">
        <v>929</v>
      </c>
      <c r="K46" s="10" t="s">
        <v>930</v>
      </c>
      <c r="L46" s="10" t="s">
        <v>67</v>
      </c>
    </row>
    <row r="47" spans="1:12" x14ac:dyDescent="0.25">
      <c r="A47">
        <v>243</v>
      </c>
      <c r="B47" s="10" t="s">
        <v>918</v>
      </c>
      <c r="C47" s="10" t="s">
        <v>155</v>
      </c>
      <c r="D47" s="10" t="s">
        <v>217</v>
      </c>
      <c r="E47" s="10" t="s">
        <v>218</v>
      </c>
      <c r="F47" s="10" t="s">
        <v>113</v>
      </c>
      <c r="G47" s="10" t="s">
        <v>105</v>
      </c>
      <c r="H47" s="10" t="s">
        <v>65</v>
      </c>
      <c r="I47" s="10" t="s">
        <v>16</v>
      </c>
      <c r="J47" s="10" t="s">
        <v>740</v>
      </c>
      <c r="K47" s="10" t="s">
        <v>924</v>
      </c>
      <c r="L47" s="10" t="s">
        <v>67</v>
      </c>
    </row>
    <row r="48" spans="1:12" x14ac:dyDescent="0.25">
      <c r="A48">
        <v>243</v>
      </c>
      <c r="B48" s="10" t="s">
        <v>918</v>
      </c>
      <c r="C48" s="10" t="s">
        <v>155</v>
      </c>
      <c r="D48" s="10" t="s">
        <v>217</v>
      </c>
      <c r="E48" s="10" t="s">
        <v>218</v>
      </c>
      <c r="F48" s="10" t="s">
        <v>124</v>
      </c>
      <c r="G48" s="10" t="s">
        <v>125</v>
      </c>
      <c r="H48" s="10" t="s">
        <v>72</v>
      </c>
      <c r="I48" s="10" t="s">
        <v>16</v>
      </c>
      <c r="J48" s="10" t="s">
        <v>933</v>
      </c>
      <c r="K48" s="10" t="s">
        <v>934</v>
      </c>
      <c r="L48" s="10" t="s">
        <v>67</v>
      </c>
    </row>
    <row r="49" spans="1:12" x14ac:dyDescent="0.25">
      <c r="A49">
        <v>243</v>
      </c>
      <c r="B49" s="10" t="s">
        <v>918</v>
      </c>
      <c r="C49" s="10" t="s">
        <v>155</v>
      </c>
      <c r="D49" s="10" t="s">
        <v>217</v>
      </c>
      <c r="E49" s="10" t="s">
        <v>218</v>
      </c>
      <c r="F49" s="10" t="s">
        <v>131</v>
      </c>
      <c r="G49" s="10" t="s">
        <v>68</v>
      </c>
      <c r="H49" s="10" t="s">
        <v>65</v>
      </c>
      <c r="I49" s="10" t="s">
        <v>16</v>
      </c>
      <c r="J49" s="10" t="s">
        <v>935</v>
      </c>
      <c r="K49" s="10" t="s">
        <v>791</v>
      </c>
      <c r="L49" s="10" t="s">
        <v>67</v>
      </c>
    </row>
    <row r="50" spans="1:12" x14ac:dyDescent="0.25">
      <c r="A50">
        <v>243</v>
      </c>
      <c r="B50" s="10" t="s">
        <v>918</v>
      </c>
      <c r="C50" s="10" t="s">
        <v>155</v>
      </c>
      <c r="D50" s="10" t="s">
        <v>217</v>
      </c>
      <c r="E50" s="10" t="s">
        <v>218</v>
      </c>
      <c r="F50" s="10" t="s">
        <v>154</v>
      </c>
      <c r="G50" s="10" t="s">
        <v>68</v>
      </c>
      <c r="H50" s="10" t="s">
        <v>65</v>
      </c>
      <c r="I50" s="10" t="s">
        <v>16</v>
      </c>
      <c r="J50" s="10" t="s">
        <v>935</v>
      </c>
      <c r="K50" s="10" t="s">
        <v>791</v>
      </c>
      <c r="L50" s="10" t="s">
        <v>67</v>
      </c>
    </row>
    <row r="51" spans="1:12" x14ac:dyDescent="0.25">
      <c r="A51">
        <v>243</v>
      </c>
      <c r="B51" s="10" t="s">
        <v>918</v>
      </c>
      <c r="C51" s="10" t="s">
        <v>155</v>
      </c>
      <c r="D51" s="10" t="s">
        <v>217</v>
      </c>
      <c r="E51" s="10" t="s">
        <v>218</v>
      </c>
      <c r="F51" s="10" t="s">
        <v>156</v>
      </c>
      <c r="G51" s="10" t="s">
        <v>125</v>
      </c>
      <c r="H51" s="10" t="s">
        <v>65</v>
      </c>
      <c r="I51" s="10" t="s">
        <v>16</v>
      </c>
      <c r="J51" s="10" t="s">
        <v>933</v>
      </c>
      <c r="K51" s="10" t="s">
        <v>934</v>
      </c>
      <c r="L51" s="10" t="s">
        <v>67</v>
      </c>
    </row>
    <row r="52" spans="1:12" x14ac:dyDescent="0.25">
      <c r="A52">
        <v>160</v>
      </c>
      <c r="B52" s="10" t="s">
        <v>486</v>
      </c>
      <c r="C52" s="10" t="s">
        <v>145</v>
      </c>
      <c r="D52" s="10" t="s">
        <v>142</v>
      </c>
      <c r="E52" s="10" t="s">
        <v>143</v>
      </c>
      <c r="F52" s="10" t="s">
        <v>71</v>
      </c>
      <c r="G52" s="10" t="s">
        <v>68</v>
      </c>
      <c r="H52" s="10" t="s">
        <v>72</v>
      </c>
      <c r="I52" s="10" t="s">
        <v>18</v>
      </c>
      <c r="J52" s="10" t="s">
        <v>54</v>
      </c>
      <c r="K52" s="10" t="s">
        <v>54</v>
      </c>
      <c r="L52" s="10" t="s">
        <v>54</v>
      </c>
    </row>
    <row r="53" spans="1:12" x14ac:dyDescent="0.25">
      <c r="A53">
        <v>160</v>
      </c>
      <c r="B53" s="10" t="s">
        <v>486</v>
      </c>
      <c r="C53" s="10" t="s">
        <v>145</v>
      </c>
      <c r="D53" s="10" t="s">
        <v>142</v>
      </c>
      <c r="E53" s="10" t="s">
        <v>143</v>
      </c>
      <c r="F53" s="10" t="s">
        <v>73</v>
      </c>
      <c r="G53" s="10" t="s">
        <v>68</v>
      </c>
      <c r="H53" s="10" t="s">
        <v>65</v>
      </c>
      <c r="I53" s="10" t="s">
        <v>16</v>
      </c>
      <c r="J53" s="10" t="s">
        <v>487</v>
      </c>
      <c r="K53" s="10" t="s">
        <v>488</v>
      </c>
      <c r="L53" s="10" t="s">
        <v>67</v>
      </c>
    </row>
    <row r="54" spans="1:12" x14ac:dyDescent="0.25">
      <c r="A54">
        <v>160</v>
      </c>
      <c r="B54" s="10" t="s">
        <v>486</v>
      </c>
      <c r="C54" s="10" t="s">
        <v>145</v>
      </c>
      <c r="D54" s="10" t="s">
        <v>142</v>
      </c>
      <c r="E54" s="10" t="s">
        <v>143</v>
      </c>
      <c r="F54" s="10" t="s">
        <v>74</v>
      </c>
      <c r="G54" s="10" t="s">
        <v>68</v>
      </c>
      <c r="H54" s="10" t="s">
        <v>65</v>
      </c>
      <c r="I54" s="10" t="s">
        <v>16</v>
      </c>
      <c r="J54" s="10" t="s">
        <v>489</v>
      </c>
      <c r="K54" s="10" t="s">
        <v>490</v>
      </c>
      <c r="L54" s="10" t="s">
        <v>67</v>
      </c>
    </row>
    <row r="55" spans="1:12" x14ac:dyDescent="0.25">
      <c r="A55">
        <v>160</v>
      </c>
      <c r="B55" s="10" t="s">
        <v>486</v>
      </c>
      <c r="C55" s="10" t="s">
        <v>145</v>
      </c>
      <c r="D55" s="10" t="s">
        <v>142</v>
      </c>
      <c r="E55" s="10" t="s">
        <v>143</v>
      </c>
      <c r="F55" s="10" t="s">
        <v>75</v>
      </c>
      <c r="G55" s="10" t="s">
        <v>68</v>
      </c>
      <c r="H55" s="10" t="s">
        <v>72</v>
      </c>
      <c r="I55" s="10" t="s">
        <v>18</v>
      </c>
      <c r="J55" s="10" t="s">
        <v>54</v>
      </c>
      <c r="K55" s="10" t="s">
        <v>54</v>
      </c>
      <c r="L55" s="10" t="s">
        <v>54</v>
      </c>
    </row>
    <row r="56" spans="1:12" x14ac:dyDescent="0.25">
      <c r="A56">
        <v>160</v>
      </c>
      <c r="B56" s="10" t="s">
        <v>486</v>
      </c>
      <c r="C56" s="10" t="s">
        <v>145</v>
      </c>
      <c r="D56" s="10" t="s">
        <v>142</v>
      </c>
      <c r="E56" s="10" t="s">
        <v>143</v>
      </c>
      <c r="F56" s="10" t="s">
        <v>76</v>
      </c>
      <c r="G56" s="10" t="s">
        <v>77</v>
      </c>
      <c r="H56" s="10" t="s">
        <v>65</v>
      </c>
      <c r="I56" s="10" t="s">
        <v>16</v>
      </c>
      <c r="J56" s="10" t="s">
        <v>491</v>
      </c>
      <c r="K56" s="10" t="s">
        <v>492</v>
      </c>
      <c r="L56" s="10" t="s">
        <v>67</v>
      </c>
    </row>
    <row r="57" spans="1:12" x14ac:dyDescent="0.25">
      <c r="A57">
        <v>160</v>
      </c>
      <c r="B57" s="10" t="s">
        <v>486</v>
      </c>
      <c r="C57" s="10" t="s">
        <v>145</v>
      </c>
      <c r="D57" s="10" t="s">
        <v>142</v>
      </c>
      <c r="E57" s="10" t="s">
        <v>143</v>
      </c>
      <c r="F57" s="10" t="s">
        <v>80</v>
      </c>
      <c r="G57" s="10" t="s">
        <v>77</v>
      </c>
      <c r="H57" s="10" t="s">
        <v>65</v>
      </c>
      <c r="I57" s="10" t="s">
        <v>16</v>
      </c>
      <c r="J57" s="10" t="s">
        <v>79</v>
      </c>
      <c r="K57" s="10" t="s">
        <v>331</v>
      </c>
      <c r="L57" s="10" t="s">
        <v>67</v>
      </c>
    </row>
    <row r="58" spans="1:12" x14ac:dyDescent="0.25">
      <c r="A58">
        <v>160</v>
      </c>
      <c r="B58" s="10" t="s">
        <v>486</v>
      </c>
      <c r="C58" s="10" t="s">
        <v>145</v>
      </c>
      <c r="D58" s="10" t="s">
        <v>142</v>
      </c>
      <c r="E58" s="10" t="s">
        <v>143</v>
      </c>
      <c r="F58" s="10" t="s">
        <v>84</v>
      </c>
      <c r="G58" s="10" t="s">
        <v>83</v>
      </c>
      <c r="H58" s="10" t="s">
        <v>65</v>
      </c>
      <c r="I58" s="10" t="s">
        <v>16</v>
      </c>
      <c r="J58" s="10" t="s">
        <v>283</v>
      </c>
      <c r="K58" s="10" t="s">
        <v>284</v>
      </c>
      <c r="L58" s="10" t="s">
        <v>67</v>
      </c>
    </row>
    <row r="59" spans="1:12" x14ac:dyDescent="0.25">
      <c r="A59">
        <v>160</v>
      </c>
      <c r="B59" s="10" t="s">
        <v>486</v>
      </c>
      <c r="C59" s="10" t="s">
        <v>145</v>
      </c>
      <c r="D59" s="10" t="s">
        <v>142</v>
      </c>
      <c r="E59" s="10" t="s">
        <v>143</v>
      </c>
      <c r="F59" s="10" t="s">
        <v>93</v>
      </c>
      <c r="G59" s="10" t="s">
        <v>94</v>
      </c>
      <c r="H59" s="10" t="s">
        <v>65</v>
      </c>
      <c r="I59" s="10" t="s">
        <v>16</v>
      </c>
      <c r="J59" s="10" t="s">
        <v>410</v>
      </c>
      <c r="K59" s="10" t="s">
        <v>411</v>
      </c>
      <c r="L59" s="10" t="s">
        <v>67</v>
      </c>
    </row>
    <row r="60" spans="1:12" x14ac:dyDescent="0.25">
      <c r="A60">
        <v>160</v>
      </c>
      <c r="B60" s="10" t="s">
        <v>486</v>
      </c>
      <c r="C60" s="10" t="s">
        <v>145</v>
      </c>
      <c r="D60" s="10" t="s">
        <v>142</v>
      </c>
      <c r="E60" s="10" t="s">
        <v>143</v>
      </c>
      <c r="F60" s="10" t="s">
        <v>95</v>
      </c>
      <c r="G60" s="10" t="s">
        <v>94</v>
      </c>
      <c r="H60" s="10" t="s">
        <v>65</v>
      </c>
      <c r="I60" s="10" t="s">
        <v>16</v>
      </c>
      <c r="J60" s="10" t="s">
        <v>295</v>
      </c>
      <c r="K60" s="10" t="s">
        <v>296</v>
      </c>
      <c r="L60" s="10" t="s">
        <v>67</v>
      </c>
    </row>
    <row r="61" spans="1:12" x14ac:dyDescent="0.25">
      <c r="A61">
        <v>160</v>
      </c>
      <c r="B61" s="10" t="s">
        <v>486</v>
      </c>
      <c r="C61" s="10" t="s">
        <v>145</v>
      </c>
      <c r="D61" s="10" t="s">
        <v>142</v>
      </c>
      <c r="E61" s="10" t="s">
        <v>143</v>
      </c>
      <c r="F61" s="10" t="s">
        <v>97</v>
      </c>
      <c r="G61" s="10" t="s">
        <v>98</v>
      </c>
      <c r="H61" s="10" t="s">
        <v>65</v>
      </c>
      <c r="I61" s="10" t="s">
        <v>16</v>
      </c>
      <c r="J61" s="10" t="s">
        <v>382</v>
      </c>
      <c r="K61" s="10" t="s">
        <v>360</v>
      </c>
      <c r="L61" s="10" t="s">
        <v>67</v>
      </c>
    </row>
    <row r="62" spans="1:12" x14ac:dyDescent="0.25">
      <c r="A62">
        <v>160</v>
      </c>
      <c r="B62" s="10" t="s">
        <v>486</v>
      </c>
      <c r="C62" s="10" t="s">
        <v>145</v>
      </c>
      <c r="D62" s="10" t="s">
        <v>142</v>
      </c>
      <c r="E62" s="10" t="s">
        <v>143</v>
      </c>
      <c r="F62" s="10" t="s">
        <v>99</v>
      </c>
      <c r="G62" s="10" t="s">
        <v>98</v>
      </c>
      <c r="H62" s="10" t="s">
        <v>65</v>
      </c>
      <c r="I62" s="10" t="s">
        <v>16</v>
      </c>
      <c r="J62" s="10" t="s">
        <v>493</v>
      </c>
      <c r="K62" s="10" t="s">
        <v>494</v>
      </c>
      <c r="L62" s="10" t="s">
        <v>67</v>
      </c>
    </row>
    <row r="63" spans="1:12" x14ac:dyDescent="0.25">
      <c r="A63">
        <v>160</v>
      </c>
      <c r="B63" s="10" t="s">
        <v>486</v>
      </c>
      <c r="C63" s="10" t="s">
        <v>145</v>
      </c>
      <c r="D63" s="10" t="s">
        <v>142</v>
      </c>
      <c r="E63" s="10" t="s">
        <v>143</v>
      </c>
      <c r="F63" s="10" t="s">
        <v>100</v>
      </c>
      <c r="G63" s="10" t="s">
        <v>98</v>
      </c>
      <c r="H63" s="10" t="s">
        <v>65</v>
      </c>
      <c r="I63" s="10" t="s">
        <v>16</v>
      </c>
      <c r="J63" s="10" t="s">
        <v>493</v>
      </c>
      <c r="K63" s="10" t="s">
        <v>494</v>
      </c>
      <c r="L63" s="10" t="s">
        <v>67</v>
      </c>
    </row>
    <row r="64" spans="1:12" x14ac:dyDescent="0.25">
      <c r="A64">
        <v>160</v>
      </c>
      <c r="B64" s="10" t="s">
        <v>486</v>
      </c>
      <c r="C64" s="10" t="s">
        <v>145</v>
      </c>
      <c r="D64" s="10" t="s">
        <v>142</v>
      </c>
      <c r="E64" s="10" t="s">
        <v>143</v>
      </c>
      <c r="F64" s="10" t="s">
        <v>101</v>
      </c>
      <c r="G64" s="10" t="s">
        <v>102</v>
      </c>
      <c r="H64" s="10" t="s">
        <v>65</v>
      </c>
      <c r="I64" s="10" t="s">
        <v>16</v>
      </c>
      <c r="J64" s="10" t="s">
        <v>79</v>
      </c>
      <c r="K64" s="10" t="s">
        <v>350</v>
      </c>
      <c r="L64" s="10" t="s">
        <v>67</v>
      </c>
    </row>
    <row r="65" spans="1:12" x14ac:dyDescent="0.25">
      <c r="A65">
        <v>160</v>
      </c>
      <c r="B65" s="10" t="s">
        <v>486</v>
      </c>
      <c r="C65" s="10" t="s">
        <v>145</v>
      </c>
      <c r="D65" s="10" t="s">
        <v>142</v>
      </c>
      <c r="E65" s="10" t="s">
        <v>143</v>
      </c>
      <c r="F65" s="10" t="s">
        <v>103</v>
      </c>
      <c r="G65" s="10" t="s">
        <v>102</v>
      </c>
      <c r="H65" s="10" t="s">
        <v>65</v>
      </c>
      <c r="I65" s="10" t="s">
        <v>16</v>
      </c>
      <c r="J65" s="10" t="s">
        <v>495</v>
      </c>
      <c r="K65" s="10" t="s">
        <v>496</v>
      </c>
      <c r="L65" s="10" t="s">
        <v>67</v>
      </c>
    </row>
    <row r="66" spans="1:12" x14ac:dyDescent="0.25">
      <c r="A66">
        <v>160</v>
      </c>
      <c r="B66" s="10" t="s">
        <v>486</v>
      </c>
      <c r="C66" s="10" t="s">
        <v>145</v>
      </c>
      <c r="D66" s="10" t="s">
        <v>142</v>
      </c>
      <c r="E66" s="10" t="s">
        <v>143</v>
      </c>
      <c r="F66" s="10" t="s">
        <v>104</v>
      </c>
      <c r="G66" s="10" t="s">
        <v>105</v>
      </c>
      <c r="H66" s="10" t="s">
        <v>65</v>
      </c>
      <c r="I66" s="10" t="s">
        <v>16</v>
      </c>
      <c r="J66" s="10" t="s">
        <v>283</v>
      </c>
      <c r="K66" s="10" t="s">
        <v>284</v>
      </c>
      <c r="L66" s="10" t="s">
        <v>67</v>
      </c>
    </row>
    <row r="67" spans="1:12" x14ac:dyDescent="0.25">
      <c r="A67">
        <v>160</v>
      </c>
      <c r="B67" s="10" t="s">
        <v>486</v>
      </c>
      <c r="C67" s="10" t="s">
        <v>145</v>
      </c>
      <c r="D67" s="10" t="s">
        <v>142</v>
      </c>
      <c r="E67" s="10" t="s">
        <v>143</v>
      </c>
      <c r="F67" s="10" t="s">
        <v>106</v>
      </c>
      <c r="G67" s="10" t="s">
        <v>105</v>
      </c>
      <c r="H67" s="10" t="s">
        <v>65</v>
      </c>
      <c r="I67" s="10" t="s">
        <v>16</v>
      </c>
      <c r="J67" s="10" t="s">
        <v>382</v>
      </c>
      <c r="K67" s="10" t="s">
        <v>360</v>
      </c>
      <c r="L67" s="10" t="s">
        <v>67</v>
      </c>
    </row>
    <row r="68" spans="1:12" x14ac:dyDescent="0.25">
      <c r="A68">
        <v>160</v>
      </c>
      <c r="B68" s="10" t="s">
        <v>486</v>
      </c>
      <c r="C68" s="10" t="s">
        <v>145</v>
      </c>
      <c r="D68" s="10" t="s">
        <v>142</v>
      </c>
      <c r="E68" s="10" t="s">
        <v>143</v>
      </c>
      <c r="F68" s="10" t="s">
        <v>107</v>
      </c>
      <c r="G68" s="10" t="s">
        <v>105</v>
      </c>
      <c r="H68" s="10" t="s">
        <v>65</v>
      </c>
      <c r="I68" s="10" t="s">
        <v>16</v>
      </c>
      <c r="J68" s="10" t="s">
        <v>450</v>
      </c>
      <c r="K68" s="10" t="s">
        <v>391</v>
      </c>
      <c r="L68" s="10" t="s">
        <v>67</v>
      </c>
    </row>
    <row r="69" spans="1:12" x14ac:dyDescent="0.25">
      <c r="A69">
        <v>160</v>
      </c>
      <c r="B69" s="10" t="s">
        <v>486</v>
      </c>
      <c r="C69" s="10" t="s">
        <v>145</v>
      </c>
      <c r="D69" s="10" t="s">
        <v>142</v>
      </c>
      <c r="E69" s="10" t="s">
        <v>143</v>
      </c>
      <c r="F69" s="10" t="s">
        <v>108</v>
      </c>
      <c r="G69" s="10" t="s">
        <v>105</v>
      </c>
      <c r="H69" s="10" t="s">
        <v>65</v>
      </c>
      <c r="I69" s="10" t="s">
        <v>16</v>
      </c>
      <c r="J69" s="10" t="s">
        <v>497</v>
      </c>
      <c r="K69" s="10" t="s">
        <v>498</v>
      </c>
      <c r="L69" s="10" t="s">
        <v>67</v>
      </c>
    </row>
    <row r="70" spans="1:12" x14ac:dyDescent="0.25">
      <c r="A70">
        <v>160</v>
      </c>
      <c r="B70" s="10" t="s">
        <v>486</v>
      </c>
      <c r="C70" s="10" t="s">
        <v>145</v>
      </c>
      <c r="D70" s="10" t="s">
        <v>142</v>
      </c>
      <c r="E70" s="10" t="s">
        <v>143</v>
      </c>
      <c r="F70" s="10" t="s">
        <v>109</v>
      </c>
      <c r="G70" s="10" t="s">
        <v>105</v>
      </c>
      <c r="H70" s="10" t="s">
        <v>65</v>
      </c>
      <c r="I70" s="10" t="s">
        <v>16</v>
      </c>
      <c r="J70" s="10" t="s">
        <v>283</v>
      </c>
      <c r="K70" s="10" t="s">
        <v>284</v>
      </c>
      <c r="L70" s="10" t="s">
        <v>67</v>
      </c>
    </row>
    <row r="71" spans="1:12" x14ac:dyDescent="0.25">
      <c r="A71">
        <v>160</v>
      </c>
      <c r="B71" s="10" t="s">
        <v>486</v>
      </c>
      <c r="C71" s="10" t="s">
        <v>145</v>
      </c>
      <c r="D71" s="10" t="s">
        <v>142</v>
      </c>
      <c r="E71" s="10" t="s">
        <v>143</v>
      </c>
      <c r="F71" s="10" t="s">
        <v>110</v>
      </c>
      <c r="G71" s="10" t="s">
        <v>105</v>
      </c>
      <c r="H71" s="10" t="s">
        <v>65</v>
      </c>
      <c r="I71" s="10" t="s">
        <v>16</v>
      </c>
      <c r="J71" s="10" t="s">
        <v>79</v>
      </c>
      <c r="K71" s="10" t="s">
        <v>391</v>
      </c>
      <c r="L71" s="10" t="s">
        <v>67</v>
      </c>
    </row>
    <row r="72" spans="1:12" x14ac:dyDescent="0.25">
      <c r="A72">
        <v>160</v>
      </c>
      <c r="B72" s="10" t="s">
        <v>486</v>
      </c>
      <c r="C72" s="10" t="s">
        <v>145</v>
      </c>
      <c r="D72" s="10" t="s">
        <v>142</v>
      </c>
      <c r="E72" s="10" t="s">
        <v>143</v>
      </c>
      <c r="F72" s="10" t="s">
        <v>111</v>
      </c>
      <c r="G72" s="10" t="s">
        <v>105</v>
      </c>
      <c r="H72" s="10" t="s">
        <v>65</v>
      </c>
      <c r="I72" s="10" t="s">
        <v>16</v>
      </c>
      <c r="J72" s="10" t="s">
        <v>283</v>
      </c>
      <c r="K72" s="10" t="s">
        <v>284</v>
      </c>
      <c r="L72" s="10" t="s">
        <v>67</v>
      </c>
    </row>
    <row r="73" spans="1:12" x14ac:dyDescent="0.25">
      <c r="A73">
        <v>160</v>
      </c>
      <c r="B73" s="10" t="s">
        <v>486</v>
      </c>
      <c r="C73" s="10" t="s">
        <v>145</v>
      </c>
      <c r="D73" s="10" t="s">
        <v>142</v>
      </c>
      <c r="E73" s="10" t="s">
        <v>143</v>
      </c>
      <c r="F73" s="10" t="s">
        <v>112</v>
      </c>
      <c r="G73" s="10" t="s">
        <v>105</v>
      </c>
      <c r="H73" s="10" t="s">
        <v>65</v>
      </c>
      <c r="I73" s="10" t="s">
        <v>16</v>
      </c>
      <c r="J73" s="10" t="s">
        <v>499</v>
      </c>
      <c r="K73" s="10" t="s">
        <v>500</v>
      </c>
      <c r="L73" s="10" t="s">
        <v>67</v>
      </c>
    </row>
    <row r="74" spans="1:12" x14ac:dyDescent="0.25">
      <c r="A74">
        <v>160</v>
      </c>
      <c r="B74" s="10" t="s">
        <v>486</v>
      </c>
      <c r="C74" s="10" t="s">
        <v>145</v>
      </c>
      <c r="D74" s="10" t="s">
        <v>142</v>
      </c>
      <c r="E74" s="10" t="s">
        <v>143</v>
      </c>
      <c r="F74" s="10" t="s">
        <v>113</v>
      </c>
      <c r="G74" s="10" t="s">
        <v>105</v>
      </c>
      <c r="H74" s="10" t="s">
        <v>65</v>
      </c>
      <c r="I74" s="10" t="s">
        <v>16</v>
      </c>
      <c r="J74" s="10" t="s">
        <v>279</v>
      </c>
      <c r="K74" s="10" t="s">
        <v>280</v>
      </c>
      <c r="L74" s="10" t="s">
        <v>67</v>
      </c>
    </row>
    <row r="75" spans="1:12" x14ac:dyDescent="0.25">
      <c r="A75">
        <v>160</v>
      </c>
      <c r="B75" s="10" t="s">
        <v>486</v>
      </c>
      <c r="C75" s="10" t="s">
        <v>145</v>
      </c>
      <c r="D75" s="10" t="s">
        <v>142</v>
      </c>
      <c r="E75" s="10" t="s">
        <v>143</v>
      </c>
      <c r="F75" s="10" t="s">
        <v>144</v>
      </c>
      <c r="G75" s="10" t="s">
        <v>68</v>
      </c>
      <c r="H75" s="10" t="s">
        <v>65</v>
      </c>
      <c r="I75" s="10" t="s">
        <v>16</v>
      </c>
      <c r="J75" s="10" t="s">
        <v>501</v>
      </c>
      <c r="K75" s="10" t="s">
        <v>502</v>
      </c>
      <c r="L75" s="10" t="s">
        <v>67</v>
      </c>
    </row>
    <row r="76" spans="1:12" x14ac:dyDescent="0.25">
      <c r="A76">
        <v>168</v>
      </c>
      <c r="B76" s="10" t="s">
        <v>898</v>
      </c>
      <c r="C76" s="10" t="s">
        <v>155</v>
      </c>
      <c r="D76" s="10" t="s">
        <v>214</v>
      </c>
      <c r="E76" s="10" t="s">
        <v>215</v>
      </c>
      <c r="F76" s="10" t="s">
        <v>71</v>
      </c>
      <c r="G76" s="10" t="s">
        <v>68</v>
      </c>
      <c r="H76" s="10" t="s">
        <v>72</v>
      </c>
      <c r="I76" s="10" t="s">
        <v>18</v>
      </c>
      <c r="J76" s="10" t="s">
        <v>54</v>
      </c>
      <c r="K76" s="10" t="s">
        <v>54</v>
      </c>
      <c r="L76" s="10" t="s">
        <v>54</v>
      </c>
    </row>
    <row r="77" spans="1:12" x14ac:dyDescent="0.25">
      <c r="A77">
        <v>168</v>
      </c>
      <c r="B77" s="10" t="s">
        <v>898</v>
      </c>
      <c r="C77" s="10" t="s">
        <v>155</v>
      </c>
      <c r="D77" s="10" t="s">
        <v>214</v>
      </c>
      <c r="E77" s="10" t="s">
        <v>215</v>
      </c>
      <c r="F77" s="10" t="s">
        <v>73</v>
      </c>
      <c r="G77" s="10" t="s">
        <v>68</v>
      </c>
      <c r="H77" s="10" t="s">
        <v>65</v>
      </c>
      <c r="I77" s="10" t="s">
        <v>16</v>
      </c>
      <c r="J77" s="10" t="s">
        <v>899</v>
      </c>
      <c r="K77" s="10" t="s">
        <v>900</v>
      </c>
      <c r="L77" s="10" t="s">
        <v>67</v>
      </c>
    </row>
    <row r="78" spans="1:12" x14ac:dyDescent="0.25">
      <c r="A78">
        <v>168</v>
      </c>
      <c r="B78" s="10" t="s">
        <v>898</v>
      </c>
      <c r="C78" s="10" t="s">
        <v>155</v>
      </c>
      <c r="D78" s="10" t="s">
        <v>214</v>
      </c>
      <c r="E78" s="10" t="s">
        <v>215</v>
      </c>
      <c r="F78" s="10" t="s">
        <v>74</v>
      </c>
      <c r="G78" s="10" t="s">
        <v>68</v>
      </c>
      <c r="H78" s="10" t="s">
        <v>65</v>
      </c>
      <c r="I78" s="10" t="s">
        <v>16</v>
      </c>
      <c r="J78" s="10" t="s">
        <v>332</v>
      </c>
      <c r="K78" s="10" t="s">
        <v>901</v>
      </c>
      <c r="L78" s="10" t="s">
        <v>67</v>
      </c>
    </row>
    <row r="79" spans="1:12" x14ac:dyDescent="0.25">
      <c r="A79">
        <v>168</v>
      </c>
      <c r="B79" s="10" t="s">
        <v>898</v>
      </c>
      <c r="C79" s="10" t="s">
        <v>155</v>
      </c>
      <c r="D79" s="10" t="s">
        <v>214</v>
      </c>
      <c r="E79" s="10" t="s">
        <v>215</v>
      </c>
      <c r="F79" s="10" t="s">
        <v>75</v>
      </c>
      <c r="G79" s="10" t="s">
        <v>68</v>
      </c>
      <c r="H79" s="10" t="s">
        <v>72</v>
      </c>
      <c r="I79" s="10" t="s">
        <v>18</v>
      </c>
      <c r="J79" s="10" t="s">
        <v>54</v>
      </c>
      <c r="K79" s="10" t="s">
        <v>54</v>
      </c>
      <c r="L79" s="10" t="s">
        <v>54</v>
      </c>
    </row>
    <row r="80" spans="1:12" x14ac:dyDescent="0.25">
      <c r="A80">
        <v>168</v>
      </c>
      <c r="B80" s="10" t="s">
        <v>898</v>
      </c>
      <c r="C80" s="10" t="s">
        <v>155</v>
      </c>
      <c r="D80" s="10" t="s">
        <v>214</v>
      </c>
      <c r="E80" s="10" t="s">
        <v>215</v>
      </c>
      <c r="F80" s="10" t="s">
        <v>76</v>
      </c>
      <c r="G80" s="10" t="s">
        <v>77</v>
      </c>
      <c r="H80" s="10" t="s">
        <v>65</v>
      </c>
      <c r="I80" s="10" t="s">
        <v>16</v>
      </c>
      <c r="J80" s="10" t="s">
        <v>808</v>
      </c>
      <c r="K80" s="10" t="s">
        <v>809</v>
      </c>
      <c r="L80" s="10" t="s">
        <v>67</v>
      </c>
    </row>
    <row r="81" spans="1:12" x14ac:dyDescent="0.25">
      <c r="A81">
        <v>168</v>
      </c>
      <c r="B81" s="10" t="s">
        <v>898</v>
      </c>
      <c r="C81" s="10" t="s">
        <v>155</v>
      </c>
      <c r="D81" s="10" t="s">
        <v>214</v>
      </c>
      <c r="E81" s="10" t="s">
        <v>215</v>
      </c>
      <c r="F81" s="10" t="s">
        <v>80</v>
      </c>
      <c r="G81" s="10" t="s">
        <v>77</v>
      </c>
      <c r="H81" s="10" t="s">
        <v>65</v>
      </c>
      <c r="I81" s="10" t="s">
        <v>16</v>
      </c>
      <c r="J81" s="10" t="s">
        <v>79</v>
      </c>
      <c r="K81" s="10" t="s">
        <v>885</v>
      </c>
      <c r="L81" s="10" t="s">
        <v>67</v>
      </c>
    </row>
    <row r="82" spans="1:12" x14ac:dyDescent="0.25">
      <c r="A82">
        <v>168</v>
      </c>
      <c r="B82" s="10" t="s">
        <v>898</v>
      </c>
      <c r="C82" s="10" t="s">
        <v>155</v>
      </c>
      <c r="D82" s="10" t="s">
        <v>214</v>
      </c>
      <c r="E82" s="10" t="s">
        <v>215</v>
      </c>
      <c r="F82" s="10" t="s">
        <v>84</v>
      </c>
      <c r="G82" s="10" t="s">
        <v>83</v>
      </c>
      <c r="H82" s="10" t="s">
        <v>65</v>
      </c>
      <c r="I82" s="10" t="s">
        <v>16</v>
      </c>
      <c r="J82" s="10" t="s">
        <v>861</v>
      </c>
      <c r="K82" s="10" t="s">
        <v>862</v>
      </c>
      <c r="L82" s="10" t="s">
        <v>67</v>
      </c>
    </row>
    <row r="83" spans="1:12" x14ac:dyDescent="0.25">
      <c r="A83">
        <v>168</v>
      </c>
      <c r="B83" s="10" t="s">
        <v>898</v>
      </c>
      <c r="C83" s="10" t="s">
        <v>155</v>
      </c>
      <c r="D83" s="10" t="s">
        <v>214</v>
      </c>
      <c r="E83" s="10" t="s">
        <v>215</v>
      </c>
      <c r="F83" s="10" t="s">
        <v>93</v>
      </c>
      <c r="G83" s="10" t="s">
        <v>94</v>
      </c>
      <c r="H83" s="10" t="s">
        <v>65</v>
      </c>
      <c r="I83" s="10" t="s">
        <v>16</v>
      </c>
      <c r="J83" s="10" t="s">
        <v>863</v>
      </c>
      <c r="K83" s="10" t="s">
        <v>864</v>
      </c>
      <c r="L83" s="10" t="s">
        <v>67</v>
      </c>
    </row>
    <row r="84" spans="1:12" x14ac:dyDescent="0.25">
      <c r="A84">
        <v>168</v>
      </c>
      <c r="B84" s="10" t="s">
        <v>898</v>
      </c>
      <c r="C84" s="10" t="s">
        <v>155</v>
      </c>
      <c r="D84" s="10" t="s">
        <v>214</v>
      </c>
      <c r="E84" s="10" t="s">
        <v>215</v>
      </c>
      <c r="F84" s="10" t="s">
        <v>95</v>
      </c>
      <c r="G84" s="10" t="s">
        <v>94</v>
      </c>
      <c r="H84" s="10" t="s">
        <v>65</v>
      </c>
      <c r="I84" s="10" t="s">
        <v>16</v>
      </c>
      <c r="J84" s="10" t="s">
        <v>863</v>
      </c>
      <c r="K84" s="10" t="s">
        <v>864</v>
      </c>
      <c r="L84" s="10" t="s">
        <v>67</v>
      </c>
    </row>
    <row r="85" spans="1:12" x14ac:dyDescent="0.25">
      <c r="A85">
        <v>168</v>
      </c>
      <c r="B85" s="10" t="s">
        <v>898</v>
      </c>
      <c r="C85" s="10" t="s">
        <v>155</v>
      </c>
      <c r="D85" s="10" t="s">
        <v>214</v>
      </c>
      <c r="E85" s="10" t="s">
        <v>215</v>
      </c>
      <c r="F85" s="10" t="s">
        <v>97</v>
      </c>
      <c r="G85" s="10" t="s">
        <v>98</v>
      </c>
      <c r="H85" s="10" t="s">
        <v>65</v>
      </c>
      <c r="I85" s="10" t="s">
        <v>16</v>
      </c>
      <c r="J85" s="10" t="s">
        <v>902</v>
      </c>
      <c r="K85" s="10" t="s">
        <v>903</v>
      </c>
      <c r="L85" s="10" t="s">
        <v>67</v>
      </c>
    </row>
    <row r="86" spans="1:12" x14ac:dyDescent="0.25">
      <c r="A86">
        <v>168</v>
      </c>
      <c r="B86" s="10" t="s">
        <v>898</v>
      </c>
      <c r="C86" s="10" t="s">
        <v>155</v>
      </c>
      <c r="D86" s="10" t="s">
        <v>214</v>
      </c>
      <c r="E86" s="10" t="s">
        <v>215</v>
      </c>
      <c r="F86" s="10" t="s">
        <v>100</v>
      </c>
      <c r="G86" s="10" t="s">
        <v>98</v>
      </c>
      <c r="H86" s="10" t="s">
        <v>65</v>
      </c>
      <c r="I86" s="10" t="s">
        <v>18</v>
      </c>
      <c r="J86" s="10" t="s">
        <v>54</v>
      </c>
      <c r="K86" s="10" t="s">
        <v>54</v>
      </c>
      <c r="L86" s="10" t="s">
        <v>54</v>
      </c>
    </row>
    <row r="87" spans="1:12" x14ac:dyDescent="0.25">
      <c r="A87">
        <v>168</v>
      </c>
      <c r="B87" s="10" t="s">
        <v>898</v>
      </c>
      <c r="C87" s="10" t="s">
        <v>155</v>
      </c>
      <c r="D87" s="10" t="s">
        <v>214</v>
      </c>
      <c r="E87" s="10" t="s">
        <v>215</v>
      </c>
      <c r="F87" s="10" t="s">
        <v>101</v>
      </c>
      <c r="G87" s="10" t="s">
        <v>102</v>
      </c>
      <c r="H87" s="10" t="s">
        <v>65</v>
      </c>
      <c r="I87" s="10" t="s">
        <v>16</v>
      </c>
      <c r="J87" s="10" t="s">
        <v>79</v>
      </c>
      <c r="K87" s="10" t="s">
        <v>904</v>
      </c>
      <c r="L87" s="10" t="s">
        <v>67</v>
      </c>
    </row>
    <row r="88" spans="1:12" x14ac:dyDescent="0.25">
      <c r="A88">
        <v>168</v>
      </c>
      <c r="B88" s="10" t="s">
        <v>898</v>
      </c>
      <c r="C88" s="10" t="s">
        <v>155</v>
      </c>
      <c r="D88" s="10" t="s">
        <v>214</v>
      </c>
      <c r="E88" s="10" t="s">
        <v>215</v>
      </c>
      <c r="F88" s="10" t="s">
        <v>103</v>
      </c>
      <c r="G88" s="10" t="s">
        <v>102</v>
      </c>
      <c r="H88" s="10" t="s">
        <v>65</v>
      </c>
      <c r="I88" s="10" t="s">
        <v>16</v>
      </c>
      <c r="J88" s="10" t="s">
        <v>905</v>
      </c>
      <c r="K88" s="10" t="s">
        <v>906</v>
      </c>
      <c r="L88" s="10" t="s">
        <v>67</v>
      </c>
    </row>
    <row r="89" spans="1:12" x14ac:dyDescent="0.25">
      <c r="A89">
        <v>168</v>
      </c>
      <c r="B89" s="10" t="s">
        <v>898</v>
      </c>
      <c r="C89" s="10" t="s">
        <v>155</v>
      </c>
      <c r="D89" s="10" t="s">
        <v>214</v>
      </c>
      <c r="E89" s="10" t="s">
        <v>215</v>
      </c>
      <c r="F89" s="10" t="s">
        <v>104</v>
      </c>
      <c r="G89" s="10" t="s">
        <v>105</v>
      </c>
      <c r="H89" s="10" t="s">
        <v>65</v>
      </c>
      <c r="I89" s="10" t="s">
        <v>16</v>
      </c>
      <c r="J89" s="10" t="s">
        <v>332</v>
      </c>
      <c r="K89" s="10" t="s">
        <v>333</v>
      </c>
      <c r="L89" s="10" t="s">
        <v>67</v>
      </c>
    </row>
    <row r="90" spans="1:12" x14ac:dyDescent="0.25">
      <c r="A90">
        <v>168</v>
      </c>
      <c r="B90" s="10" t="s">
        <v>898</v>
      </c>
      <c r="C90" s="10" t="s">
        <v>155</v>
      </c>
      <c r="D90" s="10" t="s">
        <v>214</v>
      </c>
      <c r="E90" s="10" t="s">
        <v>215</v>
      </c>
      <c r="F90" s="10" t="s">
        <v>106</v>
      </c>
      <c r="G90" s="10" t="s">
        <v>105</v>
      </c>
      <c r="H90" s="10" t="s">
        <v>65</v>
      </c>
      <c r="I90" s="10" t="s">
        <v>16</v>
      </c>
      <c r="J90" s="10" t="s">
        <v>907</v>
      </c>
      <c r="K90" s="10" t="s">
        <v>908</v>
      </c>
      <c r="L90" s="10" t="s">
        <v>67</v>
      </c>
    </row>
    <row r="91" spans="1:12" x14ac:dyDescent="0.25">
      <c r="A91">
        <v>168</v>
      </c>
      <c r="B91" s="10" t="s">
        <v>898</v>
      </c>
      <c r="C91" s="10" t="s">
        <v>155</v>
      </c>
      <c r="D91" s="10" t="s">
        <v>214</v>
      </c>
      <c r="E91" s="10" t="s">
        <v>215</v>
      </c>
      <c r="F91" s="10" t="s">
        <v>107</v>
      </c>
      <c r="G91" s="10" t="s">
        <v>105</v>
      </c>
      <c r="H91" s="10" t="s">
        <v>65</v>
      </c>
      <c r="I91" s="10" t="s">
        <v>16</v>
      </c>
      <c r="J91" s="10" t="s">
        <v>909</v>
      </c>
      <c r="K91" s="10" t="s">
        <v>903</v>
      </c>
      <c r="L91" s="10" t="s">
        <v>67</v>
      </c>
    </row>
    <row r="92" spans="1:12" x14ac:dyDescent="0.25">
      <c r="A92">
        <v>168</v>
      </c>
      <c r="B92" s="10" t="s">
        <v>898</v>
      </c>
      <c r="C92" s="10" t="s">
        <v>155</v>
      </c>
      <c r="D92" s="10" t="s">
        <v>214</v>
      </c>
      <c r="E92" s="10" t="s">
        <v>215</v>
      </c>
      <c r="F92" s="10" t="s">
        <v>108</v>
      </c>
      <c r="G92" s="10" t="s">
        <v>105</v>
      </c>
      <c r="H92" s="10" t="s">
        <v>65</v>
      </c>
      <c r="I92" s="10" t="s">
        <v>16</v>
      </c>
      <c r="J92" s="10" t="s">
        <v>742</v>
      </c>
      <c r="K92" s="10" t="s">
        <v>910</v>
      </c>
      <c r="L92" s="10" t="s">
        <v>67</v>
      </c>
    </row>
    <row r="93" spans="1:12" x14ac:dyDescent="0.25">
      <c r="A93">
        <v>168</v>
      </c>
      <c r="B93" s="10" t="s">
        <v>898</v>
      </c>
      <c r="C93" s="10" t="s">
        <v>155</v>
      </c>
      <c r="D93" s="10" t="s">
        <v>214</v>
      </c>
      <c r="E93" s="10" t="s">
        <v>215</v>
      </c>
      <c r="F93" s="10" t="s">
        <v>109</v>
      </c>
      <c r="G93" s="10" t="s">
        <v>105</v>
      </c>
      <c r="H93" s="10" t="s">
        <v>65</v>
      </c>
      <c r="I93" s="10" t="s">
        <v>16</v>
      </c>
      <c r="J93" s="10" t="s">
        <v>332</v>
      </c>
      <c r="K93" s="10" t="s">
        <v>333</v>
      </c>
      <c r="L93" s="10" t="s">
        <v>67</v>
      </c>
    </row>
    <row r="94" spans="1:12" x14ac:dyDescent="0.25">
      <c r="A94">
        <v>168</v>
      </c>
      <c r="B94" s="10" t="s">
        <v>898</v>
      </c>
      <c r="C94" s="10" t="s">
        <v>155</v>
      </c>
      <c r="D94" s="10" t="s">
        <v>214</v>
      </c>
      <c r="E94" s="10" t="s">
        <v>215</v>
      </c>
      <c r="F94" s="10" t="s">
        <v>110</v>
      </c>
      <c r="G94" s="10" t="s">
        <v>105</v>
      </c>
      <c r="H94" s="10" t="s">
        <v>65</v>
      </c>
      <c r="I94" s="10" t="s">
        <v>16</v>
      </c>
      <c r="J94" s="10" t="s">
        <v>79</v>
      </c>
      <c r="K94" s="10" t="s">
        <v>903</v>
      </c>
      <c r="L94" s="10" t="s">
        <v>67</v>
      </c>
    </row>
    <row r="95" spans="1:12" x14ac:dyDescent="0.25">
      <c r="A95">
        <v>168</v>
      </c>
      <c r="B95" s="10" t="s">
        <v>898</v>
      </c>
      <c r="C95" s="10" t="s">
        <v>155</v>
      </c>
      <c r="D95" s="10" t="s">
        <v>214</v>
      </c>
      <c r="E95" s="10" t="s">
        <v>215</v>
      </c>
      <c r="F95" s="10" t="s">
        <v>111</v>
      </c>
      <c r="G95" s="10" t="s">
        <v>105</v>
      </c>
      <c r="H95" s="10" t="s">
        <v>65</v>
      </c>
      <c r="I95" s="10" t="s">
        <v>16</v>
      </c>
      <c r="J95" s="10" t="s">
        <v>911</v>
      </c>
      <c r="K95" s="10" t="s">
        <v>912</v>
      </c>
      <c r="L95" s="10" t="s">
        <v>67</v>
      </c>
    </row>
    <row r="96" spans="1:12" x14ac:dyDescent="0.25">
      <c r="A96">
        <v>168</v>
      </c>
      <c r="B96" s="10" t="s">
        <v>898</v>
      </c>
      <c r="C96" s="10" t="s">
        <v>155</v>
      </c>
      <c r="D96" s="10" t="s">
        <v>214</v>
      </c>
      <c r="E96" s="10" t="s">
        <v>215</v>
      </c>
      <c r="F96" s="10" t="s">
        <v>112</v>
      </c>
      <c r="G96" s="10" t="s">
        <v>105</v>
      </c>
      <c r="H96" s="10" t="s">
        <v>65</v>
      </c>
      <c r="I96" s="10" t="s">
        <v>16</v>
      </c>
      <c r="J96" s="10" t="s">
        <v>863</v>
      </c>
      <c r="K96" s="10" t="s">
        <v>864</v>
      </c>
      <c r="L96" s="10" t="s">
        <v>67</v>
      </c>
    </row>
    <row r="97" spans="1:12" x14ac:dyDescent="0.25">
      <c r="A97">
        <v>168</v>
      </c>
      <c r="B97" s="10" t="s">
        <v>898</v>
      </c>
      <c r="C97" s="10" t="s">
        <v>155</v>
      </c>
      <c r="D97" s="10" t="s">
        <v>214</v>
      </c>
      <c r="E97" s="10" t="s">
        <v>215</v>
      </c>
      <c r="F97" s="10" t="s">
        <v>113</v>
      </c>
      <c r="G97" s="10" t="s">
        <v>105</v>
      </c>
      <c r="H97" s="10" t="s">
        <v>65</v>
      </c>
      <c r="I97" s="10" t="s">
        <v>16</v>
      </c>
      <c r="J97" s="10" t="s">
        <v>499</v>
      </c>
      <c r="K97" s="10" t="s">
        <v>500</v>
      </c>
      <c r="L97" s="10" t="s">
        <v>67</v>
      </c>
    </row>
    <row r="98" spans="1:12" x14ac:dyDescent="0.25">
      <c r="A98">
        <v>168</v>
      </c>
      <c r="B98" s="10" t="s">
        <v>898</v>
      </c>
      <c r="C98" s="10" t="s">
        <v>155</v>
      </c>
      <c r="D98" s="10" t="s">
        <v>214</v>
      </c>
      <c r="E98" s="10" t="s">
        <v>215</v>
      </c>
      <c r="F98" s="10" t="s">
        <v>124</v>
      </c>
      <c r="G98" s="10" t="s">
        <v>125</v>
      </c>
      <c r="H98" s="10" t="s">
        <v>72</v>
      </c>
      <c r="I98" s="10" t="s">
        <v>18</v>
      </c>
      <c r="J98" s="10" t="s">
        <v>54</v>
      </c>
      <c r="K98" s="10" t="s">
        <v>54</v>
      </c>
      <c r="L98" s="10" t="s">
        <v>54</v>
      </c>
    </row>
    <row r="99" spans="1:12" x14ac:dyDescent="0.25">
      <c r="A99">
        <v>168</v>
      </c>
      <c r="B99" s="10" t="s">
        <v>898</v>
      </c>
      <c r="C99" s="10" t="s">
        <v>155</v>
      </c>
      <c r="D99" s="10" t="s">
        <v>214</v>
      </c>
      <c r="E99" s="10" t="s">
        <v>215</v>
      </c>
      <c r="F99" s="10" t="s">
        <v>131</v>
      </c>
      <c r="G99" s="10" t="s">
        <v>68</v>
      </c>
      <c r="H99" s="10" t="s">
        <v>65</v>
      </c>
      <c r="I99" s="10" t="s">
        <v>16</v>
      </c>
      <c r="J99" s="10" t="s">
        <v>573</v>
      </c>
      <c r="K99" s="10" t="s">
        <v>913</v>
      </c>
      <c r="L99" s="10" t="s">
        <v>67</v>
      </c>
    </row>
    <row r="100" spans="1:12" x14ac:dyDescent="0.25">
      <c r="A100">
        <v>168</v>
      </c>
      <c r="B100" s="10" t="s">
        <v>898</v>
      </c>
      <c r="C100" s="10" t="s">
        <v>155</v>
      </c>
      <c r="D100" s="10" t="s">
        <v>214</v>
      </c>
      <c r="E100" s="10" t="s">
        <v>215</v>
      </c>
      <c r="F100" s="10" t="s">
        <v>154</v>
      </c>
      <c r="G100" s="10" t="s">
        <v>68</v>
      </c>
      <c r="H100" s="10" t="s">
        <v>65</v>
      </c>
      <c r="I100" s="10" t="s">
        <v>16</v>
      </c>
      <c r="J100" s="10" t="s">
        <v>914</v>
      </c>
      <c r="K100" s="10" t="s">
        <v>915</v>
      </c>
      <c r="L100" s="10" t="s">
        <v>67</v>
      </c>
    </row>
    <row r="101" spans="1:12" x14ac:dyDescent="0.25">
      <c r="A101">
        <v>168</v>
      </c>
      <c r="B101" s="10" t="s">
        <v>898</v>
      </c>
      <c r="C101" s="10" t="s">
        <v>155</v>
      </c>
      <c r="D101" s="10" t="s">
        <v>214</v>
      </c>
      <c r="E101" s="10" t="s">
        <v>215</v>
      </c>
      <c r="F101" s="10" t="s">
        <v>156</v>
      </c>
      <c r="G101" s="10" t="s">
        <v>125</v>
      </c>
      <c r="H101" s="10" t="s">
        <v>65</v>
      </c>
      <c r="I101" s="10" t="s">
        <v>16</v>
      </c>
      <c r="J101" s="10" t="s">
        <v>916</v>
      </c>
      <c r="K101" s="10" t="s">
        <v>917</v>
      </c>
      <c r="L101" s="10" t="s">
        <v>67</v>
      </c>
    </row>
    <row r="102" spans="1:12" x14ac:dyDescent="0.25">
      <c r="A102">
        <v>149</v>
      </c>
      <c r="B102" s="10" t="s">
        <v>746</v>
      </c>
      <c r="C102" s="10" t="s">
        <v>66</v>
      </c>
      <c r="D102" s="10" t="s">
        <v>190</v>
      </c>
      <c r="E102" s="10" t="s">
        <v>191</v>
      </c>
      <c r="F102" s="10" t="s">
        <v>64</v>
      </c>
      <c r="G102" s="10" t="s">
        <v>68</v>
      </c>
      <c r="H102" s="10" t="s">
        <v>65</v>
      </c>
      <c r="I102" s="10" t="s">
        <v>16</v>
      </c>
      <c r="J102" s="10" t="s">
        <v>747</v>
      </c>
      <c r="K102" s="10" t="s">
        <v>748</v>
      </c>
      <c r="L102" s="10" t="s">
        <v>67</v>
      </c>
    </row>
    <row r="103" spans="1:12" x14ac:dyDescent="0.25">
      <c r="A103">
        <v>149</v>
      </c>
      <c r="B103" s="10" t="s">
        <v>746</v>
      </c>
      <c r="C103" s="10" t="s">
        <v>66</v>
      </c>
      <c r="D103" s="10" t="s">
        <v>190</v>
      </c>
      <c r="E103" s="10" t="s">
        <v>191</v>
      </c>
      <c r="F103" s="10" t="s">
        <v>69</v>
      </c>
      <c r="G103" s="10" t="s">
        <v>68</v>
      </c>
      <c r="H103" s="10" t="s">
        <v>65</v>
      </c>
      <c r="I103" s="10" t="s">
        <v>16</v>
      </c>
      <c r="J103" s="10" t="s">
        <v>747</v>
      </c>
      <c r="K103" s="10" t="s">
        <v>748</v>
      </c>
      <c r="L103" s="10" t="s">
        <v>67</v>
      </c>
    </row>
    <row r="104" spans="1:12" x14ac:dyDescent="0.25">
      <c r="A104">
        <v>149</v>
      </c>
      <c r="B104" s="10" t="s">
        <v>746</v>
      </c>
      <c r="C104" s="10" t="s">
        <v>66</v>
      </c>
      <c r="D104" s="10" t="s">
        <v>190</v>
      </c>
      <c r="E104" s="10" t="s">
        <v>191</v>
      </c>
      <c r="F104" s="10" t="s">
        <v>70</v>
      </c>
      <c r="G104" s="10" t="s">
        <v>68</v>
      </c>
      <c r="H104" s="10" t="s">
        <v>65</v>
      </c>
      <c r="I104" s="10" t="s">
        <v>25</v>
      </c>
      <c r="J104" s="10" t="s">
        <v>288</v>
      </c>
      <c r="K104" s="10" t="s">
        <v>749</v>
      </c>
      <c r="L104" s="10" t="s">
        <v>67</v>
      </c>
    </row>
    <row r="105" spans="1:12" x14ac:dyDescent="0.25">
      <c r="A105">
        <v>149</v>
      </c>
      <c r="B105" s="10" t="s">
        <v>746</v>
      </c>
      <c r="C105" s="10" t="s">
        <v>66</v>
      </c>
      <c r="D105" s="10" t="s">
        <v>190</v>
      </c>
      <c r="E105" s="10" t="s">
        <v>191</v>
      </c>
      <c r="F105" s="10" t="s">
        <v>71</v>
      </c>
      <c r="G105" s="10" t="s">
        <v>68</v>
      </c>
      <c r="H105" s="10" t="s">
        <v>72</v>
      </c>
      <c r="I105" s="10" t="s">
        <v>24</v>
      </c>
      <c r="J105" s="10" t="s">
        <v>750</v>
      </c>
      <c r="K105" s="10" t="s">
        <v>322</v>
      </c>
      <c r="L105" s="10" t="s">
        <v>54</v>
      </c>
    </row>
    <row r="106" spans="1:12" x14ac:dyDescent="0.25">
      <c r="A106">
        <v>149</v>
      </c>
      <c r="B106" s="10" t="s">
        <v>746</v>
      </c>
      <c r="C106" s="10" t="s">
        <v>66</v>
      </c>
      <c r="D106" s="10" t="s">
        <v>190</v>
      </c>
      <c r="E106" s="10" t="s">
        <v>191</v>
      </c>
      <c r="F106" s="10" t="s">
        <v>73</v>
      </c>
      <c r="G106" s="10" t="s">
        <v>68</v>
      </c>
      <c r="H106" s="10" t="s">
        <v>65</v>
      </c>
      <c r="I106" s="10" t="s">
        <v>16</v>
      </c>
      <c r="J106" s="10" t="s">
        <v>751</v>
      </c>
      <c r="K106" s="10" t="s">
        <v>752</v>
      </c>
      <c r="L106" s="10" t="s">
        <v>67</v>
      </c>
    </row>
    <row r="107" spans="1:12" x14ac:dyDescent="0.25">
      <c r="A107">
        <v>149</v>
      </c>
      <c r="B107" s="10" t="s">
        <v>746</v>
      </c>
      <c r="C107" s="10" t="s">
        <v>66</v>
      </c>
      <c r="D107" s="10" t="s">
        <v>190</v>
      </c>
      <c r="E107" s="10" t="s">
        <v>191</v>
      </c>
      <c r="F107" s="10" t="s">
        <v>74</v>
      </c>
      <c r="G107" s="10" t="s">
        <v>68</v>
      </c>
      <c r="H107" s="10" t="s">
        <v>65</v>
      </c>
      <c r="I107" s="10" t="s">
        <v>16</v>
      </c>
      <c r="J107" s="10" t="s">
        <v>753</v>
      </c>
      <c r="K107" s="10" t="s">
        <v>754</v>
      </c>
      <c r="L107" s="10" t="s">
        <v>67</v>
      </c>
    </row>
    <row r="108" spans="1:12" x14ac:dyDescent="0.25">
      <c r="A108">
        <v>149</v>
      </c>
      <c r="B108" s="10" t="s">
        <v>746</v>
      </c>
      <c r="C108" s="10" t="s">
        <v>66</v>
      </c>
      <c r="D108" s="10" t="s">
        <v>190</v>
      </c>
      <c r="E108" s="10" t="s">
        <v>191</v>
      </c>
      <c r="F108" s="10" t="s">
        <v>75</v>
      </c>
      <c r="G108" s="10" t="s">
        <v>68</v>
      </c>
      <c r="H108" s="10" t="s">
        <v>72</v>
      </c>
      <c r="I108" s="10" t="s">
        <v>18</v>
      </c>
      <c r="J108" s="10" t="s">
        <v>54</v>
      </c>
      <c r="K108" s="10" t="s">
        <v>54</v>
      </c>
      <c r="L108" s="10" t="s">
        <v>54</v>
      </c>
    </row>
    <row r="109" spans="1:12" x14ac:dyDescent="0.25">
      <c r="A109">
        <v>149</v>
      </c>
      <c r="B109" s="10" t="s">
        <v>746</v>
      </c>
      <c r="C109" s="10" t="s">
        <v>66</v>
      </c>
      <c r="D109" s="10" t="s">
        <v>190</v>
      </c>
      <c r="E109" s="10" t="s">
        <v>191</v>
      </c>
      <c r="F109" s="10" t="s">
        <v>76</v>
      </c>
      <c r="G109" s="10" t="s">
        <v>77</v>
      </c>
      <c r="H109" s="10" t="s">
        <v>65</v>
      </c>
      <c r="I109" s="10" t="s">
        <v>16</v>
      </c>
      <c r="J109" s="10" t="s">
        <v>755</v>
      </c>
      <c r="K109" s="10" t="s">
        <v>568</v>
      </c>
      <c r="L109" s="10" t="s">
        <v>67</v>
      </c>
    </row>
    <row r="110" spans="1:12" x14ac:dyDescent="0.25">
      <c r="A110">
        <v>149</v>
      </c>
      <c r="B110" s="10" t="s">
        <v>746</v>
      </c>
      <c r="C110" s="10" t="s">
        <v>66</v>
      </c>
      <c r="D110" s="10" t="s">
        <v>190</v>
      </c>
      <c r="E110" s="10" t="s">
        <v>191</v>
      </c>
      <c r="F110" s="10" t="s">
        <v>78</v>
      </c>
      <c r="G110" s="10" t="s">
        <v>77</v>
      </c>
      <c r="H110" s="10" t="s">
        <v>65</v>
      </c>
      <c r="I110" s="10" t="s">
        <v>16</v>
      </c>
      <c r="J110" s="10" t="s">
        <v>79</v>
      </c>
      <c r="K110" s="10" t="s">
        <v>631</v>
      </c>
      <c r="L110" s="10" t="s">
        <v>67</v>
      </c>
    </row>
    <row r="111" spans="1:12" x14ac:dyDescent="0.25">
      <c r="A111">
        <v>149</v>
      </c>
      <c r="B111" s="10" t="s">
        <v>746</v>
      </c>
      <c r="C111" s="10" t="s">
        <v>66</v>
      </c>
      <c r="D111" s="10" t="s">
        <v>190</v>
      </c>
      <c r="E111" s="10" t="s">
        <v>191</v>
      </c>
      <c r="F111" s="10" t="s">
        <v>80</v>
      </c>
      <c r="G111" s="10" t="s">
        <v>77</v>
      </c>
      <c r="H111" s="10" t="s">
        <v>65</v>
      </c>
      <c r="I111" s="10" t="s">
        <v>16</v>
      </c>
      <c r="J111" s="10" t="s">
        <v>79</v>
      </c>
      <c r="K111" s="10" t="s">
        <v>338</v>
      </c>
      <c r="L111" s="10" t="s">
        <v>67</v>
      </c>
    </row>
    <row r="112" spans="1:12" x14ac:dyDescent="0.25">
      <c r="A112">
        <v>149</v>
      </c>
      <c r="B112" s="10" t="s">
        <v>746</v>
      </c>
      <c r="C112" s="10" t="s">
        <v>66</v>
      </c>
      <c r="D112" s="10" t="s">
        <v>190</v>
      </c>
      <c r="E112" s="10" t="s">
        <v>191</v>
      </c>
      <c r="F112" s="10" t="s">
        <v>81</v>
      </c>
      <c r="G112" s="10" t="s">
        <v>77</v>
      </c>
      <c r="H112" s="10" t="s">
        <v>65</v>
      </c>
      <c r="I112" s="10" t="s">
        <v>16</v>
      </c>
      <c r="J112" s="10" t="s">
        <v>565</v>
      </c>
      <c r="K112" s="10" t="s">
        <v>566</v>
      </c>
      <c r="L112" s="10" t="s">
        <v>67</v>
      </c>
    </row>
    <row r="113" spans="1:12" x14ac:dyDescent="0.25">
      <c r="A113">
        <v>149</v>
      </c>
      <c r="B113" s="10" t="s">
        <v>746</v>
      </c>
      <c r="C113" s="10" t="s">
        <v>66</v>
      </c>
      <c r="D113" s="10" t="s">
        <v>190</v>
      </c>
      <c r="E113" s="10" t="s">
        <v>191</v>
      </c>
      <c r="F113" s="10" t="s">
        <v>82</v>
      </c>
      <c r="G113" s="10" t="s">
        <v>83</v>
      </c>
      <c r="H113" s="10" t="s">
        <v>65</v>
      </c>
      <c r="I113" s="10" t="s">
        <v>16</v>
      </c>
      <c r="J113" s="10" t="s">
        <v>499</v>
      </c>
      <c r="K113" s="10" t="s">
        <v>500</v>
      </c>
      <c r="L113" s="10" t="s">
        <v>67</v>
      </c>
    </row>
    <row r="114" spans="1:12" x14ac:dyDescent="0.25">
      <c r="A114">
        <v>149</v>
      </c>
      <c r="B114" s="10" t="s">
        <v>746</v>
      </c>
      <c r="C114" s="10" t="s">
        <v>66</v>
      </c>
      <c r="D114" s="10" t="s">
        <v>190</v>
      </c>
      <c r="E114" s="10" t="s">
        <v>191</v>
      </c>
      <c r="F114" s="10" t="s">
        <v>84</v>
      </c>
      <c r="G114" s="10" t="s">
        <v>83</v>
      </c>
      <c r="H114" s="10" t="s">
        <v>65</v>
      </c>
      <c r="I114" s="10" t="s">
        <v>16</v>
      </c>
      <c r="J114" s="10" t="s">
        <v>756</v>
      </c>
      <c r="K114" s="10" t="s">
        <v>757</v>
      </c>
      <c r="L114" s="10" t="s">
        <v>67</v>
      </c>
    </row>
    <row r="115" spans="1:12" x14ac:dyDescent="0.25">
      <c r="A115">
        <v>149</v>
      </c>
      <c r="B115" s="10" t="s">
        <v>746</v>
      </c>
      <c r="C115" s="10" t="s">
        <v>66</v>
      </c>
      <c r="D115" s="10" t="s">
        <v>190</v>
      </c>
      <c r="E115" s="10" t="s">
        <v>191</v>
      </c>
      <c r="F115" s="10" t="s">
        <v>85</v>
      </c>
      <c r="G115" s="10" t="s">
        <v>86</v>
      </c>
      <c r="H115" s="10" t="s">
        <v>65</v>
      </c>
      <c r="I115" s="10" t="s">
        <v>16</v>
      </c>
      <c r="J115" s="10" t="s">
        <v>79</v>
      </c>
      <c r="K115" s="10" t="s">
        <v>758</v>
      </c>
      <c r="L115" s="10" t="s">
        <v>67</v>
      </c>
    </row>
    <row r="116" spans="1:12" x14ac:dyDescent="0.25">
      <c r="A116">
        <v>149</v>
      </c>
      <c r="B116" s="10" t="s">
        <v>746</v>
      </c>
      <c r="C116" s="10" t="s">
        <v>66</v>
      </c>
      <c r="D116" s="10" t="s">
        <v>190</v>
      </c>
      <c r="E116" s="10" t="s">
        <v>191</v>
      </c>
      <c r="F116" s="10" t="s">
        <v>87</v>
      </c>
      <c r="G116" s="10" t="s">
        <v>86</v>
      </c>
      <c r="H116" s="10" t="s">
        <v>65</v>
      </c>
      <c r="I116" s="10" t="s">
        <v>16</v>
      </c>
      <c r="J116" s="10" t="s">
        <v>79</v>
      </c>
      <c r="K116" s="10" t="s">
        <v>339</v>
      </c>
      <c r="L116" s="10" t="s">
        <v>67</v>
      </c>
    </row>
    <row r="117" spans="1:12" x14ac:dyDescent="0.25">
      <c r="A117">
        <v>149</v>
      </c>
      <c r="B117" s="10" t="s">
        <v>746</v>
      </c>
      <c r="C117" s="10" t="s">
        <v>66</v>
      </c>
      <c r="D117" s="10" t="s">
        <v>190</v>
      </c>
      <c r="E117" s="10" t="s">
        <v>191</v>
      </c>
      <c r="F117" s="10" t="s">
        <v>88</v>
      </c>
      <c r="G117" s="10" t="s">
        <v>86</v>
      </c>
      <c r="H117" s="10" t="s">
        <v>65</v>
      </c>
      <c r="I117" s="10" t="s">
        <v>16</v>
      </c>
      <c r="J117" s="10" t="s">
        <v>79</v>
      </c>
      <c r="K117" s="10" t="s">
        <v>340</v>
      </c>
      <c r="L117" s="10" t="s">
        <v>67</v>
      </c>
    </row>
    <row r="118" spans="1:12" x14ac:dyDescent="0.25">
      <c r="A118">
        <v>149</v>
      </c>
      <c r="B118" s="10" t="s">
        <v>746</v>
      </c>
      <c r="C118" s="10" t="s">
        <v>66</v>
      </c>
      <c r="D118" s="10" t="s">
        <v>190</v>
      </c>
      <c r="E118" s="10" t="s">
        <v>191</v>
      </c>
      <c r="F118" s="10" t="s">
        <v>89</v>
      </c>
      <c r="G118" s="10" t="s">
        <v>86</v>
      </c>
      <c r="H118" s="10" t="s">
        <v>65</v>
      </c>
      <c r="I118" s="10" t="s">
        <v>16</v>
      </c>
      <c r="J118" s="10" t="s">
        <v>79</v>
      </c>
      <c r="K118" s="10" t="s">
        <v>342</v>
      </c>
      <c r="L118" s="10" t="s">
        <v>67</v>
      </c>
    </row>
    <row r="119" spans="1:12" x14ac:dyDescent="0.25">
      <c r="A119">
        <v>149</v>
      </c>
      <c r="B119" s="10" t="s">
        <v>746</v>
      </c>
      <c r="C119" s="10" t="s">
        <v>66</v>
      </c>
      <c r="D119" s="10" t="s">
        <v>190</v>
      </c>
      <c r="E119" s="10" t="s">
        <v>191</v>
      </c>
      <c r="F119" s="10" t="s">
        <v>90</v>
      </c>
      <c r="G119" s="10" t="s">
        <v>86</v>
      </c>
      <c r="H119" s="10" t="s">
        <v>65</v>
      </c>
      <c r="I119" s="10" t="s">
        <v>16</v>
      </c>
      <c r="J119" s="10" t="s">
        <v>79</v>
      </c>
      <c r="K119" s="10" t="s">
        <v>759</v>
      </c>
      <c r="L119" s="10" t="s">
        <v>67</v>
      </c>
    </row>
    <row r="120" spans="1:12" x14ac:dyDescent="0.25">
      <c r="A120">
        <v>149</v>
      </c>
      <c r="B120" s="10" t="s">
        <v>746</v>
      </c>
      <c r="C120" s="10" t="s">
        <v>66</v>
      </c>
      <c r="D120" s="10" t="s">
        <v>190</v>
      </c>
      <c r="E120" s="10" t="s">
        <v>191</v>
      </c>
      <c r="F120" s="10" t="s">
        <v>91</v>
      </c>
      <c r="G120" s="10" t="s">
        <v>86</v>
      </c>
      <c r="H120" s="10" t="s">
        <v>65</v>
      </c>
      <c r="I120" s="10" t="s">
        <v>16</v>
      </c>
      <c r="J120" s="10" t="s">
        <v>79</v>
      </c>
      <c r="K120" s="10" t="s">
        <v>760</v>
      </c>
      <c r="L120" s="10" t="s">
        <v>67</v>
      </c>
    </row>
    <row r="121" spans="1:12" x14ac:dyDescent="0.25">
      <c r="A121">
        <v>149</v>
      </c>
      <c r="B121" s="10" t="s">
        <v>746</v>
      </c>
      <c r="C121" s="10" t="s">
        <v>66</v>
      </c>
      <c r="D121" s="10" t="s">
        <v>190</v>
      </c>
      <c r="E121" s="10" t="s">
        <v>191</v>
      </c>
      <c r="F121" s="10" t="s">
        <v>92</v>
      </c>
      <c r="G121" s="10" t="s">
        <v>86</v>
      </c>
      <c r="H121" s="10" t="s">
        <v>65</v>
      </c>
      <c r="I121" s="10" t="s">
        <v>16</v>
      </c>
      <c r="J121" s="10" t="s">
        <v>761</v>
      </c>
      <c r="K121" s="10" t="s">
        <v>762</v>
      </c>
      <c r="L121" s="10" t="s">
        <v>67</v>
      </c>
    </row>
    <row r="122" spans="1:12" x14ac:dyDescent="0.25">
      <c r="A122">
        <v>149</v>
      </c>
      <c r="B122" s="10" t="s">
        <v>746</v>
      </c>
      <c r="C122" s="10" t="s">
        <v>66</v>
      </c>
      <c r="D122" s="10" t="s">
        <v>190</v>
      </c>
      <c r="E122" s="10" t="s">
        <v>191</v>
      </c>
      <c r="F122" s="10" t="s">
        <v>93</v>
      </c>
      <c r="G122" s="10" t="s">
        <v>94</v>
      </c>
      <c r="H122" s="10" t="s">
        <v>65</v>
      </c>
      <c r="I122" s="10" t="s">
        <v>16</v>
      </c>
      <c r="J122" s="10" t="s">
        <v>763</v>
      </c>
      <c r="K122" s="10" t="s">
        <v>764</v>
      </c>
      <c r="L122" s="10" t="s">
        <v>67</v>
      </c>
    </row>
    <row r="123" spans="1:12" x14ac:dyDescent="0.25">
      <c r="A123">
        <v>149</v>
      </c>
      <c r="B123" s="10" t="s">
        <v>746</v>
      </c>
      <c r="C123" s="10" t="s">
        <v>66</v>
      </c>
      <c r="D123" s="10" t="s">
        <v>190</v>
      </c>
      <c r="E123" s="10" t="s">
        <v>191</v>
      </c>
      <c r="F123" s="10" t="s">
        <v>95</v>
      </c>
      <c r="G123" s="10" t="s">
        <v>94</v>
      </c>
      <c r="H123" s="10" t="s">
        <v>65</v>
      </c>
      <c r="I123" s="10" t="s">
        <v>16</v>
      </c>
      <c r="J123" s="10" t="s">
        <v>763</v>
      </c>
      <c r="K123" s="10" t="s">
        <v>764</v>
      </c>
      <c r="L123" s="10" t="s">
        <v>67</v>
      </c>
    </row>
    <row r="124" spans="1:12" x14ac:dyDescent="0.25">
      <c r="A124">
        <v>149</v>
      </c>
      <c r="B124" s="10" t="s">
        <v>746</v>
      </c>
      <c r="C124" s="10" t="s">
        <v>66</v>
      </c>
      <c r="D124" s="10" t="s">
        <v>190</v>
      </c>
      <c r="E124" s="10" t="s">
        <v>191</v>
      </c>
      <c r="F124" s="10" t="s">
        <v>96</v>
      </c>
      <c r="G124" s="10" t="s">
        <v>94</v>
      </c>
      <c r="H124" s="10" t="s">
        <v>65</v>
      </c>
      <c r="I124" s="10" t="s">
        <v>16</v>
      </c>
      <c r="J124" s="10" t="s">
        <v>79</v>
      </c>
      <c r="K124" s="10" t="s">
        <v>765</v>
      </c>
      <c r="L124" s="10" t="s">
        <v>67</v>
      </c>
    </row>
    <row r="125" spans="1:12" x14ac:dyDescent="0.25">
      <c r="A125">
        <v>149</v>
      </c>
      <c r="B125" s="10" t="s">
        <v>746</v>
      </c>
      <c r="C125" s="10" t="s">
        <v>66</v>
      </c>
      <c r="D125" s="10" t="s">
        <v>190</v>
      </c>
      <c r="E125" s="10" t="s">
        <v>191</v>
      </c>
      <c r="F125" s="10" t="s">
        <v>97</v>
      </c>
      <c r="G125" s="10" t="s">
        <v>98</v>
      </c>
      <c r="H125" s="10" t="s">
        <v>65</v>
      </c>
      <c r="I125" s="10" t="s">
        <v>16</v>
      </c>
      <c r="J125" s="10" t="s">
        <v>556</v>
      </c>
      <c r="K125" s="10" t="s">
        <v>557</v>
      </c>
      <c r="L125" s="10" t="s">
        <v>67</v>
      </c>
    </row>
    <row r="126" spans="1:12" x14ac:dyDescent="0.25">
      <c r="A126">
        <v>149</v>
      </c>
      <c r="B126" s="10" t="s">
        <v>746</v>
      </c>
      <c r="C126" s="10" t="s">
        <v>66</v>
      </c>
      <c r="D126" s="10" t="s">
        <v>190</v>
      </c>
      <c r="E126" s="10" t="s">
        <v>191</v>
      </c>
      <c r="F126" s="10" t="s">
        <v>99</v>
      </c>
      <c r="G126" s="10" t="s">
        <v>98</v>
      </c>
      <c r="H126" s="10" t="s">
        <v>65</v>
      </c>
      <c r="I126" s="10" t="s">
        <v>16</v>
      </c>
      <c r="J126" s="10" t="s">
        <v>766</v>
      </c>
      <c r="K126" s="10" t="s">
        <v>767</v>
      </c>
      <c r="L126" s="10" t="s">
        <v>67</v>
      </c>
    </row>
    <row r="127" spans="1:12" x14ac:dyDescent="0.25">
      <c r="A127">
        <v>149</v>
      </c>
      <c r="B127" s="10" t="s">
        <v>746</v>
      </c>
      <c r="C127" s="10" t="s">
        <v>66</v>
      </c>
      <c r="D127" s="10" t="s">
        <v>190</v>
      </c>
      <c r="E127" s="10" t="s">
        <v>191</v>
      </c>
      <c r="F127" s="10" t="s">
        <v>100</v>
      </c>
      <c r="G127" s="10" t="s">
        <v>98</v>
      </c>
      <c r="H127" s="10" t="s">
        <v>65</v>
      </c>
      <c r="I127" s="10" t="s">
        <v>16</v>
      </c>
      <c r="J127" s="10" t="s">
        <v>766</v>
      </c>
      <c r="K127" s="10" t="s">
        <v>767</v>
      </c>
      <c r="L127" s="10" t="s">
        <v>67</v>
      </c>
    </row>
    <row r="128" spans="1:12" x14ac:dyDescent="0.25">
      <c r="A128">
        <v>149</v>
      </c>
      <c r="B128" s="10" t="s">
        <v>746</v>
      </c>
      <c r="C128" s="10" t="s">
        <v>66</v>
      </c>
      <c r="D128" s="10" t="s">
        <v>190</v>
      </c>
      <c r="E128" s="10" t="s">
        <v>191</v>
      </c>
      <c r="F128" s="10" t="s">
        <v>101</v>
      </c>
      <c r="G128" s="10" t="s">
        <v>102</v>
      </c>
      <c r="H128" s="10" t="s">
        <v>65</v>
      </c>
      <c r="I128" s="10" t="s">
        <v>16</v>
      </c>
      <c r="J128" s="10" t="s">
        <v>79</v>
      </c>
      <c r="K128" s="10" t="s">
        <v>350</v>
      </c>
      <c r="L128" s="10" t="s">
        <v>67</v>
      </c>
    </row>
    <row r="129" spans="1:12" x14ac:dyDescent="0.25">
      <c r="A129">
        <v>149</v>
      </c>
      <c r="B129" s="10" t="s">
        <v>746</v>
      </c>
      <c r="C129" s="10" t="s">
        <v>66</v>
      </c>
      <c r="D129" s="10" t="s">
        <v>190</v>
      </c>
      <c r="E129" s="10" t="s">
        <v>191</v>
      </c>
      <c r="F129" s="10" t="s">
        <v>103</v>
      </c>
      <c r="G129" s="10" t="s">
        <v>102</v>
      </c>
      <c r="H129" s="10" t="s">
        <v>65</v>
      </c>
      <c r="I129" s="10" t="s">
        <v>16</v>
      </c>
      <c r="J129" s="10" t="s">
        <v>768</v>
      </c>
      <c r="K129" s="10" t="s">
        <v>769</v>
      </c>
      <c r="L129" s="10" t="s">
        <v>67</v>
      </c>
    </row>
    <row r="130" spans="1:12" x14ac:dyDescent="0.25">
      <c r="A130">
        <v>149</v>
      </c>
      <c r="B130" s="10" t="s">
        <v>746</v>
      </c>
      <c r="C130" s="10" t="s">
        <v>66</v>
      </c>
      <c r="D130" s="10" t="s">
        <v>190</v>
      </c>
      <c r="E130" s="10" t="s">
        <v>191</v>
      </c>
      <c r="F130" s="10" t="s">
        <v>104</v>
      </c>
      <c r="G130" s="10" t="s">
        <v>105</v>
      </c>
      <c r="H130" s="10" t="s">
        <v>65</v>
      </c>
      <c r="I130" s="10" t="s">
        <v>16</v>
      </c>
      <c r="J130" s="10" t="s">
        <v>715</v>
      </c>
      <c r="K130" s="10" t="s">
        <v>770</v>
      </c>
      <c r="L130" s="10" t="s">
        <v>67</v>
      </c>
    </row>
    <row r="131" spans="1:12" x14ac:dyDescent="0.25">
      <c r="A131">
        <v>149</v>
      </c>
      <c r="B131" s="10" t="s">
        <v>746</v>
      </c>
      <c r="C131" s="10" t="s">
        <v>66</v>
      </c>
      <c r="D131" s="10" t="s">
        <v>190</v>
      </c>
      <c r="E131" s="10" t="s">
        <v>191</v>
      </c>
      <c r="F131" s="10" t="s">
        <v>106</v>
      </c>
      <c r="G131" s="10" t="s">
        <v>105</v>
      </c>
      <c r="H131" s="10" t="s">
        <v>65</v>
      </c>
      <c r="I131" s="10" t="s">
        <v>16</v>
      </c>
      <c r="J131" s="10" t="s">
        <v>346</v>
      </c>
      <c r="K131" s="10" t="s">
        <v>347</v>
      </c>
      <c r="L131" s="10" t="s">
        <v>67</v>
      </c>
    </row>
    <row r="132" spans="1:12" x14ac:dyDescent="0.25">
      <c r="A132">
        <v>149</v>
      </c>
      <c r="B132" s="10" t="s">
        <v>746</v>
      </c>
      <c r="C132" s="10" t="s">
        <v>66</v>
      </c>
      <c r="D132" s="10" t="s">
        <v>190</v>
      </c>
      <c r="E132" s="10" t="s">
        <v>191</v>
      </c>
      <c r="F132" s="10" t="s">
        <v>107</v>
      </c>
      <c r="G132" s="10" t="s">
        <v>105</v>
      </c>
      <c r="H132" s="10" t="s">
        <v>65</v>
      </c>
      <c r="I132" s="10" t="s">
        <v>16</v>
      </c>
      <c r="J132" s="10" t="s">
        <v>355</v>
      </c>
      <c r="K132" s="10" t="s">
        <v>347</v>
      </c>
      <c r="L132" s="10" t="s">
        <v>67</v>
      </c>
    </row>
    <row r="133" spans="1:12" x14ac:dyDescent="0.25">
      <c r="A133">
        <v>149</v>
      </c>
      <c r="B133" s="10" t="s">
        <v>746</v>
      </c>
      <c r="C133" s="10" t="s">
        <v>66</v>
      </c>
      <c r="D133" s="10" t="s">
        <v>190</v>
      </c>
      <c r="E133" s="10" t="s">
        <v>191</v>
      </c>
      <c r="F133" s="10" t="s">
        <v>108</v>
      </c>
      <c r="G133" s="10" t="s">
        <v>105</v>
      </c>
      <c r="H133" s="10" t="s">
        <v>65</v>
      </c>
      <c r="I133" s="10" t="s">
        <v>24</v>
      </c>
      <c r="J133" s="10" t="s">
        <v>323</v>
      </c>
      <c r="K133" s="10" t="s">
        <v>771</v>
      </c>
      <c r="L133" s="10" t="s">
        <v>67</v>
      </c>
    </row>
    <row r="134" spans="1:12" x14ac:dyDescent="0.25">
      <c r="A134">
        <v>149</v>
      </c>
      <c r="B134" s="10" t="s">
        <v>746</v>
      </c>
      <c r="C134" s="10" t="s">
        <v>66</v>
      </c>
      <c r="D134" s="10" t="s">
        <v>190</v>
      </c>
      <c r="E134" s="10" t="s">
        <v>191</v>
      </c>
      <c r="F134" s="10" t="s">
        <v>109</v>
      </c>
      <c r="G134" s="10" t="s">
        <v>105</v>
      </c>
      <c r="H134" s="10" t="s">
        <v>65</v>
      </c>
      <c r="I134" s="10" t="s">
        <v>16</v>
      </c>
      <c r="J134" s="10" t="s">
        <v>715</v>
      </c>
      <c r="K134" s="10" t="s">
        <v>770</v>
      </c>
      <c r="L134" s="10" t="s">
        <v>67</v>
      </c>
    </row>
    <row r="135" spans="1:12" x14ac:dyDescent="0.25">
      <c r="A135">
        <v>149</v>
      </c>
      <c r="B135" s="10" t="s">
        <v>746</v>
      </c>
      <c r="C135" s="10" t="s">
        <v>66</v>
      </c>
      <c r="D135" s="10" t="s">
        <v>190</v>
      </c>
      <c r="E135" s="10" t="s">
        <v>191</v>
      </c>
      <c r="F135" s="10" t="s">
        <v>110</v>
      </c>
      <c r="G135" s="10" t="s">
        <v>105</v>
      </c>
      <c r="H135" s="10" t="s">
        <v>65</v>
      </c>
      <c r="I135" s="10" t="s">
        <v>16</v>
      </c>
      <c r="J135" s="10" t="s">
        <v>79</v>
      </c>
      <c r="K135" s="10" t="s">
        <v>446</v>
      </c>
      <c r="L135" s="10" t="s">
        <v>67</v>
      </c>
    </row>
    <row r="136" spans="1:12" x14ac:dyDescent="0.25">
      <c r="A136">
        <v>149</v>
      </c>
      <c r="B136" s="10" t="s">
        <v>746</v>
      </c>
      <c r="C136" s="10" t="s">
        <v>66</v>
      </c>
      <c r="D136" s="10" t="s">
        <v>190</v>
      </c>
      <c r="E136" s="10" t="s">
        <v>191</v>
      </c>
      <c r="F136" s="10" t="s">
        <v>111</v>
      </c>
      <c r="G136" s="10" t="s">
        <v>105</v>
      </c>
      <c r="H136" s="10" t="s">
        <v>65</v>
      </c>
      <c r="I136" s="10" t="s">
        <v>16</v>
      </c>
      <c r="J136" s="10" t="s">
        <v>772</v>
      </c>
      <c r="K136" s="10" t="s">
        <v>773</v>
      </c>
      <c r="L136" s="10" t="s">
        <v>67</v>
      </c>
    </row>
    <row r="137" spans="1:12" x14ac:dyDescent="0.25">
      <c r="A137">
        <v>149</v>
      </c>
      <c r="B137" s="10" t="s">
        <v>746</v>
      </c>
      <c r="C137" s="10" t="s">
        <v>66</v>
      </c>
      <c r="D137" s="10" t="s">
        <v>190</v>
      </c>
      <c r="E137" s="10" t="s">
        <v>191</v>
      </c>
      <c r="F137" s="10" t="s">
        <v>112</v>
      </c>
      <c r="G137" s="10" t="s">
        <v>105</v>
      </c>
      <c r="H137" s="10" t="s">
        <v>65</v>
      </c>
      <c r="I137" s="10" t="s">
        <v>16</v>
      </c>
      <c r="J137" s="10" t="s">
        <v>772</v>
      </c>
      <c r="K137" s="10" t="s">
        <v>773</v>
      </c>
      <c r="L137" s="10" t="s">
        <v>67</v>
      </c>
    </row>
    <row r="138" spans="1:12" x14ac:dyDescent="0.25">
      <c r="A138">
        <v>149</v>
      </c>
      <c r="B138" s="10" t="s">
        <v>746</v>
      </c>
      <c r="C138" s="10" t="s">
        <v>66</v>
      </c>
      <c r="D138" s="10" t="s">
        <v>190</v>
      </c>
      <c r="E138" s="10" t="s">
        <v>191</v>
      </c>
      <c r="F138" s="10" t="s">
        <v>113</v>
      </c>
      <c r="G138" s="10" t="s">
        <v>105</v>
      </c>
      <c r="H138" s="10" t="s">
        <v>65</v>
      </c>
      <c r="I138" s="10" t="s">
        <v>16</v>
      </c>
      <c r="J138" s="10" t="s">
        <v>774</v>
      </c>
      <c r="K138" s="10" t="s">
        <v>775</v>
      </c>
      <c r="L138" s="10" t="s">
        <v>67</v>
      </c>
    </row>
    <row r="139" spans="1:12" x14ac:dyDescent="0.25">
      <c r="A139">
        <v>172</v>
      </c>
      <c r="B139" s="10" t="s">
        <v>647</v>
      </c>
      <c r="C139" s="10" t="s">
        <v>164</v>
      </c>
      <c r="D139" s="10" t="s">
        <v>173</v>
      </c>
      <c r="E139" s="10" t="s">
        <v>174</v>
      </c>
      <c r="F139" s="10" t="s">
        <v>71</v>
      </c>
      <c r="G139" s="10" t="s">
        <v>68</v>
      </c>
      <c r="H139" s="10" t="s">
        <v>72</v>
      </c>
      <c r="I139" s="10" t="s">
        <v>18</v>
      </c>
      <c r="J139" s="10" t="s">
        <v>54</v>
      </c>
      <c r="K139" s="10" t="s">
        <v>54</v>
      </c>
      <c r="L139" s="10" t="s">
        <v>54</v>
      </c>
    </row>
    <row r="140" spans="1:12" x14ac:dyDescent="0.25">
      <c r="A140">
        <v>172</v>
      </c>
      <c r="B140" s="10" t="s">
        <v>647</v>
      </c>
      <c r="C140" s="10" t="s">
        <v>164</v>
      </c>
      <c r="D140" s="10" t="s">
        <v>173</v>
      </c>
      <c r="E140" s="10" t="s">
        <v>174</v>
      </c>
      <c r="F140" s="10" t="s">
        <v>73</v>
      </c>
      <c r="G140" s="10" t="s">
        <v>68</v>
      </c>
      <c r="H140" s="10" t="s">
        <v>65</v>
      </c>
      <c r="I140" s="10" t="s">
        <v>16</v>
      </c>
      <c r="J140" s="10" t="s">
        <v>648</v>
      </c>
      <c r="K140" s="10" t="s">
        <v>649</v>
      </c>
      <c r="L140" s="10" t="s">
        <v>67</v>
      </c>
    </row>
    <row r="141" spans="1:12" x14ac:dyDescent="0.25">
      <c r="A141">
        <v>172</v>
      </c>
      <c r="B141" s="10" t="s">
        <v>647</v>
      </c>
      <c r="C141" s="10" t="s">
        <v>164</v>
      </c>
      <c r="D141" s="10" t="s">
        <v>173</v>
      </c>
      <c r="E141" s="10" t="s">
        <v>174</v>
      </c>
      <c r="F141" s="10" t="s">
        <v>74</v>
      </c>
      <c r="G141" s="10" t="s">
        <v>68</v>
      </c>
      <c r="H141" s="10" t="s">
        <v>65</v>
      </c>
      <c r="I141" s="10" t="s">
        <v>16</v>
      </c>
      <c r="J141" s="10" t="s">
        <v>404</v>
      </c>
      <c r="K141" s="10" t="s">
        <v>646</v>
      </c>
      <c r="L141" s="10" t="s">
        <v>67</v>
      </c>
    </row>
    <row r="142" spans="1:12" x14ac:dyDescent="0.25">
      <c r="A142">
        <v>172</v>
      </c>
      <c r="B142" s="10" t="s">
        <v>647</v>
      </c>
      <c r="C142" s="10" t="s">
        <v>164</v>
      </c>
      <c r="D142" s="10" t="s">
        <v>173</v>
      </c>
      <c r="E142" s="10" t="s">
        <v>174</v>
      </c>
      <c r="F142" s="10" t="s">
        <v>75</v>
      </c>
      <c r="G142" s="10" t="s">
        <v>68</v>
      </c>
      <c r="H142" s="10" t="s">
        <v>72</v>
      </c>
      <c r="I142" s="10" t="s">
        <v>25</v>
      </c>
      <c r="J142" s="10" t="s">
        <v>650</v>
      </c>
      <c r="K142" s="10" t="s">
        <v>646</v>
      </c>
      <c r="L142" s="10" t="s">
        <v>67</v>
      </c>
    </row>
    <row r="143" spans="1:12" x14ac:dyDescent="0.25">
      <c r="A143">
        <v>172</v>
      </c>
      <c r="B143" s="10" t="s">
        <v>647</v>
      </c>
      <c r="C143" s="10" t="s">
        <v>164</v>
      </c>
      <c r="D143" s="10" t="s">
        <v>173</v>
      </c>
      <c r="E143" s="10" t="s">
        <v>174</v>
      </c>
      <c r="F143" s="10" t="s">
        <v>76</v>
      </c>
      <c r="G143" s="10" t="s">
        <v>77</v>
      </c>
      <c r="H143" s="10" t="s">
        <v>65</v>
      </c>
      <c r="I143" s="10" t="s">
        <v>16</v>
      </c>
      <c r="J143" s="10" t="s">
        <v>555</v>
      </c>
      <c r="K143" s="10" t="s">
        <v>651</v>
      </c>
      <c r="L143" s="10" t="s">
        <v>67</v>
      </c>
    </row>
    <row r="144" spans="1:12" x14ac:dyDescent="0.25">
      <c r="A144">
        <v>172</v>
      </c>
      <c r="B144" s="10" t="s">
        <v>647</v>
      </c>
      <c r="C144" s="10" t="s">
        <v>164</v>
      </c>
      <c r="D144" s="10" t="s">
        <v>173</v>
      </c>
      <c r="E144" s="10" t="s">
        <v>174</v>
      </c>
      <c r="F144" s="10" t="s">
        <v>80</v>
      </c>
      <c r="G144" s="10" t="s">
        <v>77</v>
      </c>
      <c r="H144" s="10" t="s">
        <v>65</v>
      </c>
      <c r="I144" s="10" t="s">
        <v>16</v>
      </c>
      <c r="J144" s="10" t="s">
        <v>79</v>
      </c>
      <c r="K144" s="10" t="s">
        <v>631</v>
      </c>
      <c r="L144" s="10" t="s">
        <v>67</v>
      </c>
    </row>
    <row r="145" spans="1:12" x14ac:dyDescent="0.25">
      <c r="A145">
        <v>172</v>
      </c>
      <c r="B145" s="10" t="s">
        <v>647</v>
      </c>
      <c r="C145" s="10" t="s">
        <v>164</v>
      </c>
      <c r="D145" s="10" t="s">
        <v>173</v>
      </c>
      <c r="E145" s="10" t="s">
        <v>174</v>
      </c>
      <c r="F145" s="10" t="s">
        <v>84</v>
      </c>
      <c r="G145" s="10" t="s">
        <v>83</v>
      </c>
      <c r="H145" s="10" t="s">
        <v>65</v>
      </c>
      <c r="I145" s="10" t="s">
        <v>16</v>
      </c>
      <c r="J145" s="10" t="s">
        <v>336</v>
      </c>
      <c r="K145" s="10" t="s">
        <v>337</v>
      </c>
      <c r="L145" s="10" t="s">
        <v>67</v>
      </c>
    </row>
    <row r="146" spans="1:12" x14ac:dyDescent="0.25">
      <c r="A146">
        <v>172</v>
      </c>
      <c r="B146" s="10" t="s">
        <v>647</v>
      </c>
      <c r="C146" s="10" t="s">
        <v>164</v>
      </c>
      <c r="D146" s="10" t="s">
        <v>173</v>
      </c>
      <c r="E146" s="10" t="s">
        <v>174</v>
      </c>
      <c r="F146" s="10" t="s">
        <v>93</v>
      </c>
      <c r="G146" s="10" t="s">
        <v>94</v>
      </c>
      <c r="H146" s="10" t="s">
        <v>65</v>
      </c>
      <c r="I146" s="10" t="s">
        <v>16</v>
      </c>
      <c r="J146" s="10" t="s">
        <v>336</v>
      </c>
      <c r="K146" s="10" t="s">
        <v>337</v>
      </c>
      <c r="L146" s="10" t="s">
        <v>67</v>
      </c>
    </row>
    <row r="147" spans="1:12" x14ac:dyDescent="0.25">
      <c r="A147">
        <v>172</v>
      </c>
      <c r="B147" s="10" t="s">
        <v>647</v>
      </c>
      <c r="C147" s="10" t="s">
        <v>164</v>
      </c>
      <c r="D147" s="10" t="s">
        <v>173</v>
      </c>
      <c r="E147" s="10" t="s">
        <v>174</v>
      </c>
      <c r="F147" s="10" t="s">
        <v>95</v>
      </c>
      <c r="G147" s="10" t="s">
        <v>94</v>
      </c>
      <c r="H147" s="10" t="s">
        <v>65</v>
      </c>
      <c r="I147" s="10" t="s">
        <v>16</v>
      </c>
      <c r="J147" s="10" t="s">
        <v>336</v>
      </c>
      <c r="K147" s="10" t="s">
        <v>337</v>
      </c>
      <c r="L147" s="10" t="s">
        <v>67</v>
      </c>
    </row>
    <row r="148" spans="1:12" x14ac:dyDescent="0.25">
      <c r="A148">
        <v>172</v>
      </c>
      <c r="B148" s="10" t="s">
        <v>647</v>
      </c>
      <c r="C148" s="10" t="s">
        <v>164</v>
      </c>
      <c r="D148" s="10" t="s">
        <v>173</v>
      </c>
      <c r="E148" s="10" t="s">
        <v>174</v>
      </c>
      <c r="F148" s="10" t="s">
        <v>97</v>
      </c>
      <c r="G148" s="10" t="s">
        <v>98</v>
      </c>
      <c r="H148" s="10" t="s">
        <v>65</v>
      </c>
      <c r="I148" s="10" t="s">
        <v>16</v>
      </c>
      <c r="J148" s="10" t="s">
        <v>382</v>
      </c>
      <c r="K148" s="10" t="s">
        <v>360</v>
      </c>
      <c r="L148" s="10" t="s">
        <v>67</v>
      </c>
    </row>
    <row r="149" spans="1:12" x14ac:dyDescent="0.25">
      <c r="A149">
        <v>172</v>
      </c>
      <c r="B149" s="10" t="s">
        <v>647</v>
      </c>
      <c r="C149" s="10" t="s">
        <v>164</v>
      </c>
      <c r="D149" s="10" t="s">
        <v>173</v>
      </c>
      <c r="E149" s="10" t="s">
        <v>174</v>
      </c>
      <c r="F149" s="10" t="s">
        <v>100</v>
      </c>
      <c r="G149" s="10" t="s">
        <v>98</v>
      </c>
      <c r="H149" s="10" t="s">
        <v>72</v>
      </c>
      <c r="I149" s="10" t="s">
        <v>18</v>
      </c>
      <c r="J149" s="10" t="s">
        <v>54</v>
      </c>
      <c r="K149" s="10" t="s">
        <v>54</v>
      </c>
      <c r="L149" s="10" t="s">
        <v>54</v>
      </c>
    </row>
    <row r="150" spans="1:12" x14ac:dyDescent="0.25">
      <c r="A150">
        <v>172</v>
      </c>
      <c r="B150" s="10" t="s">
        <v>647</v>
      </c>
      <c r="C150" s="10" t="s">
        <v>164</v>
      </c>
      <c r="D150" s="10" t="s">
        <v>173</v>
      </c>
      <c r="E150" s="10" t="s">
        <v>174</v>
      </c>
      <c r="F150" s="10" t="s">
        <v>101</v>
      </c>
      <c r="G150" s="10" t="s">
        <v>102</v>
      </c>
      <c r="H150" s="10" t="s">
        <v>65</v>
      </c>
      <c r="I150" s="10" t="s">
        <v>16</v>
      </c>
      <c r="J150" s="10" t="s">
        <v>79</v>
      </c>
      <c r="K150" s="10" t="s">
        <v>383</v>
      </c>
      <c r="L150" s="10" t="s">
        <v>67</v>
      </c>
    </row>
    <row r="151" spans="1:12" x14ac:dyDescent="0.25">
      <c r="A151">
        <v>172</v>
      </c>
      <c r="B151" s="10" t="s">
        <v>647</v>
      </c>
      <c r="C151" s="10" t="s">
        <v>164</v>
      </c>
      <c r="D151" s="10" t="s">
        <v>173</v>
      </c>
      <c r="E151" s="10" t="s">
        <v>174</v>
      </c>
      <c r="F151" s="10" t="s">
        <v>103</v>
      </c>
      <c r="G151" s="10" t="s">
        <v>102</v>
      </c>
      <c r="H151" s="10" t="s">
        <v>65</v>
      </c>
      <c r="I151" s="10" t="s">
        <v>16</v>
      </c>
      <c r="J151" s="10" t="s">
        <v>652</v>
      </c>
      <c r="K151" s="10" t="s">
        <v>653</v>
      </c>
      <c r="L151" s="10" t="s">
        <v>67</v>
      </c>
    </row>
    <row r="152" spans="1:12" x14ac:dyDescent="0.25">
      <c r="A152">
        <v>172</v>
      </c>
      <c r="B152" s="10" t="s">
        <v>647</v>
      </c>
      <c r="C152" s="10" t="s">
        <v>164</v>
      </c>
      <c r="D152" s="10" t="s">
        <v>173</v>
      </c>
      <c r="E152" s="10" t="s">
        <v>174</v>
      </c>
      <c r="F152" s="10" t="s">
        <v>104</v>
      </c>
      <c r="G152" s="10" t="s">
        <v>105</v>
      </c>
      <c r="H152" s="10" t="s">
        <v>65</v>
      </c>
      <c r="I152" s="10" t="s">
        <v>16</v>
      </c>
      <c r="J152" s="10" t="s">
        <v>448</v>
      </c>
      <c r="K152" s="10" t="s">
        <v>449</v>
      </c>
      <c r="L152" s="10" t="s">
        <v>67</v>
      </c>
    </row>
    <row r="153" spans="1:12" x14ac:dyDescent="0.25">
      <c r="A153">
        <v>172</v>
      </c>
      <c r="B153" s="10" t="s">
        <v>647</v>
      </c>
      <c r="C153" s="10" t="s">
        <v>164</v>
      </c>
      <c r="D153" s="10" t="s">
        <v>173</v>
      </c>
      <c r="E153" s="10" t="s">
        <v>174</v>
      </c>
      <c r="F153" s="10" t="s">
        <v>106</v>
      </c>
      <c r="G153" s="10" t="s">
        <v>105</v>
      </c>
      <c r="H153" s="10" t="s">
        <v>65</v>
      </c>
      <c r="I153" s="10" t="s">
        <v>16</v>
      </c>
      <c r="J153" s="10" t="s">
        <v>382</v>
      </c>
      <c r="K153" s="10" t="s">
        <v>360</v>
      </c>
      <c r="L153" s="10" t="s">
        <v>67</v>
      </c>
    </row>
    <row r="154" spans="1:12" x14ac:dyDescent="0.25">
      <c r="A154">
        <v>172</v>
      </c>
      <c r="B154" s="10" t="s">
        <v>647</v>
      </c>
      <c r="C154" s="10" t="s">
        <v>164</v>
      </c>
      <c r="D154" s="10" t="s">
        <v>173</v>
      </c>
      <c r="E154" s="10" t="s">
        <v>174</v>
      </c>
      <c r="F154" s="10" t="s">
        <v>107</v>
      </c>
      <c r="G154" s="10" t="s">
        <v>105</v>
      </c>
      <c r="H154" s="10" t="s">
        <v>65</v>
      </c>
      <c r="I154" s="10" t="s">
        <v>16</v>
      </c>
      <c r="J154" s="10" t="s">
        <v>386</v>
      </c>
      <c r="K154" s="10" t="s">
        <v>360</v>
      </c>
      <c r="L154" s="10" t="s">
        <v>67</v>
      </c>
    </row>
    <row r="155" spans="1:12" x14ac:dyDescent="0.25">
      <c r="A155">
        <v>172</v>
      </c>
      <c r="B155" s="10" t="s">
        <v>647</v>
      </c>
      <c r="C155" s="10" t="s">
        <v>164</v>
      </c>
      <c r="D155" s="10" t="s">
        <v>173</v>
      </c>
      <c r="E155" s="10" t="s">
        <v>174</v>
      </c>
      <c r="F155" s="10" t="s">
        <v>108</v>
      </c>
      <c r="G155" s="10" t="s">
        <v>105</v>
      </c>
      <c r="H155" s="10" t="s">
        <v>65</v>
      </c>
      <c r="I155" s="10" t="s">
        <v>16</v>
      </c>
      <c r="J155" s="10" t="s">
        <v>654</v>
      </c>
      <c r="K155" s="10" t="s">
        <v>655</v>
      </c>
      <c r="L155" s="10" t="s">
        <v>67</v>
      </c>
    </row>
    <row r="156" spans="1:12" x14ac:dyDescent="0.25">
      <c r="A156">
        <v>172</v>
      </c>
      <c r="B156" s="10" t="s">
        <v>647</v>
      </c>
      <c r="C156" s="10" t="s">
        <v>164</v>
      </c>
      <c r="D156" s="10" t="s">
        <v>173</v>
      </c>
      <c r="E156" s="10" t="s">
        <v>174</v>
      </c>
      <c r="F156" s="10" t="s">
        <v>109</v>
      </c>
      <c r="G156" s="10" t="s">
        <v>105</v>
      </c>
      <c r="H156" s="10" t="s">
        <v>65</v>
      </c>
      <c r="I156" s="10" t="s">
        <v>16</v>
      </c>
      <c r="J156" s="10" t="s">
        <v>448</v>
      </c>
      <c r="K156" s="10" t="s">
        <v>449</v>
      </c>
      <c r="L156" s="10" t="s">
        <v>67</v>
      </c>
    </row>
    <row r="157" spans="1:12" x14ac:dyDescent="0.25">
      <c r="A157">
        <v>172</v>
      </c>
      <c r="B157" s="10" t="s">
        <v>647</v>
      </c>
      <c r="C157" s="10" t="s">
        <v>164</v>
      </c>
      <c r="D157" s="10" t="s">
        <v>173</v>
      </c>
      <c r="E157" s="10" t="s">
        <v>174</v>
      </c>
      <c r="F157" s="10" t="s">
        <v>110</v>
      </c>
      <c r="G157" s="10" t="s">
        <v>105</v>
      </c>
      <c r="H157" s="10" t="s">
        <v>65</v>
      </c>
      <c r="I157" s="10" t="s">
        <v>16</v>
      </c>
      <c r="J157" s="10" t="s">
        <v>79</v>
      </c>
      <c r="K157" s="10" t="s">
        <v>360</v>
      </c>
      <c r="L157" s="10" t="s">
        <v>67</v>
      </c>
    </row>
    <row r="158" spans="1:12" x14ac:dyDescent="0.25">
      <c r="A158">
        <v>172</v>
      </c>
      <c r="B158" s="10" t="s">
        <v>647</v>
      </c>
      <c r="C158" s="10" t="s">
        <v>164</v>
      </c>
      <c r="D158" s="10" t="s">
        <v>173</v>
      </c>
      <c r="E158" s="10" t="s">
        <v>174</v>
      </c>
      <c r="F158" s="10" t="s">
        <v>111</v>
      </c>
      <c r="G158" s="10" t="s">
        <v>105</v>
      </c>
      <c r="H158" s="10" t="s">
        <v>65</v>
      </c>
      <c r="I158" s="10" t="s">
        <v>16</v>
      </c>
      <c r="J158" s="10" t="s">
        <v>336</v>
      </c>
      <c r="K158" s="10" t="s">
        <v>337</v>
      </c>
      <c r="L158" s="10" t="s">
        <v>67</v>
      </c>
    </row>
    <row r="159" spans="1:12" x14ac:dyDescent="0.25">
      <c r="A159">
        <v>172</v>
      </c>
      <c r="B159" s="10" t="s">
        <v>647</v>
      </c>
      <c r="C159" s="10" t="s">
        <v>164</v>
      </c>
      <c r="D159" s="10" t="s">
        <v>173</v>
      </c>
      <c r="E159" s="10" t="s">
        <v>174</v>
      </c>
      <c r="F159" s="10" t="s">
        <v>112</v>
      </c>
      <c r="G159" s="10" t="s">
        <v>105</v>
      </c>
      <c r="H159" s="10" t="s">
        <v>65</v>
      </c>
      <c r="I159" s="10" t="s">
        <v>16</v>
      </c>
      <c r="J159" s="10" t="s">
        <v>602</v>
      </c>
      <c r="K159" s="10" t="s">
        <v>617</v>
      </c>
      <c r="L159" s="10" t="s">
        <v>67</v>
      </c>
    </row>
    <row r="160" spans="1:12" x14ac:dyDescent="0.25">
      <c r="A160">
        <v>172</v>
      </c>
      <c r="B160" s="10" t="s">
        <v>647</v>
      </c>
      <c r="C160" s="10" t="s">
        <v>164</v>
      </c>
      <c r="D160" s="10" t="s">
        <v>173</v>
      </c>
      <c r="E160" s="10" t="s">
        <v>174</v>
      </c>
      <c r="F160" s="10" t="s">
        <v>113</v>
      </c>
      <c r="G160" s="10" t="s">
        <v>105</v>
      </c>
      <c r="H160" s="10" t="s">
        <v>65</v>
      </c>
      <c r="I160" s="10" t="s">
        <v>16</v>
      </c>
      <c r="J160" s="10" t="s">
        <v>656</v>
      </c>
      <c r="K160" s="10" t="s">
        <v>590</v>
      </c>
      <c r="L160" s="10" t="s">
        <v>67</v>
      </c>
    </row>
    <row r="161" spans="1:12" x14ac:dyDescent="0.25">
      <c r="A161">
        <v>172</v>
      </c>
      <c r="B161" s="10" t="s">
        <v>647</v>
      </c>
      <c r="C161" s="10" t="s">
        <v>164</v>
      </c>
      <c r="D161" s="10" t="s">
        <v>173</v>
      </c>
      <c r="E161" s="10" t="s">
        <v>174</v>
      </c>
      <c r="F161" s="10" t="s">
        <v>124</v>
      </c>
      <c r="G161" s="10" t="s">
        <v>125</v>
      </c>
      <c r="H161" s="10" t="s">
        <v>72</v>
      </c>
      <c r="I161" s="10" t="s">
        <v>18</v>
      </c>
      <c r="J161" s="10" t="s">
        <v>54</v>
      </c>
      <c r="K161" s="10" t="s">
        <v>54</v>
      </c>
      <c r="L161" s="10" t="s">
        <v>54</v>
      </c>
    </row>
    <row r="162" spans="1:12" x14ac:dyDescent="0.25">
      <c r="A162">
        <v>172</v>
      </c>
      <c r="B162" s="10" t="s">
        <v>647</v>
      </c>
      <c r="C162" s="10" t="s">
        <v>164</v>
      </c>
      <c r="D162" s="10" t="s">
        <v>173</v>
      </c>
      <c r="E162" s="10" t="s">
        <v>174</v>
      </c>
      <c r="F162" s="10" t="s">
        <v>131</v>
      </c>
      <c r="G162" s="10" t="s">
        <v>68</v>
      </c>
      <c r="H162" s="10" t="s">
        <v>72</v>
      </c>
      <c r="I162" s="10" t="s">
        <v>16</v>
      </c>
      <c r="J162" s="10" t="s">
        <v>657</v>
      </c>
      <c r="K162" s="10" t="s">
        <v>658</v>
      </c>
      <c r="L162" s="10" t="s">
        <v>67</v>
      </c>
    </row>
    <row r="163" spans="1:12" x14ac:dyDescent="0.25">
      <c r="A163">
        <v>172</v>
      </c>
      <c r="B163" s="10" t="s">
        <v>647</v>
      </c>
      <c r="C163" s="10" t="s">
        <v>164</v>
      </c>
      <c r="D163" s="10" t="s">
        <v>173</v>
      </c>
      <c r="E163" s="10" t="s">
        <v>174</v>
      </c>
      <c r="F163" s="10" t="s">
        <v>156</v>
      </c>
      <c r="G163" s="10" t="s">
        <v>125</v>
      </c>
      <c r="H163" s="10" t="s">
        <v>65</v>
      </c>
      <c r="I163" s="10" t="s">
        <v>18</v>
      </c>
      <c r="J163" s="10" t="s">
        <v>54</v>
      </c>
      <c r="K163" s="10" t="s">
        <v>54</v>
      </c>
      <c r="L163" s="10" t="s">
        <v>54</v>
      </c>
    </row>
    <row r="164" spans="1:12" x14ac:dyDescent="0.25">
      <c r="A164">
        <v>172</v>
      </c>
      <c r="B164" s="10" t="s">
        <v>647</v>
      </c>
      <c r="C164" s="10" t="s">
        <v>164</v>
      </c>
      <c r="D164" s="10" t="s">
        <v>173</v>
      </c>
      <c r="E164" s="10" t="s">
        <v>174</v>
      </c>
      <c r="F164" s="10" t="s">
        <v>163</v>
      </c>
      <c r="G164" s="10" t="s">
        <v>68</v>
      </c>
      <c r="H164" s="10" t="s">
        <v>65</v>
      </c>
      <c r="I164" s="10" t="s">
        <v>16</v>
      </c>
      <c r="J164" s="10" t="s">
        <v>659</v>
      </c>
      <c r="K164" s="10" t="s">
        <v>660</v>
      </c>
      <c r="L164" s="10" t="s">
        <v>54</v>
      </c>
    </row>
    <row r="165" spans="1:12" x14ac:dyDescent="0.25">
      <c r="A165">
        <v>172</v>
      </c>
      <c r="B165" s="10" t="s">
        <v>647</v>
      </c>
      <c r="C165" s="10" t="s">
        <v>164</v>
      </c>
      <c r="D165" s="10" t="s">
        <v>173</v>
      </c>
      <c r="E165" s="10" t="s">
        <v>174</v>
      </c>
      <c r="F165" s="10" t="s">
        <v>165</v>
      </c>
      <c r="G165" s="10" t="s">
        <v>68</v>
      </c>
      <c r="H165" s="10" t="s">
        <v>72</v>
      </c>
      <c r="I165" s="10" t="s">
        <v>16</v>
      </c>
      <c r="J165" s="10" t="s">
        <v>79</v>
      </c>
      <c r="K165" s="10" t="s">
        <v>468</v>
      </c>
      <c r="L165" s="10" t="s">
        <v>67</v>
      </c>
    </row>
    <row r="166" spans="1:12" x14ac:dyDescent="0.25">
      <c r="A166">
        <v>150</v>
      </c>
      <c r="B166" s="10" t="s">
        <v>707</v>
      </c>
      <c r="C166" s="10" t="s">
        <v>66</v>
      </c>
      <c r="D166" s="10" t="s">
        <v>187</v>
      </c>
      <c r="E166" s="10" t="s">
        <v>188</v>
      </c>
      <c r="F166" s="10" t="s">
        <v>64</v>
      </c>
      <c r="G166" s="10" t="s">
        <v>68</v>
      </c>
      <c r="H166" s="10" t="s">
        <v>65</v>
      </c>
      <c r="I166" s="10" t="s">
        <v>16</v>
      </c>
      <c r="J166" s="10" t="s">
        <v>708</v>
      </c>
      <c r="K166" s="10" t="s">
        <v>709</v>
      </c>
      <c r="L166" s="10" t="s">
        <v>67</v>
      </c>
    </row>
    <row r="167" spans="1:12" x14ac:dyDescent="0.25">
      <c r="A167">
        <v>150</v>
      </c>
      <c r="B167" s="10" t="s">
        <v>707</v>
      </c>
      <c r="C167" s="10" t="s">
        <v>66</v>
      </c>
      <c r="D167" s="10" t="s">
        <v>187</v>
      </c>
      <c r="E167" s="10" t="s">
        <v>188</v>
      </c>
      <c r="F167" s="10" t="s">
        <v>69</v>
      </c>
      <c r="G167" s="10" t="s">
        <v>68</v>
      </c>
      <c r="H167" s="10" t="s">
        <v>65</v>
      </c>
      <c r="I167" s="10" t="s">
        <v>16</v>
      </c>
      <c r="J167" s="10" t="s">
        <v>708</v>
      </c>
      <c r="K167" s="10" t="s">
        <v>709</v>
      </c>
      <c r="L167" s="10" t="s">
        <v>67</v>
      </c>
    </row>
    <row r="168" spans="1:12" x14ac:dyDescent="0.25">
      <c r="A168">
        <v>150</v>
      </c>
      <c r="B168" s="10" t="s">
        <v>707</v>
      </c>
      <c r="C168" s="10" t="s">
        <v>66</v>
      </c>
      <c r="D168" s="10" t="s">
        <v>187</v>
      </c>
      <c r="E168" s="10" t="s">
        <v>188</v>
      </c>
      <c r="F168" s="10" t="s">
        <v>70</v>
      </c>
      <c r="G168" s="10" t="s">
        <v>68</v>
      </c>
      <c r="H168" s="10" t="s">
        <v>65</v>
      </c>
      <c r="I168" s="10" t="s">
        <v>16</v>
      </c>
      <c r="J168" s="10" t="s">
        <v>710</v>
      </c>
      <c r="K168" s="10" t="s">
        <v>711</v>
      </c>
      <c r="L168" s="10" t="s">
        <v>67</v>
      </c>
    </row>
    <row r="169" spans="1:12" x14ac:dyDescent="0.25">
      <c r="A169">
        <v>150</v>
      </c>
      <c r="B169" s="10" t="s">
        <v>707</v>
      </c>
      <c r="C169" s="10" t="s">
        <v>66</v>
      </c>
      <c r="D169" s="10" t="s">
        <v>187</v>
      </c>
      <c r="E169" s="10" t="s">
        <v>188</v>
      </c>
      <c r="F169" s="10" t="s">
        <v>71</v>
      </c>
      <c r="G169" s="10" t="s">
        <v>68</v>
      </c>
      <c r="H169" s="10" t="s">
        <v>72</v>
      </c>
      <c r="I169" s="10" t="s">
        <v>16</v>
      </c>
      <c r="J169" s="10" t="s">
        <v>712</v>
      </c>
      <c r="K169" s="10" t="s">
        <v>713</v>
      </c>
      <c r="L169" s="10" t="s">
        <v>54</v>
      </c>
    </row>
    <row r="170" spans="1:12" x14ac:dyDescent="0.25">
      <c r="A170">
        <v>150</v>
      </c>
      <c r="B170" s="10" t="s">
        <v>707</v>
      </c>
      <c r="C170" s="10" t="s">
        <v>66</v>
      </c>
      <c r="D170" s="10" t="s">
        <v>187</v>
      </c>
      <c r="E170" s="10" t="s">
        <v>188</v>
      </c>
      <c r="F170" s="10" t="s">
        <v>73</v>
      </c>
      <c r="G170" s="10" t="s">
        <v>68</v>
      </c>
      <c r="H170" s="10" t="s">
        <v>65</v>
      </c>
      <c r="I170" s="10" t="s">
        <v>16</v>
      </c>
      <c r="J170" s="10" t="s">
        <v>714</v>
      </c>
      <c r="K170" s="10" t="s">
        <v>554</v>
      </c>
      <c r="L170" s="10" t="s">
        <v>67</v>
      </c>
    </row>
    <row r="171" spans="1:12" x14ac:dyDescent="0.25">
      <c r="A171">
        <v>150</v>
      </c>
      <c r="B171" s="10" t="s">
        <v>707</v>
      </c>
      <c r="C171" s="10" t="s">
        <v>66</v>
      </c>
      <c r="D171" s="10" t="s">
        <v>187</v>
      </c>
      <c r="E171" s="10" t="s">
        <v>188</v>
      </c>
      <c r="F171" s="10" t="s">
        <v>74</v>
      </c>
      <c r="G171" s="10" t="s">
        <v>68</v>
      </c>
      <c r="H171" s="10" t="s">
        <v>65</v>
      </c>
      <c r="I171" s="10" t="s">
        <v>16</v>
      </c>
      <c r="J171" s="10" t="s">
        <v>715</v>
      </c>
      <c r="K171" s="10" t="s">
        <v>716</v>
      </c>
      <c r="L171" s="10" t="s">
        <v>67</v>
      </c>
    </row>
    <row r="172" spans="1:12" x14ac:dyDescent="0.25">
      <c r="A172">
        <v>150</v>
      </c>
      <c r="B172" s="10" t="s">
        <v>707</v>
      </c>
      <c r="C172" s="10" t="s">
        <v>66</v>
      </c>
      <c r="D172" s="10" t="s">
        <v>187</v>
      </c>
      <c r="E172" s="10" t="s">
        <v>188</v>
      </c>
      <c r="F172" s="10" t="s">
        <v>75</v>
      </c>
      <c r="G172" s="10" t="s">
        <v>68</v>
      </c>
      <c r="H172" s="10" t="s">
        <v>72</v>
      </c>
      <c r="I172" s="10" t="s">
        <v>18</v>
      </c>
      <c r="J172" s="10" t="s">
        <v>54</v>
      </c>
      <c r="K172" s="10" t="s">
        <v>54</v>
      </c>
      <c r="L172" s="10" t="s">
        <v>54</v>
      </c>
    </row>
    <row r="173" spans="1:12" x14ac:dyDescent="0.25">
      <c r="A173">
        <v>150</v>
      </c>
      <c r="B173" s="10" t="s">
        <v>707</v>
      </c>
      <c r="C173" s="10" t="s">
        <v>66</v>
      </c>
      <c r="D173" s="10" t="s">
        <v>187</v>
      </c>
      <c r="E173" s="10" t="s">
        <v>188</v>
      </c>
      <c r="F173" s="10" t="s">
        <v>76</v>
      </c>
      <c r="G173" s="10" t="s">
        <v>77</v>
      </c>
      <c r="H173" s="10" t="s">
        <v>65</v>
      </c>
      <c r="I173" s="10" t="s">
        <v>16</v>
      </c>
      <c r="J173" s="10" t="s">
        <v>717</v>
      </c>
      <c r="K173" s="10" t="s">
        <v>718</v>
      </c>
      <c r="L173" s="10" t="s">
        <v>67</v>
      </c>
    </row>
    <row r="174" spans="1:12" x14ac:dyDescent="0.25">
      <c r="A174">
        <v>150</v>
      </c>
      <c r="B174" s="10" t="s">
        <v>707</v>
      </c>
      <c r="C174" s="10" t="s">
        <v>66</v>
      </c>
      <c r="D174" s="10" t="s">
        <v>187</v>
      </c>
      <c r="E174" s="10" t="s">
        <v>188</v>
      </c>
      <c r="F174" s="10" t="s">
        <v>78</v>
      </c>
      <c r="G174" s="10" t="s">
        <v>77</v>
      </c>
      <c r="H174" s="10" t="s">
        <v>65</v>
      </c>
      <c r="I174" s="10" t="s">
        <v>16</v>
      </c>
      <c r="J174" s="10" t="s">
        <v>79</v>
      </c>
      <c r="K174" s="10" t="s">
        <v>719</v>
      </c>
      <c r="L174" s="10" t="s">
        <v>67</v>
      </c>
    </row>
    <row r="175" spans="1:12" x14ac:dyDescent="0.25">
      <c r="A175">
        <v>150</v>
      </c>
      <c r="B175" s="10" t="s">
        <v>707</v>
      </c>
      <c r="C175" s="10" t="s">
        <v>66</v>
      </c>
      <c r="D175" s="10" t="s">
        <v>187</v>
      </c>
      <c r="E175" s="10" t="s">
        <v>188</v>
      </c>
      <c r="F175" s="10" t="s">
        <v>80</v>
      </c>
      <c r="G175" s="10" t="s">
        <v>77</v>
      </c>
      <c r="H175" s="10" t="s">
        <v>65</v>
      </c>
      <c r="I175" s="10" t="s">
        <v>16</v>
      </c>
      <c r="J175" s="10" t="s">
        <v>79</v>
      </c>
      <c r="K175" s="10" t="s">
        <v>613</v>
      </c>
      <c r="L175" s="10" t="s">
        <v>67</v>
      </c>
    </row>
    <row r="176" spans="1:12" x14ac:dyDescent="0.25">
      <c r="A176">
        <v>150</v>
      </c>
      <c r="B176" s="10" t="s">
        <v>707</v>
      </c>
      <c r="C176" s="10" t="s">
        <v>66</v>
      </c>
      <c r="D176" s="10" t="s">
        <v>187</v>
      </c>
      <c r="E176" s="10" t="s">
        <v>188</v>
      </c>
      <c r="F176" s="10" t="s">
        <v>81</v>
      </c>
      <c r="G176" s="10" t="s">
        <v>77</v>
      </c>
      <c r="H176" s="10" t="s">
        <v>65</v>
      </c>
      <c r="I176" s="10" t="s">
        <v>16</v>
      </c>
      <c r="J176" s="10" t="s">
        <v>720</v>
      </c>
      <c r="K176" s="10" t="s">
        <v>721</v>
      </c>
      <c r="L176" s="10" t="s">
        <v>67</v>
      </c>
    </row>
    <row r="177" spans="1:12" x14ac:dyDescent="0.25">
      <c r="A177">
        <v>150</v>
      </c>
      <c r="B177" s="10" t="s">
        <v>707</v>
      </c>
      <c r="C177" s="10" t="s">
        <v>66</v>
      </c>
      <c r="D177" s="10" t="s">
        <v>187</v>
      </c>
      <c r="E177" s="10" t="s">
        <v>188</v>
      </c>
      <c r="F177" s="10" t="s">
        <v>82</v>
      </c>
      <c r="G177" s="10" t="s">
        <v>83</v>
      </c>
      <c r="H177" s="10" t="s">
        <v>65</v>
      </c>
      <c r="I177" s="10" t="s">
        <v>16</v>
      </c>
      <c r="J177" s="10" t="s">
        <v>434</v>
      </c>
      <c r="K177" s="10" t="s">
        <v>435</v>
      </c>
      <c r="L177" s="10" t="s">
        <v>67</v>
      </c>
    </row>
    <row r="178" spans="1:12" x14ac:dyDescent="0.25">
      <c r="A178">
        <v>150</v>
      </c>
      <c r="B178" s="10" t="s">
        <v>707</v>
      </c>
      <c r="C178" s="10" t="s">
        <v>66</v>
      </c>
      <c r="D178" s="10" t="s">
        <v>187</v>
      </c>
      <c r="E178" s="10" t="s">
        <v>188</v>
      </c>
      <c r="F178" s="10" t="s">
        <v>84</v>
      </c>
      <c r="G178" s="10" t="s">
        <v>83</v>
      </c>
      <c r="H178" s="10" t="s">
        <v>65</v>
      </c>
      <c r="I178" s="10" t="s">
        <v>16</v>
      </c>
      <c r="J178" s="10" t="s">
        <v>445</v>
      </c>
      <c r="K178" s="10" t="s">
        <v>446</v>
      </c>
      <c r="L178" s="10" t="s">
        <v>67</v>
      </c>
    </row>
    <row r="179" spans="1:12" x14ac:dyDescent="0.25">
      <c r="A179">
        <v>150</v>
      </c>
      <c r="B179" s="10" t="s">
        <v>707</v>
      </c>
      <c r="C179" s="10" t="s">
        <v>66</v>
      </c>
      <c r="D179" s="10" t="s">
        <v>187</v>
      </c>
      <c r="E179" s="10" t="s">
        <v>188</v>
      </c>
      <c r="F179" s="10" t="s">
        <v>85</v>
      </c>
      <c r="G179" s="10" t="s">
        <v>86</v>
      </c>
      <c r="H179" s="10" t="s">
        <v>65</v>
      </c>
      <c r="I179" s="10" t="s">
        <v>16</v>
      </c>
      <c r="J179" s="10" t="s">
        <v>79</v>
      </c>
      <c r="K179" s="10" t="s">
        <v>722</v>
      </c>
      <c r="L179" s="10" t="s">
        <v>67</v>
      </c>
    </row>
    <row r="180" spans="1:12" x14ac:dyDescent="0.25">
      <c r="A180">
        <v>150</v>
      </c>
      <c r="B180" s="10" t="s">
        <v>707</v>
      </c>
      <c r="C180" s="10" t="s">
        <v>66</v>
      </c>
      <c r="D180" s="10" t="s">
        <v>187</v>
      </c>
      <c r="E180" s="10" t="s">
        <v>188</v>
      </c>
      <c r="F180" s="10" t="s">
        <v>87</v>
      </c>
      <c r="G180" s="10" t="s">
        <v>86</v>
      </c>
      <c r="H180" s="10" t="s">
        <v>65</v>
      </c>
      <c r="I180" s="10" t="s">
        <v>16</v>
      </c>
      <c r="J180" s="10" t="s">
        <v>79</v>
      </c>
      <c r="K180" s="10" t="s">
        <v>723</v>
      </c>
      <c r="L180" s="10" t="s">
        <v>67</v>
      </c>
    </row>
    <row r="181" spans="1:12" x14ac:dyDescent="0.25">
      <c r="A181">
        <v>150</v>
      </c>
      <c r="B181" s="10" t="s">
        <v>707</v>
      </c>
      <c r="C181" s="10" t="s">
        <v>66</v>
      </c>
      <c r="D181" s="10" t="s">
        <v>187</v>
      </c>
      <c r="E181" s="10" t="s">
        <v>188</v>
      </c>
      <c r="F181" s="10" t="s">
        <v>88</v>
      </c>
      <c r="G181" s="10" t="s">
        <v>86</v>
      </c>
      <c r="H181" s="10" t="s">
        <v>65</v>
      </c>
      <c r="I181" s="10" t="s">
        <v>16</v>
      </c>
      <c r="J181" s="10" t="s">
        <v>79</v>
      </c>
      <c r="K181" s="10" t="s">
        <v>724</v>
      </c>
      <c r="L181" s="10" t="s">
        <v>67</v>
      </c>
    </row>
    <row r="182" spans="1:12" x14ac:dyDescent="0.25">
      <c r="A182">
        <v>150</v>
      </c>
      <c r="B182" s="10" t="s">
        <v>707</v>
      </c>
      <c r="C182" s="10" t="s">
        <v>66</v>
      </c>
      <c r="D182" s="10" t="s">
        <v>187</v>
      </c>
      <c r="E182" s="10" t="s">
        <v>188</v>
      </c>
      <c r="F182" s="10" t="s">
        <v>89</v>
      </c>
      <c r="G182" s="10" t="s">
        <v>86</v>
      </c>
      <c r="H182" s="10" t="s">
        <v>65</v>
      </c>
      <c r="I182" s="10" t="s">
        <v>16</v>
      </c>
      <c r="J182" s="10" t="s">
        <v>79</v>
      </c>
      <c r="K182" s="10" t="s">
        <v>613</v>
      </c>
      <c r="L182" s="10" t="s">
        <v>67</v>
      </c>
    </row>
    <row r="183" spans="1:12" x14ac:dyDescent="0.25">
      <c r="A183">
        <v>150</v>
      </c>
      <c r="B183" s="10" t="s">
        <v>707</v>
      </c>
      <c r="C183" s="10" t="s">
        <v>66</v>
      </c>
      <c r="D183" s="10" t="s">
        <v>187</v>
      </c>
      <c r="E183" s="10" t="s">
        <v>188</v>
      </c>
      <c r="F183" s="10" t="s">
        <v>90</v>
      </c>
      <c r="G183" s="10" t="s">
        <v>86</v>
      </c>
      <c r="H183" s="10" t="s">
        <v>65</v>
      </c>
      <c r="I183" s="10" t="s">
        <v>16</v>
      </c>
      <c r="J183" s="10" t="s">
        <v>79</v>
      </c>
      <c r="K183" s="10" t="s">
        <v>613</v>
      </c>
      <c r="L183" s="10" t="s">
        <v>67</v>
      </c>
    </row>
    <row r="184" spans="1:12" x14ac:dyDescent="0.25">
      <c r="A184">
        <v>150</v>
      </c>
      <c r="B184" s="10" t="s">
        <v>707</v>
      </c>
      <c r="C184" s="10" t="s">
        <v>66</v>
      </c>
      <c r="D184" s="10" t="s">
        <v>187</v>
      </c>
      <c r="E184" s="10" t="s">
        <v>188</v>
      </c>
      <c r="F184" s="10" t="s">
        <v>91</v>
      </c>
      <c r="G184" s="10" t="s">
        <v>86</v>
      </c>
      <c r="H184" s="10" t="s">
        <v>65</v>
      </c>
      <c r="I184" s="10" t="s">
        <v>16</v>
      </c>
      <c r="J184" s="10" t="s">
        <v>79</v>
      </c>
      <c r="K184" s="10" t="s">
        <v>725</v>
      </c>
      <c r="L184" s="10" t="s">
        <v>67</v>
      </c>
    </row>
    <row r="185" spans="1:12" x14ac:dyDescent="0.25">
      <c r="A185">
        <v>150</v>
      </c>
      <c r="B185" s="10" t="s">
        <v>707</v>
      </c>
      <c r="C185" s="10" t="s">
        <v>66</v>
      </c>
      <c r="D185" s="10" t="s">
        <v>187</v>
      </c>
      <c r="E185" s="10" t="s">
        <v>188</v>
      </c>
      <c r="F185" s="10" t="s">
        <v>92</v>
      </c>
      <c r="G185" s="10" t="s">
        <v>86</v>
      </c>
      <c r="H185" s="10" t="s">
        <v>65</v>
      </c>
      <c r="I185" s="10" t="s">
        <v>16</v>
      </c>
      <c r="J185" s="10" t="s">
        <v>726</v>
      </c>
      <c r="K185" s="10" t="s">
        <v>613</v>
      </c>
      <c r="L185" s="10" t="s">
        <v>67</v>
      </c>
    </row>
    <row r="186" spans="1:12" x14ac:dyDescent="0.25">
      <c r="A186">
        <v>150</v>
      </c>
      <c r="B186" s="10" t="s">
        <v>707</v>
      </c>
      <c r="C186" s="10" t="s">
        <v>66</v>
      </c>
      <c r="D186" s="10" t="s">
        <v>187</v>
      </c>
      <c r="E186" s="10" t="s">
        <v>188</v>
      </c>
      <c r="F186" s="10" t="s">
        <v>93</v>
      </c>
      <c r="G186" s="10" t="s">
        <v>94</v>
      </c>
      <c r="H186" s="10" t="s">
        <v>65</v>
      </c>
      <c r="I186" s="10" t="s">
        <v>16</v>
      </c>
      <c r="J186" s="10" t="s">
        <v>727</v>
      </c>
      <c r="K186" s="10" t="s">
        <v>728</v>
      </c>
      <c r="L186" s="10" t="s">
        <v>67</v>
      </c>
    </row>
    <row r="187" spans="1:12" x14ac:dyDescent="0.25">
      <c r="A187">
        <v>150</v>
      </c>
      <c r="B187" s="10" t="s">
        <v>707</v>
      </c>
      <c r="C187" s="10" t="s">
        <v>66</v>
      </c>
      <c r="D187" s="10" t="s">
        <v>187</v>
      </c>
      <c r="E187" s="10" t="s">
        <v>188</v>
      </c>
      <c r="F187" s="10" t="s">
        <v>95</v>
      </c>
      <c r="G187" s="10" t="s">
        <v>94</v>
      </c>
      <c r="H187" s="10" t="s">
        <v>65</v>
      </c>
      <c r="I187" s="10" t="s">
        <v>16</v>
      </c>
      <c r="J187" s="10" t="s">
        <v>729</v>
      </c>
      <c r="K187" s="10" t="s">
        <v>730</v>
      </c>
      <c r="L187" s="10" t="s">
        <v>67</v>
      </c>
    </row>
    <row r="188" spans="1:12" x14ac:dyDescent="0.25">
      <c r="A188">
        <v>150</v>
      </c>
      <c r="B188" s="10" t="s">
        <v>707</v>
      </c>
      <c r="C188" s="10" t="s">
        <v>66</v>
      </c>
      <c r="D188" s="10" t="s">
        <v>187</v>
      </c>
      <c r="E188" s="10" t="s">
        <v>188</v>
      </c>
      <c r="F188" s="10" t="s">
        <v>96</v>
      </c>
      <c r="G188" s="10" t="s">
        <v>94</v>
      </c>
      <c r="H188" s="10" t="s">
        <v>65</v>
      </c>
      <c r="I188" s="10" t="s">
        <v>16</v>
      </c>
      <c r="J188" s="10" t="s">
        <v>79</v>
      </c>
      <c r="K188" s="10" t="s">
        <v>349</v>
      </c>
      <c r="L188" s="10" t="s">
        <v>67</v>
      </c>
    </row>
    <row r="189" spans="1:12" x14ac:dyDescent="0.25">
      <c r="A189">
        <v>150</v>
      </c>
      <c r="B189" s="10" t="s">
        <v>707</v>
      </c>
      <c r="C189" s="10" t="s">
        <v>66</v>
      </c>
      <c r="D189" s="10" t="s">
        <v>187</v>
      </c>
      <c r="E189" s="10" t="s">
        <v>188</v>
      </c>
      <c r="F189" s="10" t="s">
        <v>97</v>
      </c>
      <c r="G189" s="10" t="s">
        <v>98</v>
      </c>
      <c r="H189" s="10" t="s">
        <v>65</v>
      </c>
      <c r="I189" s="10" t="s">
        <v>16</v>
      </c>
      <c r="J189" s="10" t="s">
        <v>731</v>
      </c>
      <c r="K189" s="10" t="s">
        <v>732</v>
      </c>
      <c r="L189" s="10" t="s">
        <v>67</v>
      </c>
    </row>
    <row r="190" spans="1:12" x14ac:dyDescent="0.25">
      <c r="A190">
        <v>150</v>
      </c>
      <c r="B190" s="10" t="s">
        <v>707</v>
      </c>
      <c r="C190" s="10" t="s">
        <v>66</v>
      </c>
      <c r="D190" s="10" t="s">
        <v>187</v>
      </c>
      <c r="E190" s="10" t="s">
        <v>188</v>
      </c>
      <c r="F190" s="10" t="s">
        <v>99</v>
      </c>
      <c r="G190" s="10" t="s">
        <v>98</v>
      </c>
      <c r="H190" s="10" t="s">
        <v>65</v>
      </c>
      <c r="I190" s="10" t="s">
        <v>16</v>
      </c>
      <c r="J190" s="10" t="s">
        <v>733</v>
      </c>
      <c r="K190" s="10" t="s">
        <v>734</v>
      </c>
      <c r="L190" s="10" t="s">
        <v>67</v>
      </c>
    </row>
    <row r="191" spans="1:12" x14ac:dyDescent="0.25">
      <c r="A191">
        <v>150</v>
      </c>
      <c r="B191" s="10" t="s">
        <v>707</v>
      </c>
      <c r="C191" s="10" t="s">
        <v>66</v>
      </c>
      <c r="D191" s="10" t="s">
        <v>187</v>
      </c>
      <c r="E191" s="10" t="s">
        <v>188</v>
      </c>
      <c r="F191" s="10" t="s">
        <v>100</v>
      </c>
      <c r="G191" s="10" t="s">
        <v>98</v>
      </c>
      <c r="H191" s="10" t="s">
        <v>65</v>
      </c>
      <c r="I191" s="10" t="s">
        <v>16</v>
      </c>
      <c r="J191" s="10" t="s">
        <v>733</v>
      </c>
      <c r="K191" s="10" t="s">
        <v>734</v>
      </c>
      <c r="L191" s="10" t="s">
        <v>67</v>
      </c>
    </row>
    <row r="192" spans="1:12" x14ac:dyDescent="0.25">
      <c r="A192">
        <v>150</v>
      </c>
      <c r="B192" s="10" t="s">
        <v>707</v>
      </c>
      <c r="C192" s="10" t="s">
        <v>66</v>
      </c>
      <c r="D192" s="10" t="s">
        <v>187</v>
      </c>
      <c r="E192" s="10" t="s">
        <v>188</v>
      </c>
      <c r="F192" s="10" t="s">
        <v>101</v>
      </c>
      <c r="G192" s="10" t="s">
        <v>102</v>
      </c>
      <c r="H192" s="10" t="s">
        <v>65</v>
      </c>
      <c r="I192" s="10" t="s">
        <v>16</v>
      </c>
      <c r="J192" s="10" t="s">
        <v>79</v>
      </c>
      <c r="K192" s="10" t="s">
        <v>735</v>
      </c>
      <c r="L192" s="10" t="s">
        <v>67</v>
      </c>
    </row>
    <row r="193" spans="1:12" x14ac:dyDescent="0.25">
      <c r="A193">
        <v>150</v>
      </c>
      <c r="B193" s="10" t="s">
        <v>707</v>
      </c>
      <c r="C193" s="10" t="s">
        <v>66</v>
      </c>
      <c r="D193" s="10" t="s">
        <v>187</v>
      </c>
      <c r="E193" s="10" t="s">
        <v>188</v>
      </c>
      <c r="F193" s="10" t="s">
        <v>103</v>
      </c>
      <c r="G193" s="10" t="s">
        <v>102</v>
      </c>
      <c r="H193" s="10" t="s">
        <v>65</v>
      </c>
      <c r="I193" s="10" t="s">
        <v>16</v>
      </c>
      <c r="J193" s="10" t="s">
        <v>736</v>
      </c>
      <c r="K193" s="10" t="s">
        <v>737</v>
      </c>
      <c r="L193" s="10" t="s">
        <v>67</v>
      </c>
    </row>
    <row r="194" spans="1:12" x14ac:dyDescent="0.25">
      <c r="A194">
        <v>150</v>
      </c>
      <c r="B194" s="10" t="s">
        <v>707</v>
      </c>
      <c r="C194" s="10" t="s">
        <v>66</v>
      </c>
      <c r="D194" s="10" t="s">
        <v>187</v>
      </c>
      <c r="E194" s="10" t="s">
        <v>188</v>
      </c>
      <c r="F194" s="10" t="s">
        <v>104</v>
      </c>
      <c r="G194" s="10" t="s">
        <v>105</v>
      </c>
      <c r="H194" s="10" t="s">
        <v>65</v>
      </c>
      <c r="I194" s="10" t="s">
        <v>16</v>
      </c>
      <c r="J194" s="10" t="s">
        <v>738</v>
      </c>
      <c r="K194" s="10" t="s">
        <v>739</v>
      </c>
      <c r="L194" s="10" t="s">
        <v>67</v>
      </c>
    </row>
    <row r="195" spans="1:12" x14ac:dyDescent="0.25">
      <c r="A195">
        <v>150</v>
      </c>
      <c r="B195" s="10" t="s">
        <v>707</v>
      </c>
      <c r="C195" s="10" t="s">
        <v>66</v>
      </c>
      <c r="D195" s="10" t="s">
        <v>187</v>
      </c>
      <c r="E195" s="10" t="s">
        <v>188</v>
      </c>
      <c r="F195" s="10" t="s">
        <v>106</v>
      </c>
      <c r="G195" s="10" t="s">
        <v>105</v>
      </c>
      <c r="H195" s="10" t="s">
        <v>65</v>
      </c>
      <c r="I195" s="10" t="s">
        <v>16</v>
      </c>
      <c r="J195" s="10" t="s">
        <v>731</v>
      </c>
      <c r="K195" s="10" t="s">
        <v>732</v>
      </c>
      <c r="L195" s="10" t="s">
        <v>67</v>
      </c>
    </row>
    <row r="196" spans="1:12" x14ac:dyDescent="0.25">
      <c r="A196">
        <v>150</v>
      </c>
      <c r="B196" s="10" t="s">
        <v>707</v>
      </c>
      <c r="C196" s="10" t="s">
        <v>66</v>
      </c>
      <c r="D196" s="10" t="s">
        <v>187</v>
      </c>
      <c r="E196" s="10" t="s">
        <v>188</v>
      </c>
      <c r="F196" s="10" t="s">
        <v>107</v>
      </c>
      <c r="G196" s="10" t="s">
        <v>105</v>
      </c>
      <c r="H196" s="10" t="s">
        <v>65</v>
      </c>
      <c r="I196" s="10" t="s">
        <v>16</v>
      </c>
      <c r="J196" s="10" t="s">
        <v>740</v>
      </c>
      <c r="K196" s="10" t="s">
        <v>741</v>
      </c>
      <c r="L196" s="10" t="s">
        <v>67</v>
      </c>
    </row>
    <row r="197" spans="1:12" x14ac:dyDescent="0.25">
      <c r="A197">
        <v>150</v>
      </c>
      <c r="B197" s="10" t="s">
        <v>707</v>
      </c>
      <c r="C197" s="10" t="s">
        <v>66</v>
      </c>
      <c r="D197" s="10" t="s">
        <v>187</v>
      </c>
      <c r="E197" s="10" t="s">
        <v>188</v>
      </c>
      <c r="F197" s="10" t="s">
        <v>108</v>
      </c>
      <c r="G197" s="10" t="s">
        <v>105</v>
      </c>
      <c r="H197" s="10" t="s">
        <v>65</v>
      </c>
      <c r="I197" s="10" t="s">
        <v>16</v>
      </c>
      <c r="J197" s="10" t="s">
        <v>742</v>
      </c>
      <c r="K197" s="10" t="s">
        <v>456</v>
      </c>
      <c r="L197" s="10" t="s">
        <v>67</v>
      </c>
    </row>
    <row r="198" spans="1:12" x14ac:dyDescent="0.25">
      <c r="A198">
        <v>150</v>
      </c>
      <c r="B198" s="10" t="s">
        <v>707</v>
      </c>
      <c r="C198" s="10" t="s">
        <v>66</v>
      </c>
      <c r="D198" s="10" t="s">
        <v>187</v>
      </c>
      <c r="E198" s="10" t="s">
        <v>188</v>
      </c>
      <c r="F198" s="10" t="s">
        <v>109</v>
      </c>
      <c r="G198" s="10" t="s">
        <v>105</v>
      </c>
      <c r="H198" s="10" t="s">
        <v>65</v>
      </c>
      <c r="I198" s="10" t="s">
        <v>16</v>
      </c>
      <c r="J198" s="10" t="s">
        <v>738</v>
      </c>
      <c r="K198" s="10" t="s">
        <v>739</v>
      </c>
      <c r="L198" s="10" t="s">
        <v>67</v>
      </c>
    </row>
    <row r="199" spans="1:12" x14ac:dyDescent="0.25">
      <c r="A199">
        <v>150</v>
      </c>
      <c r="B199" s="10" t="s">
        <v>707</v>
      </c>
      <c r="C199" s="10" t="s">
        <v>66</v>
      </c>
      <c r="D199" s="10" t="s">
        <v>187</v>
      </c>
      <c r="E199" s="10" t="s">
        <v>188</v>
      </c>
      <c r="F199" s="10" t="s">
        <v>110</v>
      </c>
      <c r="G199" s="10" t="s">
        <v>105</v>
      </c>
      <c r="H199" s="10" t="s">
        <v>65</v>
      </c>
      <c r="I199" s="10" t="s">
        <v>16</v>
      </c>
      <c r="J199" s="10" t="s">
        <v>79</v>
      </c>
      <c r="K199" s="10" t="s">
        <v>732</v>
      </c>
      <c r="L199" s="10" t="s">
        <v>67</v>
      </c>
    </row>
    <row r="200" spans="1:12" x14ac:dyDescent="0.25">
      <c r="A200">
        <v>150</v>
      </c>
      <c r="B200" s="10" t="s">
        <v>707</v>
      </c>
      <c r="C200" s="10" t="s">
        <v>66</v>
      </c>
      <c r="D200" s="10" t="s">
        <v>187</v>
      </c>
      <c r="E200" s="10" t="s">
        <v>188</v>
      </c>
      <c r="F200" s="10" t="s">
        <v>111</v>
      </c>
      <c r="G200" s="10" t="s">
        <v>105</v>
      </c>
      <c r="H200" s="10" t="s">
        <v>65</v>
      </c>
      <c r="I200" s="10" t="s">
        <v>16</v>
      </c>
      <c r="J200" s="10" t="s">
        <v>743</v>
      </c>
      <c r="K200" s="10" t="s">
        <v>744</v>
      </c>
      <c r="L200" s="10" t="s">
        <v>67</v>
      </c>
    </row>
    <row r="201" spans="1:12" x14ac:dyDescent="0.25">
      <c r="A201">
        <v>150</v>
      </c>
      <c r="B201" s="10" t="s">
        <v>707</v>
      </c>
      <c r="C201" s="10" t="s">
        <v>66</v>
      </c>
      <c r="D201" s="10" t="s">
        <v>187</v>
      </c>
      <c r="E201" s="10" t="s">
        <v>188</v>
      </c>
      <c r="F201" s="10" t="s">
        <v>112</v>
      </c>
      <c r="G201" s="10" t="s">
        <v>105</v>
      </c>
      <c r="H201" s="10" t="s">
        <v>65</v>
      </c>
      <c r="I201" s="10" t="s">
        <v>16</v>
      </c>
      <c r="J201" s="10" t="s">
        <v>738</v>
      </c>
      <c r="K201" s="10" t="s">
        <v>739</v>
      </c>
      <c r="L201" s="10" t="s">
        <v>67</v>
      </c>
    </row>
    <row r="202" spans="1:12" x14ac:dyDescent="0.25">
      <c r="A202">
        <v>150</v>
      </c>
      <c r="B202" s="10" t="s">
        <v>707</v>
      </c>
      <c r="C202" s="10" t="s">
        <v>66</v>
      </c>
      <c r="D202" s="10" t="s">
        <v>187</v>
      </c>
      <c r="E202" s="10" t="s">
        <v>188</v>
      </c>
      <c r="F202" s="10" t="s">
        <v>113</v>
      </c>
      <c r="G202" s="10" t="s">
        <v>105</v>
      </c>
      <c r="H202" s="10" t="s">
        <v>65</v>
      </c>
      <c r="I202" s="10" t="s">
        <v>16</v>
      </c>
      <c r="J202" s="10" t="s">
        <v>745</v>
      </c>
      <c r="K202" s="10" t="s">
        <v>435</v>
      </c>
      <c r="L202" s="10" t="s">
        <v>67</v>
      </c>
    </row>
    <row r="203" spans="1:12" x14ac:dyDescent="0.25">
      <c r="A203">
        <v>242</v>
      </c>
      <c r="B203" s="10" t="s">
        <v>1067</v>
      </c>
      <c r="C203" s="10" t="s">
        <v>137</v>
      </c>
      <c r="D203" s="10" t="s">
        <v>248</v>
      </c>
      <c r="E203" s="10" t="s">
        <v>249</v>
      </c>
      <c r="F203" s="10" t="s">
        <v>69</v>
      </c>
      <c r="G203" s="10" t="s">
        <v>68</v>
      </c>
      <c r="H203" s="10" t="s">
        <v>65</v>
      </c>
      <c r="I203" s="10" t="s">
        <v>16</v>
      </c>
      <c r="J203" s="10" t="s">
        <v>364</v>
      </c>
      <c r="K203" s="10" t="s">
        <v>590</v>
      </c>
      <c r="L203" s="10" t="s">
        <v>67</v>
      </c>
    </row>
    <row r="204" spans="1:12" x14ac:dyDescent="0.25">
      <c r="A204">
        <v>242</v>
      </c>
      <c r="B204" s="10" t="s">
        <v>1067</v>
      </c>
      <c r="C204" s="10" t="s">
        <v>137</v>
      </c>
      <c r="D204" s="10" t="s">
        <v>248</v>
      </c>
      <c r="E204" s="10" t="s">
        <v>249</v>
      </c>
      <c r="F204" s="10" t="s">
        <v>71</v>
      </c>
      <c r="G204" s="10" t="s">
        <v>68</v>
      </c>
      <c r="H204" s="10" t="s">
        <v>72</v>
      </c>
      <c r="I204" s="10" t="s">
        <v>18</v>
      </c>
      <c r="J204" s="10" t="s">
        <v>54</v>
      </c>
      <c r="K204" s="10" t="s">
        <v>54</v>
      </c>
      <c r="L204" s="10" t="s">
        <v>54</v>
      </c>
    </row>
    <row r="205" spans="1:12" x14ac:dyDescent="0.25">
      <c r="A205">
        <v>242</v>
      </c>
      <c r="B205" s="10" t="s">
        <v>1067</v>
      </c>
      <c r="C205" s="10" t="s">
        <v>137</v>
      </c>
      <c r="D205" s="10" t="s">
        <v>248</v>
      </c>
      <c r="E205" s="10" t="s">
        <v>249</v>
      </c>
      <c r="F205" s="10" t="s">
        <v>73</v>
      </c>
      <c r="G205" s="10" t="s">
        <v>68</v>
      </c>
      <c r="H205" s="10" t="s">
        <v>65</v>
      </c>
      <c r="I205" s="10" t="s">
        <v>16</v>
      </c>
      <c r="J205" s="10" t="s">
        <v>967</v>
      </c>
      <c r="K205" s="10" t="s">
        <v>433</v>
      </c>
      <c r="L205" s="10" t="s">
        <v>67</v>
      </c>
    </row>
    <row r="206" spans="1:12" x14ac:dyDescent="0.25">
      <c r="A206">
        <v>242</v>
      </c>
      <c r="B206" s="10" t="s">
        <v>1067</v>
      </c>
      <c r="C206" s="10" t="s">
        <v>137</v>
      </c>
      <c r="D206" s="10" t="s">
        <v>248</v>
      </c>
      <c r="E206" s="10" t="s">
        <v>249</v>
      </c>
      <c r="F206" s="10" t="s">
        <v>74</v>
      </c>
      <c r="G206" s="10" t="s">
        <v>68</v>
      </c>
      <c r="H206" s="10" t="s">
        <v>65</v>
      </c>
      <c r="I206" s="10" t="s">
        <v>16</v>
      </c>
      <c r="J206" s="10" t="s">
        <v>326</v>
      </c>
      <c r="K206" s="10" t="s">
        <v>1068</v>
      </c>
      <c r="L206" s="10" t="s">
        <v>67</v>
      </c>
    </row>
    <row r="207" spans="1:12" x14ac:dyDescent="0.25">
      <c r="A207">
        <v>242</v>
      </c>
      <c r="B207" s="10" t="s">
        <v>1067</v>
      </c>
      <c r="C207" s="10" t="s">
        <v>137</v>
      </c>
      <c r="D207" s="10" t="s">
        <v>248</v>
      </c>
      <c r="E207" s="10" t="s">
        <v>249</v>
      </c>
      <c r="F207" s="10" t="s">
        <v>75</v>
      </c>
      <c r="G207" s="10" t="s">
        <v>68</v>
      </c>
      <c r="H207" s="10" t="s">
        <v>72</v>
      </c>
      <c r="I207" s="10" t="s">
        <v>18</v>
      </c>
      <c r="J207" s="10" t="s">
        <v>54</v>
      </c>
      <c r="K207" s="10" t="s">
        <v>54</v>
      </c>
      <c r="L207" s="10" t="s">
        <v>54</v>
      </c>
    </row>
    <row r="208" spans="1:12" x14ac:dyDescent="0.25">
      <c r="A208">
        <v>242</v>
      </c>
      <c r="B208" s="10" t="s">
        <v>1067</v>
      </c>
      <c r="C208" s="10" t="s">
        <v>137</v>
      </c>
      <c r="D208" s="10" t="s">
        <v>248</v>
      </c>
      <c r="E208" s="10" t="s">
        <v>249</v>
      </c>
      <c r="F208" s="10" t="s">
        <v>76</v>
      </c>
      <c r="G208" s="10" t="s">
        <v>77</v>
      </c>
      <c r="H208" s="10" t="s">
        <v>65</v>
      </c>
      <c r="I208" s="10" t="s">
        <v>16</v>
      </c>
      <c r="J208" s="10" t="s">
        <v>630</v>
      </c>
      <c r="K208" s="10" t="s">
        <v>297</v>
      </c>
      <c r="L208" s="10" t="s">
        <v>67</v>
      </c>
    </row>
    <row r="209" spans="1:12" x14ac:dyDescent="0.25">
      <c r="A209">
        <v>242</v>
      </c>
      <c r="B209" s="10" t="s">
        <v>1067</v>
      </c>
      <c r="C209" s="10" t="s">
        <v>137</v>
      </c>
      <c r="D209" s="10" t="s">
        <v>248</v>
      </c>
      <c r="E209" s="10" t="s">
        <v>249</v>
      </c>
      <c r="F209" s="10" t="s">
        <v>78</v>
      </c>
      <c r="G209" s="10" t="s">
        <v>77</v>
      </c>
      <c r="H209" s="10" t="s">
        <v>65</v>
      </c>
      <c r="I209" s="10" t="s">
        <v>16</v>
      </c>
      <c r="J209" s="10" t="s">
        <v>79</v>
      </c>
      <c r="K209" s="10" t="s">
        <v>1069</v>
      </c>
      <c r="L209" s="10" t="s">
        <v>67</v>
      </c>
    </row>
    <row r="210" spans="1:12" x14ac:dyDescent="0.25">
      <c r="A210">
        <v>242</v>
      </c>
      <c r="B210" s="10" t="s">
        <v>1067</v>
      </c>
      <c r="C210" s="10" t="s">
        <v>137</v>
      </c>
      <c r="D210" s="10" t="s">
        <v>248</v>
      </c>
      <c r="E210" s="10" t="s">
        <v>249</v>
      </c>
      <c r="F210" s="10" t="s">
        <v>80</v>
      </c>
      <c r="G210" s="10" t="s">
        <v>77</v>
      </c>
      <c r="H210" s="10" t="s">
        <v>65</v>
      </c>
      <c r="I210" s="10" t="s">
        <v>16</v>
      </c>
      <c r="J210" s="10" t="s">
        <v>79</v>
      </c>
      <c r="K210" s="10" t="s">
        <v>471</v>
      </c>
      <c r="L210" s="10" t="s">
        <v>67</v>
      </c>
    </row>
    <row r="211" spans="1:12" x14ac:dyDescent="0.25">
      <c r="A211">
        <v>242</v>
      </c>
      <c r="B211" s="10" t="s">
        <v>1067</v>
      </c>
      <c r="C211" s="10" t="s">
        <v>137</v>
      </c>
      <c r="D211" s="10" t="s">
        <v>248</v>
      </c>
      <c r="E211" s="10" t="s">
        <v>249</v>
      </c>
      <c r="F211" s="10" t="s">
        <v>81</v>
      </c>
      <c r="G211" s="10" t="s">
        <v>77</v>
      </c>
      <c r="H211" s="10" t="s">
        <v>65</v>
      </c>
      <c r="I211" s="10" t="s">
        <v>16</v>
      </c>
      <c r="J211" s="10" t="s">
        <v>1070</v>
      </c>
      <c r="K211" s="10" t="s">
        <v>1071</v>
      </c>
      <c r="L211" s="10" t="s">
        <v>67</v>
      </c>
    </row>
    <row r="212" spans="1:12" x14ac:dyDescent="0.25">
      <c r="A212">
        <v>242</v>
      </c>
      <c r="B212" s="10" t="s">
        <v>1067</v>
      </c>
      <c r="C212" s="10" t="s">
        <v>137</v>
      </c>
      <c r="D212" s="10" t="s">
        <v>248</v>
      </c>
      <c r="E212" s="10" t="s">
        <v>249</v>
      </c>
      <c r="F212" s="10" t="s">
        <v>82</v>
      </c>
      <c r="G212" s="10" t="s">
        <v>83</v>
      </c>
      <c r="H212" s="10" t="s">
        <v>65</v>
      </c>
      <c r="I212" s="10" t="s">
        <v>16</v>
      </c>
      <c r="J212" s="10" t="s">
        <v>443</v>
      </c>
      <c r="K212" s="10" t="s">
        <v>444</v>
      </c>
      <c r="L212" s="10" t="s">
        <v>67</v>
      </c>
    </row>
    <row r="213" spans="1:12" x14ac:dyDescent="0.25">
      <c r="A213">
        <v>242</v>
      </c>
      <c r="B213" s="10" t="s">
        <v>1067</v>
      </c>
      <c r="C213" s="10" t="s">
        <v>137</v>
      </c>
      <c r="D213" s="10" t="s">
        <v>248</v>
      </c>
      <c r="E213" s="10" t="s">
        <v>249</v>
      </c>
      <c r="F213" s="10" t="s">
        <v>84</v>
      </c>
      <c r="G213" s="10" t="s">
        <v>83</v>
      </c>
      <c r="H213" s="10" t="s">
        <v>65</v>
      </c>
      <c r="I213" s="10" t="s">
        <v>16</v>
      </c>
      <c r="J213" s="10" t="s">
        <v>528</v>
      </c>
      <c r="K213" s="10" t="s">
        <v>540</v>
      </c>
      <c r="L213" s="10" t="s">
        <v>67</v>
      </c>
    </row>
    <row r="214" spans="1:12" x14ac:dyDescent="0.25">
      <c r="A214">
        <v>242</v>
      </c>
      <c r="B214" s="10" t="s">
        <v>1067</v>
      </c>
      <c r="C214" s="10" t="s">
        <v>137</v>
      </c>
      <c r="D214" s="10" t="s">
        <v>248</v>
      </c>
      <c r="E214" s="10" t="s">
        <v>249</v>
      </c>
      <c r="F214" s="10" t="s">
        <v>93</v>
      </c>
      <c r="G214" s="10" t="s">
        <v>94</v>
      </c>
      <c r="H214" s="10" t="s">
        <v>65</v>
      </c>
      <c r="I214" s="10" t="s">
        <v>16</v>
      </c>
      <c r="J214" s="10" t="s">
        <v>1072</v>
      </c>
      <c r="K214" s="10" t="s">
        <v>1073</v>
      </c>
      <c r="L214" s="10" t="s">
        <v>67</v>
      </c>
    </row>
    <row r="215" spans="1:12" x14ac:dyDescent="0.25">
      <c r="A215">
        <v>242</v>
      </c>
      <c r="B215" s="10" t="s">
        <v>1067</v>
      </c>
      <c r="C215" s="10" t="s">
        <v>137</v>
      </c>
      <c r="D215" s="10" t="s">
        <v>248</v>
      </c>
      <c r="E215" s="10" t="s">
        <v>249</v>
      </c>
      <c r="F215" s="10" t="s">
        <v>95</v>
      </c>
      <c r="G215" s="10" t="s">
        <v>94</v>
      </c>
      <c r="H215" s="10" t="s">
        <v>65</v>
      </c>
      <c r="I215" s="10" t="s">
        <v>16</v>
      </c>
      <c r="J215" s="10" t="s">
        <v>1072</v>
      </c>
      <c r="K215" s="10" t="s">
        <v>1073</v>
      </c>
      <c r="L215" s="10" t="s">
        <v>67</v>
      </c>
    </row>
    <row r="216" spans="1:12" x14ac:dyDescent="0.25">
      <c r="A216">
        <v>242</v>
      </c>
      <c r="B216" s="10" t="s">
        <v>1067</v>
      </c>
      <c r="C216" s="10" t="s">
        <v>137</v>
      </c>
      <c r="D216" s="10" t="s">
        <v>248</v>
      </c>
      <c r="E216" s="10" t="s">
        <v>249</v>
      </c>
      <c r="F216" s="10" t="s">
        <v>96</v>
      </c>
      <c r="G216" s="10" t="s">
        <v>94</v>
      </c>
      <c r="H216" s="10" t="s">
        <v>65</v>
      </c>
      <c r="I216" s="10" t="s">
        <v>16</v>
      </c>
      <c r="J216" s="10" t="s">
        <v>79</v>
      </c>
      <c r="K216" s="10" t="s">
        <v>627</v>
      </c>
      <c r="L216" s="10" t="s">
        <v>67</v>
      </c>
    </row>
    <row r="217" spans="1:12" x14ac:dyDescent="0.25">
      <c r="A217">
        <v>242</v>
      </c>
      <c r="B217" s="10" t="s">
        <v>1067</v>
      </c>
      <c r="C217" s="10" t="s">
        <v>137</v>
      </c>
      <c r="D217" s="10" t="s">
        <v>248</v>
      </c>
      <c r="E217" s="10" t="s">
        <v>249</v>
      </c>
      <c r="F217" s="10" t="s">
        <v>97</v>
      </c>
      <c r="G217" s="10" t="s">
        <v>98</v>
      </c>
      <c r="H217" s="10" t="s">
        <v>65</v>
      </c>
      <c r="I217" s="10" t="s">
        <v>16</v>
      </c>
      <c r="J217" s="10" t="s">
        <v>1074</v>
      </c>
      <c r="K217" s="10" t="s">
        <v>1075</v>
      </c>
      <c r="L217" s="10" t="s">
        <v>67</v>
      </c>
    </row>
    <row r="218" spans="1:12" x14ac:dyDescent="0.25">
      <c r="A218">
        <v>242</v>
      </c>
      <c r="B218" s="10" t="s">
        <v>1067</v>
      </c>
      <c r="C218" s="10" t="s">
        <v>137</v>
      </c>
      <c r="D218" s="10" t="s">
        <v>248</v>
      </c>
      <c r="E218" s="10" t="s">
        <v>249</v>
      </c>
      <c r="F218" s="10" t="s">
        <v>101</v>
      </c>
      <c r="G218" s="10" t="s">
        <v>102</v>
      </c>
      <c r="H218" s="10" t="s">
        <v>65</v>
      </c>
      <c r="I218" s="10" t="s">
        <v>16</v>
      </c>
      <c r="J218" s="10" t="s">
        <v>79</v>
      </c>
      <c r="K218" s="10" t="s">
        <v>1076</v>
      </c>
      <c r="L218" s="10" t="s">
        <v>67</v>
      </c>
    </row>
    <row r="219" spans="1:12" x14ac:dyDescent="0.25">
      <c r="A219">
        <v>242</v>
      </c>
      <c r="B219" s="10" t="s">
        <v>1067</v>
      </c>
      <c r="C219" s="10" t="s">
        <v>137</v>
      </c>
      <c r="D219" s="10" t="s">
        <v>248</v>
      </c>
      <c r="E219" s="10" t="s">
        <v>249</v>
      </c>
      <c r="F219" s="10" t="s">
        <v>103</v>
      </c>
      <c r="G219" s="10" t="s">
        <v>102</v>
      </c>
      <c r="H219" s="10" t="s">
        <v>65</v>
      </c>
      <c r="I219" s="10" t="s">
        <v>16</v>
      </c>
      <c r="J219" s="10" t="s">
        <v>686</v>
      </c>
      <c r="K219" s="10" t="s">
        <v>687</v>
      </c>
      <c r="L219" s="10" t="s">
        <v>67</v>
      </c>
    </row>
    <row r="220" spans="1:12" x14ac:dyDescent="0.25">
      <c r="A220">
        <v>242</v>
      </c>
      <c r="B220" s="10" t="s">
        <v>1067</v>
      </c>
      <c r="C220" s="10" t="s">
        <v>137</v>
      </c>
      <c r="D220" s="10" t="s">
        <v>248</v>
      </c>
      <c r="E220" s="10" t="s">
        <v>249</v>
      </c>
      <c r="F220" s="10" t="s">
        <v>104</v>
      </c>
      <c r="G220" s="10" t="s">
        <v>105</v>
      </c>
      <c r="H220" s="10" t="s">
        <v>65</v>
      </c>
      <c r="I220" s="10" t="s">
        <v>16</v>
      </c>
      <c r="J220" s="10" t="s">
        <v>528</v>
      </c>
      <c r="K220" s="10" t="s">
        <v>540</v>
      </c>
      <c r="L220" s="10" t="s">
        <v>67</v>
      </c>
    </row>
    <row r="221" spans="1:12" x14ac:dyDescent="0.25">
      <c r="A221">
        <v>242</v>
      </c>
      <c r="B221" s="10" t="s">
        <v>1067</v>
      </c>
      <c r="C221" s="10" t="s">
        <v>137</v>
      </c>
      <c r="D221" s="10" t="s">
        <v>248</v>
      </c>
      <c r="E221" s="10" t="s">
        <v>249</v>
      </c>
      <c r="F221" s="10" t="s">
        <v>106</v>
      </c>
      <c r="G221" s="10" t="s">
        <v>105</v>
      </c>
      <c r="H221" s="10" t="s">
        <v>65</v>
      </c>
      <c r="I221" s="10" t="s">
        <v>16</v>
      </c>
      <c r="J221" s="10" t="s">
        <v>1074</v>
      </c>
      <c r="K221" s="10" t="s">
        <v>1075</v>
      </c>
      <c r="L221" s="10" t="s">
        <v>67</v>
      </c>
    </row>
    <row r="222" spans="1:12" x14ac:dyDescent="0.25">
      <c r="A222">
        <v>242</v>
      </c>
      <c r="B222" s="10" t="s">
        <v>1067</v>
      </c>
      <c r="C222" s="10" t="s">
        <v>137</v>
      </c>
      <c r="D222" s="10" t="s">
        <v>248</v>
      </c>
      <c r="E222" s="10" t="s">
        <v>249</v>
      </c>
      <c r="F222" s="10" t="s">
        <v>107</v>
      </c>
      <c r="G222" s="10" t="s">
        <v>105</v>
      </c>
      <c r="H222" s="10" t="s">
        <v>65</v>
      </c>
      <c r="I222" s="10" t="s">
        <v>16</v>
      </c>
      <c r="J222" s="10" t="s">
        <v>1077</v>
      </c>
      <c r="K222" s="10" t="s">
        <v>1075</v>
      </c>
      <c r="L222" s="10" t="s">
        <v>67</v>
      </c>
    </row>
    <row r="223" spans="1:12" x14ac:dyDescent="0.25">
      <c r="A223">
        <v>242</v>
      </c>
      <c r="B223" s="10" t="s">
        <v>1067</v>
      </c>
      <c r="C223" s="10" t="s">
        <v>137</v>
      </c>
      <c r="D223" s="10" t="s">
        <v>248</v>
      </c>
      <c r="E223" s="10" t="s">
        <v>249</v>
      </c>
      <c r="F223" s="10" t="s">
        <v>108</v>
      </c>
      <c r="G223" s="10" t="s">
        <v>105</v>
      </c>
      <c r="H223" s="10" t="s">
        <v>65</v>
      </c>
      <c r="I223" s="10" t="s">
        <v>24</v>
      </c>
      <c r="J223" s="10" t="s">
        <v>323</v>
      </c>
      <c r="K223" s="10" t="s">
        <v>1078</v>
      </c>
      <c r="L223" s="10" t="s">
        <v>67</v>
      </c>
    </row>
    <row r="224" spans="1:12" x14ac:dyDescent="0.25">
      <c r="A224">
        <v>242</v>
      </c>
      <c r="B224" s="10" t="s">
        <v>1067</v>
      </c>
      <c r="C224" s="10" t="s">
        <v>137</v>
      </c>
      <c r="D224" s="10" t="s">
        <v>248</v>
      </c>
      <c r="E224" s="10" t="s">
        <v>249</v>
      </c>
      <c r="F224" s="10" t="s">
        <v>109</v>
      </c>
      <c r="G224" s="10" t="s">
        <v>105</v>
      </c>
      <c r="H224" s="10" t="s">
        <v>65</v>
      </c>
      <c r="I224" s="10" t="s">
        <v>16</v>
      </c>
      <c r="J224" s="10" t="s">
        <v>528</v>
      </c>
      <c r="K224" s="10" t="s">
        <v>540</v>
      </c>
      <c r="L224" s="10" t="s">
        <v>67</v>
      </c>
    </row>
    <row r="225" spans="1:12" x14ac:dyDescent="0.25">
      <c r="A225">
        <v>242</v>
      </c>
      <c r="B225" s="10" t="s">
        <v>1067</v>
      </c>
      <c r="C225" s="10" t="s">
        <v>137</v>
      </c>
      <c r="D225" s="10" t="s">
        <v>248</v>
      </c>
      <c r="E225" s="10" t="s">
        <v>249</v>
      </c>
      <c r="F225" s="10" t="s">
        <v>110</v>
      </c>
      <c r="G225" s="10" t="s">
        <v>105</v>
      </c>
      <c r="H225" s="10" t="s">
        <v>65</v>
      </c>
      <c r="I225" s="10" t="s">
        <v>16</v>
      </c>
      <c r="J225" s="10" t="s">
        <v>79</v>
      </c>
      <c r="K225" s="10" t="s">
        <v>1079</v>
      </c>
      <c r="L225" s="10" t="s">
        <v>67</v>
      </c>
    </row>
    <row r="226" spans="1:12" x14ac:dyDescent="0.25">
      <c r="A226">
        <v>242</v>
      </c>
      <c r="B226" s="10" t="s">
        <v>1067</v>
      </c>
      <c r="C226" s="10" t="s">
        <v>137</v>
      </c>
      <c r="D226" s="10" t="s">
        <v>248</v>
      </c>
      <c r="E226" s="10" t="s">
        <v>249</v>
      </c>
      <c r="F226" s="10" t="s">
        <v>111</v>
      </c>
      <c r="G226" s="10" t="s">
        <v>105</v>
      </c>
      <c r="H226" s="10" t="s">
        <v>65</v>
      </c>
      <c r="I226" s="10" t="s">
        <v>16</v>
      </c>
      <c r="J226" s="10" t="s">
        <v>362</v>
      </c>
      <c r="K226" s="10" t="s">
        <v>378</v>
      </c>
      <c r="L226" s="10" t="s">
        <v>67</v>
      </c>
    </row>
    <row r="227" spans="1:12" x14ac:dyDescent="0.25">
      <c r="A227">
        <v>242</v>
      </c>
      <c r="B227" s="10" t="s">
        <v>1067</v>
      </c>
      <c r="C227" s="10" t="s">
        <v>137</v>
      </c>
      <c r="D227" s="10" t="s">
        <v>248</v>
      </c>
      <c r="E227" s="10" t="s">
        <v>249</v>
      </c>
      <c r="F227" s="10" t="s">
        <v>112</v>
      </c>
      <c r="G227" s="10" t="s">
        <v>105</v>
      </c>
      <c r="H227" s="10" t="s">
        <v>65</v>
      </c>
      <c r="I227" s="10" t="s">
        <v>16</v>
      </c>
      <c r="J227" s="10" t="s">
        <v>1080</v>
      </c>
      <c r="K227" s="10" t="s">
        <v>1081</v>
      </c>
      <c r="L227" s="10" t="s">
        <v>67</v>
      </c>
    </row>
    <row r="228" spans="1:12" x14ac:dyDescent="0.25">
      <c r="A228">
        <v>242</v>
      </c>
      <c r="B228" s="10" t="s">
        <v>1067</v>
      </c>
      <c r="C228" s="10" t="s">
        <v>137</v>
      </c>
      <c r="D228" s="10" t="s">
        <v>248</v>
      </c>
      <c r="E228" s="10" t="s">
        <v>249</v>
      </c>
      <c r="F228" s="10" t="s">
        <v>113</v>
      </c>
      <c r="G228" s="10" t="s">
        <v>105</v>
      </c>
      <c r="H228" s="10" t="s">
        <v>65</v>
      </c>
      <c r="I228" s="10" t="s">
        <v>16</v>
      </c>
      <c r="J228" s="10" t="s">
        <v>1070</v>
      </c>
      <c r="K228" s="10" t="s">
        <v>1071</v>
      </c>
      <c r="L228" s="10" t="s">
        <v>67</v>
      </c>
    </row>
    <row r="229" spans="1:12" x14ac:dyDescent="0.25">
      <c r="A229">
        <v>242</v>
      </c>
      <c r="B229" s="10" t="s">
        <v>1067</v>
      </c>
      <c r="C229" s="10" t="s">
        <v>137</v>
      </c>
      <c r="D229" s="10" t="s">
        <v>248</v>
      </c>
      <c r="E229" s="10" t="s">
        <v>249</v>
      </c>
      <c r="F229" s="10" t="s">
        <v>124</v>
      </c>
      <c r="G229" s="10" t="s">
        <v>125</v>
      </c>
      <c r="H229" s="10" t="s">
        <v>72</v>
      </c>
      <c r="I229" s="10" t="s">
        <v>18</v>
      </c>
      <c r="J229" s="10" t="s">
        <v>54</v>
      </c>
      <c r="K229" s="10" t="s">
        <v>54</v>
      </c>
      <c r="L229" s="10" t="s">
        <v>54</v>
      </c>
    </row>
    <row r="230" spans="1:12" x14ac:dyDescent="0.25">
      <c r="A230">
        <v>242</v>
      </c>
      <c r="B230" s="10" t="s">
        <v>1067</v>
      </c>
      <c r="C230" s="10" t="s">
        <v>137</v>
      </c>
      <c r="D230" s="10" t="s">
        <v>248</v>
      </c>
      <c r="E230" s="10" t="s">
        <v>249</v>
      </c>
      <c r="F230" s="10" t="s">
        <v>131</v>
      </c>
      <c r="G230" s="10" t="s">
        <v>68</v>
      </c>
      <c r="H230" s="10" t="s">
        <v>65</v>
      </c>
      <c r="I230" s="10" t="s">
        <v>16</v>
      </c>
      <c r="J230" s="10" t="s">
        <v>1082</v>
      </c>
      <c r="K230" s="10" t="s">
        <v>1083</v>
      </c>
      <c r="L230" s="10" t="s">
        <v>67</v>
      </c>
    </row>
    <row r="231" spans="1:12" x14ac:dyDescent="0.25">
      <c r="A231">
        <v>242</v>
      </c>
      <c r="B231" s="10" t="s">
        <v>1067</v>
      </c>
      <c r="C231" s="10" t="s">
        <v>137</v>
      </c>
      <c r="D231" s="10" t="s">
        <v>248</v>
      </c>
      <c r="E231" s="10" t="s">
        <v>249</v>
      </c>
      <c r="F231" s="10" t="s">
        <v>132</v>
      </c>
      <c r="G231" s="10" t="s">
        <v>68</v>
      </c>
      <c r="H231" s="10" t="s">
        <v>65</v>
      </c>
      <c r="I231" s="10" t="s">
        <v>16</v>
      </c>
      <c r="J231" s="10" t="s">
        <v>1084</v>
      </c>
      <c r="K231" s="10" t="s">
        <v>1085</v>
      </c>
      <c r="L231" s="10" t="s">
        <v>54</v>
      </c>
    </row>
    <row r="232" spans="1:12" x14ac:dyDescent="0.25">
      <c r="A232">
        <v>242</v>
      </c>
      <c r="B232" s="10" t="s">
        <v>1067</v>
      </c>
      <c r="C232" s="10" t="s">
        <v>137</v>
      </c>
      <c r="D232" s="10" t="s">
        <v>248</v>
      </c>
      <c r="E232" s="10" t="s">
        <v>249</v>
      </c>
      <c r="F232" s="10" t="s">
        <v>136</v>
      </c>
      <c r="G232" s="10" t="s">
        <v>68</v>
      </c>
      <c r="H232" s="10" t="s">
        <v>65</v>
      </c>
      <c r="I232" s="10" t="s">
        <v>16</v>
      </c>
      <c r="J232" s="10" t="s">
        <v>1086</v>
      </c>
      <c r="K232" s="10" t="s">
        <v>1087</v>
      </c>
      <c r="L232" s="10" t="s">
        <v>67</v>
      </c>
    </row>
    <row r="233" spans="1:12" x14ac:dyDescent="0.25">
      <c r="A233">
        <v>166</v>
      </c>
      <c r="B233" s="10" t="s">
        <v>1088</v>
      </c>
      <c r="C233" s="10" t="s">
        <v>155</v>
      </c>
      <c r="D233" s="10" t="s">
        <v>251</v>
      </c>
      <c r="E233" s="10" t="s">
        <v>252</v>
      </c>
      <c r="F233" s="10" t="s">
        <v>71</v>
      </c>
      <c r="G233" s="10" t="s">
        <v>68</v>
      </c>
      <c r="H233" s="10" t="s">
        <v>72</v>
      </c>
      <c r="I233" s="10" t="s">
        <v>18</v>
      </c>
      <c r="J233" s="10" t="s">
        <v>54</v>
      </c>
      <c r="K233" s="10" t="s">
        <v>54</v>
      </c>
      <c r="L233" s="10" t="s">
        <v>54</v>
      </c>
    </row>
    <row r="234" spans="1:12" x14ac:dyDescent="0.25">
      <c r="A234">
        <v>166</v>
      </c>
      <c r="B234" s="10" t="s">
        <v>1088</v>
      </c>
      <c r="C234" s="10" t="s">
        <v>155</v>
      </c>
      <c r="D234" s="10" t="s">
        <v>251</v>
      </c>
      <c r="E234" s="10" t="s">
        <v>252</v>
      </c>
      <c r="F234" s="10" t="s">
        <v>73</v>
      </c>
      <c r="G234" s="10" t="s">
        <v>68</v>
      </c>
      <c r="H234" s="10" t="s">
        <v>65</v>
      </c>
      <c r="I234" s="10" t="s">
        <v>16</v>
      </c>
      <c r="J234" s="10" t="s">
        <v>1089</v>
      </c>
      <c r="K234" s="10" t="s">
        <v>365</v>
      </c>
      <c r="L234" s="10" t="s">
        <v>67</v>
      </c>
    </row>
    <row r="235" spans="1:12" x14ac:dyDescent="0.25">
      <c r="A235">
        <v>166</v>
      </c>
      <c r="B235" s="10" t="s">
        <v>1088</v>
      </c>
      <c r="C235" s="10" t="s">
        <v>155</v>
      </c>
      <c r="D235" s="10" t="s">
        <v>251</v>
      </c>
      <c r="E235" s="10" t="s">
        <v>252</v>
      </c>
      <c r="F235" s="10" t="s">
        <v>74</v>
      </c>
      <c r="G235" s="10" t="s">
        <v>68</v>
      </c>
      <c r="H235" s="10" t="s">
        <v>65</v>
      </c>
      <c r="I235" s="10" t="s">
        <v>16</v>
      </c>
      <c r="J235" s="10" t="s">
        <v>1090</v>
      </c>
      <c r="K235" s="10" t="s">
        <v>620</v>
      </c>
      <c r="L235" s="10" t="s">
        <v>67</v>
      </c>
    </row>
    <row r="236" spans="1:12" x14ac:dyDescent="0.25">
      <c r="A236">
        <v>166</v>
      </c>
      <c r="B236" s="10" t="s">
        <v>1088</v>
      </c>
      <c r="C236" s="10" t="s">
        <v>155</v>
      </c>
      <c r="D236" s="10" t="s">
        <v>251</v>
      </c>
      <c r="E236" s="10" t="s">
        <v>252</v>
      </c>
      <c r="F236" s="10" t="s">
        <v>75</v>
      </c>
      <c r="G236" s="10" t="s">
        <v>68</v>
      </c>
      <c r="H236" s="10" t="s">
        <v>72</v>
      </c>
      <c r="I236" s="10" t="s">
        <v>18</v>
      </c>
      <c r="J236" s="10" t="s">
        <v>54</v>
      </c>
      <c r="K236" s="10" t="s">
        <v>54</v>
      </c>
      <c r="L236" s="10" t="s">
        <v>54</v>
      </c>
    </row>
    <row r="237" spans="1:12" x14ac:dyDescent="0.25">
      <c r="A237">
        <v>166</v>
      </c>
      <c r="B237" s="10" t="s">
        <v>1088</v>
      </c>
      <c r="C237" s="10" t="s">
        <v>155</v>
      </c>
      <c r="D237" s="10" t="s">
        <v>251</v>
      </c>
      <c r="E237" s="10" t="s">
        <v>252</v>
      </c>
      <c r="F237" s="10" t="s">
        <v>76</v>
      </c>
      <c r="G237" s="10" t="s">
        <v>77</v>
      </c>
      <c r="H237" s="10" t="s">
        <v>65</v>
      </c>
      <c r="I237" s="10" t="s">
        <v>16</v>
      </c>
      <c r="J237" s="10" t="s">
        <v>304</v>
      </c>
      <c r="K237" s="10" t="s">
        <v>1091</v>
      </c>
      <c r="L237" s="10" t="s">
        <v>67</v>
      </c>
    </row>
    <row r="238" spans="1:12" x14ac:dyDescent="0.25">
      <c r="A238">
        <v>166</v>
      </c>
      <c r="B238" s="10" t="s">
        <v>1088</v>
      </c>
      <c r="C238" s="10" t="s">
        <v>155</v>
      </c>
      <c r="D238" s="10" t="s">
        <v>251</v>
      </c>
      <c r="E238" s="10" t="s">
        <v>252</v>
      </c>
      <c r="F238" s="10" t="s">
        <v>80</v>
      </c>
      <c r="G238" s="10" t="s">
        <v>77</v>
      </c>
      <c r="H238" s="10" t="s">
        <v>65</v>
      </c>
      <c r="I238" s="10" t="s">
        <v>16</v>
      </c>
      <c r="J238" s="10" t="s">
        <v>79</v>
      </c>
      <c r="K238" s="10" t="s">
        <v>337</v>
      </c>
      <c r="L238" s="10" t="s">
        <v>67</v>
      </c>
    </row>
    <row r="239" spans="1:12" x14ac:dyDescent="0.25">
      <c r="A239">
        <v>166</v>
      </c>
      <c r="B239" s="10" t="s">
        <v>1088</v>
      </c>
      <c r="C239" s="10" t="s">
        <v>155</v>
      </c>
      <c r="D239" s="10" t="s">
        <v>251</v>
      </c>
      <c r="E239" s="10" t="s">
        <v>252</v>
      </c>
      <c r="F239" s="10" t="s">
        <v>84</v>
      </c>
      <c r="G239" s="10" t="s">
        <v>83</v>
      </c>
      <c r="H239" s="10" t="s">
        <v>65</v>
      </c>
      <c r="I239" s="10" t="s">
        <v>16</v>
      </c>
      <c r="J239" s="10" t="s">
        <v>445</v>
      </c>
      <c r="K239" s="10" t="s">
        <v>446</v>
      </c>
      <c r="L239" s="10" t="s">
        <v>67</v>
      </c>
    </row>
    <row r="240" spans="1:12" x14ac:dyDescent="0.25">
      <c r="A240">
        <v>166</v>
      </c>
      <c r="B240" s="10" t="s">
        <v>1088</v>
      </c>
      <c r="C240" s="10" t="s">
        <v>155</v>
      </c>
      <c r="D240" s="10" t="s">
        <v>251</v>
      </c>
      <c r="E240" s="10" t="s">
        <v>252</v>
      </c>
      <c r="F240" s="10" t="s">
        <v>93</v>
      </c>
      <c r="G240" s="10" t="s">
        <v>94</v>
      </c>
      <c r="H240" s="10" t="s">
        <v>65</v>
      </c>
      <c r="I240" s="10" t="s">
        <v>16</v>
      </c>
      <c r="J240" s="10" t="s">
        <v>1092</v>
      </c>
      <c r="K240" s="10" t="s">
        <v>1093</v>
      </c>
      <c r="L240" s="10" t="s">
        <v>67</v>
      </c>
    </row>
    <row r="241" spans="1:12" x14ac:dyDescent="0.25">
      <c r="A241">
        <v>166</v>
      </c>
      <c r="B241" s="10" t="s">
        <v>1088</v>
      </c>
      <c r="C241" s="10" t="s">
        <v>155</v>
      </c>
      <c r="D241" s="10" t="s">
        <v>251</v>
      </c>
      <c r="E241" s="10" t="s">
        <v>252</v>
      </c>
      <c r="F241" s="10" t="s">
        <v>95</v>
      </c>
      <c r="G241" s="10" t="s">
        <v>94</v>
      </c>
      <c r="H241" s="10" t="s">
        <v>65</v>
      </c>
      <c r="I241" s="10" t="s">
        <v>16</v>
      </c>
      <c r="J241" s="10" t="s">
        <v>1092</v>
      </c>
      <c r="K241" s="10" t="s">
        <v>1093</v>
      </c>
      <c r="L241" s="10" t="s">
        <v>67</v>
      </c>
    </row>
    <row r="242" spans="1:12" x14ac:dyDescent="0.25">
      <c r="A242">
        <v>166</v>
      </c>
      <c r="B242" s="10" t="s">
        <v>1088</v>
      </c>
      <c r="C242" s="10" t="s">
        <v>155</v>
      </c>
      <c r="D242" s="10" t="s">
        <v>251</v>
      </c>
      <c r="E242" s="10" t="s">
        <v>252</v>
      </c>
      <c r="F242" s="10" t="s">
        <v>97</v>
      </c>
      <c r="G242" s="10" t="s">
        <v>98</v>
      </c>
      <c r="H242" s="10" t="s">
        <v>65</v>
      </c>
      <c r="I242" s="10" t="s">
        <v>16</v>
      </c>
      <c r="J242" s="10" t="s">
        <v>1094</v>
      </c>
      <c r="K242" s="10" t="s">
        <v>744</v>
      </c>
      <c r="L242" s="10" t="s">
        <v>67</v>
      </c>
    </row>
    <row r="243" spans="1:12" x14ac:dyDescent="0.25">
      <c r="A243">
        <v>166</v>
      </c>
      <c r="B243" s="10" t="s">
        <v>1088</v>
      </c>
      <c r="C243" s="10" t="s">
        <v>155</v>
      </c>
      <c r="D243" s="10" t="s">
        <v>251</v>
      </c>
      <c r="E243" s="10" t="s">
        <v>252</v>
      </c>
      <c r="F243" s="10" t="s">
        <v>100</v>
      </c>
      <c r="G243" s="10" t="s">
        <v>98</v>
      </c>
      <c r="H243" s="10" t="s">
        <v>65</v>
      </c>
      <c r="I243" s="10" t="s">
        <v>16</v>
      </c>
      <c r="J243" s="10" t="s">
        <v>1095</v>
      </c>
      <c r="K243" s="10" t="s">
        <v>1096</v>
      </c>
      <c r="L243" s="10" t="s">
        <v>67</v>
      </c>
    </row>
    <row r="244" spans="1:12" x14ac:dyDescent="0.25">
      <c r="A244">
        <v>166</v>
      </c>
      <c r="B244" s="10" t="s">
        <v>1088</v>
      </c>
      <c r="C244" s="10" t="s">
        <v>155</v>
      </c>
      <c r="D244" s="10" t="s">
        <v>251</v>
      </c>
      <c r="E244" s="10" t="s">
        <v>252</v>
      </c>
      <c r="F244" s="10" t="s">
        <v>101</v>
      </c>
      <c r="G244" s="10" t="s">
        <v>102</v>
      </c>
      <c r="H244" s="10" t="s">
        <v>65</v>
      </c>
      <c r="I244" s="10" t="s">
        <v>16</v>
      </c>
      <c r="J244" s="10" t="s">
        <v>79</v>
      </c>
      <c r="K244" s="10" t="s">
        <v>349</v>
      </c>
      <c r="L244" s="10" t="s">
        <v>67</v>
      </c>
    </row>
    <row r="245" spans="1:12" x14ac:dyDescent="0.25">
      <c r="A245">
        <v>166</v>
      </c>
      <c r="B245" s="10" t="s">
        <v>1088</v>
      </c>
      <c r="C245" s="10" t="s">
        <v>155</v>
      </c>
      <c r="D245" s="10" t="s">
        <v>251</v>
      </c>
      <c r="E245" s="10" t="s">
        <v>252</v>
      </c>
      <c r="F245" s="10" t="s">
        <v>103</v>
      </c>
      <c r="G245" s="10" t="s">
        <v>102</v>
      </c>
      <c r="H245" s="10" t="s">
        <v>65</v>
      </c>
      <c r="I245" s="10" t="s">
        <v>16</v>
      </c>
      <c r="J245" s="10" t="s">
        <v>774</v>
      </c>
      <c r="K245" s="10" t="s">
        <v>775</v>
      </c>
      <c r="L245" s="10" t="s">
        <v>67</v>
      </c>
    </row>
    <row r="246" spans="1:12" x14ac:dyDescent="0.25">
      <c r="A246">
        <v>166</v>
      </c>
      <c r="B246" s="10" t="s">
        <v>1088</v>
      </c>
      <c r="C246" s="10" t="s">
        <v>155</v>
      </c>
      <c r="D246" s="10" t="s">
        <v>251</v>
      </c>
      <c r="E246" s="10" t="s">
        <v>252</v>
      </c>
      <c r="F246" s="10" t="s">
        <v>104</v>
      </c>
      <c r="G246" s="10" t="s">
        <v>105</v>
      </c>
      <c r="H246" s="10" t="s">
        <v>65</v>
      </c>
      <c r="I246" s="10" t="s">
        <v>16</v>
      </c>
      <c r="J246" s="10" t="s">
        <v>1092</v>
      </c>
      <c r="K246" s="10" t="s">
        <v>1093</v>
      </c>
      <c r="L246" s="10" t="s">
        <v>67</v>
      </c>
    </row>
    <row r="247" spans="1:12" x14ac:dyDescent="0.25">
      <c r="A247">
        <v>166</v>
      </c>
      <c r="B247" s="10" t="s">
        <v>1088</v>
      </c>
      <c r="C247" s="10" t="s">
        <v>155</v>
      </c>
      <c r="D247" s="10" t="s">
        <v>251</v>
      </c>
      <c r="E247" s="10" t="s">
        <v>252</v>
      </c>
      <c r="F247" s="10" t="s">
        <v>106</v>
      </c>
      <c r="G247" s="10" t="s">
        <v>105</v>
      </c>
      <c r="H247" s="10" t="s">
        <v>65</v>
      </c>
      <c r="I247" s="10" t="s">
        <v>16</v>
      </c>
      <c r="J247" s="10" t="s">
        <v>1094</v>
      </c>
      <c r="K247" s="10" t="s">
        <v>744</v>
      </c>
      <c r="L247" s="10" t="s">
        <v>67</v>
      </c>
    </row>
    <row r="248" spans="1:12" x14ac:dyDescent="0.25">
      <c r="A248">
        <v>166</v>
      </c>
      <c r="B248" s="10" t="s">
        <v>1088</v>
      </c>
      <c r="C248" s="10" t="s">
        <v>155</v>
      </c>
      <c r="D248" s="10" t="s">
        <v>251</v>
      </c>
      <c r="E248" s="10" t="s">
        <v>252</v>
      </c>
      <c r="F248" s="10" t="s">
        <v>107</v>
      </c>
      <c r="G248" s="10" t="s">
        <v>105</v>
      </c>
      <c r="H248" s="10" t="s">
        <v>65</v>
      </c>
      <c r="I248" s="10" t="s">
        <v>16</v>
      </c>
      <c r="J248" s="10" t="s">
        <v>1097</v>
      </c>
      <c r="K248" s="10" t="s">
        <v>744</v>
      </c>
      <c r="L248" s="10" t="s">
        <v>67</v>
      </c>
    </row>
    <row r="249" spans="1:12" x14ac:dyDescent="0.25">
      <c r="A249">
        <v>166</v>
      </c>
      <c r="B249" s="10" t="s">
        <v>1088</v>
      </c>
      <c r="C249" s="10" t="s">
        <v>155</v>
      </c>
      <c r="D249" s="10" t="s">
        <v>251</v>
      </c>
      <c r="E249" s="10" t="s">
        <v>252</v>
      </c>
      <c r="F249" s="10" t="s">
        <v>108</v>
      </c>
      <c r="G249" s="10" t="s">
        <v>105</v>
      </c>
      <c r="H249" s="10" t="s">
        <v>65</v>
      </c>
      <c r="I249" s="10" t="s">
        <v>24</v>
      </c>
      <c r="J249" s="10" t="s">
        <v>323</v>
      </c>
      <c r="K249" s="10" t="s">
        <v>744</v>
      </c>
      <c r="L249" s="10" t="s">
        <v>67</v>
      </c>
    </row>
    <row r="250" spans="1:12" x14ac:dyDescent="0.25">
      <c r="A250">
        <v>166</v>
      </c>
      <c r="B250" s="10" t="s">
        <v>1088</v>
      </c>
      <c r="C250" s="10" t="s">
        <v>155</v>
      </c>
      <c r="D250" s="10" t="s">
        <v>251</v>
      </c>
      <c r="E250" s="10" t="s">
        <v>252</v>
      </c>
      <c r="F250" s="10" t="s">
        <v>109</v>
      </c>
      <c r="G250" s="10" t="s">
        <v>105</v>
      </c>
      <c r="H250" s="10" t="s">
        <v>65</v>
      </c>
      <c r="I250" s="10" t="s">
        <v>16</v>
      </c>
      <c r="J250" s="10" t="s">
        <v>1092</v>
      </c>
      <c r="K250" s="10" t="s">
        <v>1093</v>
      </c>
      <c r="L250" s="10" t="s">
        <v>67</v>
      </c>
    </row>
    <row r="251" spans="1:12" x14ac:dyDescent="0.25">
      <c r="A251">
        <v>166</v>
      </c>
      <c r="B251" s="10" t="s">
        <v>1088</v>
      </c>
      <c r="C251" s="10" t="s">
        <v>155</v>
      </c>
      <c r="D251" s="10" t="s">
        <v>251</v>
      </c>
      <c r="E251" s="10" t="s">
        <v>252</v>
      </c>
      <c r="F251" s="10" t="s">
        <v>110</v>
      </c>
      <c r="G251" s="10" t="s">
        <v>105</v>
      </c>
      <c r="H251" s="10" t="s">
        <v>65</v>
      </c>
      <c r="I251" s="10" t="s">
        <v>16</v>
      </c>
      <c r="J251" s="10" t="s">
        <v>79</v>
      </c>
      <c r="K251" s="10" t="s">
        <v>1093</v>
      </c>
      <c r="L251" s="10" t="s">
        <v>67</v>
      </c>
    </row>
    <row r="252" spans="1:12" x14ac:dyDescent="0.25">
      <c r="A252">
        <v>166</v>
      </c>
      <c r="B252" s="10" t="s">
        <v>1088</v>
      </c>
      <c r="C252" s="10" t="s">
        <v>155</v>
      </c>
      <c r="D252" s="10" t="s">
        <v>251</v>
      </c>
      <c r="E252" s="10" t="s">
        <v>252</v>
      </c>
      <c r="F252" s="10" t="s">
        <v>111</v>
      </c>
      <c r="G252" s="10" t="s">
        <v>105</v>
      </c>
      <c r="H252" s="10" t="s">
        <v>65</v>
      </c>
      <c r="I252" s="10" t="s">
        <v>16</v>
      </c>
      <c r="J252" s="10" t="s">
        <v>774</v>
      </c>
      <c r="K252" s="10" t="s">
        <v>775</v>
      </c>
      <c r="L252" s="10" t="s">
        <v>67</v>
      </c>
    </row>
    <row r="253" spans="1:12" x14ac:dyDescent="0.25">
      <c r="A253">
        <v>166</v>
      </c>
      <c r="B253" s="10" t="s">
        <v>1088</v>
      </c>
      <c r="C253" s="10" t="s">
        <v>155</v>
      </c>
      <c r="D253" s="10" t="s">
        <v>251</v>
      </c>
      <c r="E253" s="10" t="s">
        <v>252</v>
      </c>
      <c r="F253" s="10" t="s">
        <v>112</v>
      </c>
      <c r="G253" s="10" t="s">
        <v>105</v>
      </c>
      <c r="H253" s="10" t="s">
        <v>65</v>
      </c>
      <c r="I253" s="10" t="s">
        <v>16</v>
      </c>
      <c r="J253" s="10" t="s">
        <v>1092</v>
      </c>
      <c r="K253" s="10" t="s">
        <v>1093</v>
      </c>
      <c r="L253" s="10" t="s">
        <v>67</v>
      </c>
    </row>
    <row r="254" spans="1:12" x14ac:dyDescent="0.25">
      <c r="A254">
        <v>166</v>
      </c>
      <c r="B254" s="10" t="s">
        <v>1088</v>
      </c>
      <c r="C254" s="10" t="s">
        <v>155</v>
      </c>
      <c r="D254" s="10" t="s">
        <v>251</v>
      </c>
      <c r="E254" s="10" t="s">
        <v>252</v>
      </c>
      <c r="F254" s="10" t="s">
        <v>113</v>
      </c>
      <c r="G254" s="10" t="s">
        <v>105</v>
      </c>
      <c r="H254" s="10" t="s">
        <v>65</v>
      </c>
      <c r="I254" s="10" t="s">
        <v>16</v>
      </c>
      <c r="J254" s="10" t="s">
        <v>774</v>
      </c>
      <c r="K254" s="10" t="s">
        <v>775</v>
      </c>
      <c r="L254" s="10" t="s">
        <v>67</v>
      </c>
    </row>
    <row r="255" spans="1:12" x14ac:dyDescent="0.25">
      <c r="A255">
        <v>166</v>
      </c>
      <c r="B255" s="10" t="s">
        <v>1088</v>
      </c>
      <c r="C255" s="10" t="s">
        <v>155</v>
      </c>
      <c r="D255" s="10" t="s">
        <v>251</v>
      </c>
      <c r="E255" s="10" t="s">
        <v>252</v>
      </c>
      <c r="F255" s="10" t="s">
        <v>124</v>
      </c>
      <c r="G255" s="10" t="s">
        <v>125</v>
      </c>
      <c r="H255" s="10" t="s">
        <v>72</v>
      </c>
      <c r="I255" s="10" t="s">
        <v>18</v>
      </c>
      <c r="J255" s="10" t="s">
        <v>54</v>
      </c>
      <c r="K255" s="10" t="s">
        <v>54</v>
      </c>
      <c r="L255" s="10" t="s">
        <v>54</v>
      </c>
    </row>
    <row r="256" spans="1:12" x14ac:dyDescent="0.25">
      <c r="A256">
        <v>166</v>
      </c>
      <c r="B256" s="10" t="s">
        <v>1088</v>
      </c>
      <c r="C256" s="10" t="s">
        <v>155</v>
      </c>
      <c r="D256" s="10" t="s">
        <v>251</v>
      </c>
      <c r="E256" s="10" t="s">
        <v>252</v>
      </c>
      <c r="F256" s="10" t="s">
        <v>131</v>
      </c>
      <c r="G256" s="10" t="s">
        <v>68</v>
      </c>
      <c r="H256" s="10" t="s">
        <v>65</v>
      </c>
      <c r="I256" s="10" t="s">
        <v>16</v>
      </c>
      <c r="J256" s="10" t="s">
        <v>366</v>
      </c>
      <c r="K256" s="10" t="s">
        <v>1098</v>
      </c>
      <c r="L256" s="10" t="s">
        <v>54</v>
      </c>
    </row>
    <row r="257" spans="1:12" x14ac:dyDescent="0.25">
      <c r="A257">
        <v>166</v>
      </c>
      <c r="B257" s="10" t="s">
        <v>1088</v>
      </c>
      <c r="C257" s="10" t="s">
        <v>155</v>
      </c>
      <c r="D257" s="10" t="s">
        <v>251</v>
      </c>
      <c r="E257" s="10" t="s">
        <v>252</v>
      </c>
      <c r="F257" s="10" t="s">
        <v>154</v>
      </c>
      <c r="G257" s="10" t="s">
        <v>68</v>
      </c>
      <c r="H257" s="10" t="s">
        <v>65</v>
      </c>
      <c r="I257" s="10" t="s">
        <v>16</v>
      </c>
      <c r="J257" s="10" t="s">
        <v>366</v>
      </c>
      <c r="K257" s="10" t="s">
        <v>1098</v>
      </c>
      <c r="L257" s="10" t="s">
        <v>54</v>
      </c>
    </row>
    <row r="258" spans="1:12" x14ac:dyDescent="0.25">
      <c r="A258">
        <v>166</v>
      </c>
      <c r="B258" s="10" t="s">
        <v>1088</v>
      </c>
      <c r="C258" s="10" t="s">
        <v>155</v>
      </c>
      <c r="D258" s="10" t="s">
        <v>251</v>
      </c>
      <c r="E258" s="10" t="s">
        <v>252</v>
      </c>
      <c r="F258" s="10" t="s">
        <v>156</v>
      </c>
      <c r="G258" s="10" t="s">
        <v>125</v>
      </c>
      <c r="H258" s="10" t="s">
        <v>65</v>
      </c>
      <c r="I258" s="10" t="s">
        <v>18</v>
      </c>
      <c r="J258" s="10" t="s">
        <v>54</v>
      </c>
      <c r="K258" s="10" t="s">
        <v>54</v>
      </c>
      <c r="L258" s="10" t="s">
        <v>54</v>
      </c>
    </row>
    <row r="259" spans="1:12" x14ac:dyDescent="0.25">
      <c r="A259">
        <v>162</v>
      </c>
      <c r="B259" s="10" t="s">
        <v>503</v>
      </c>
      <c r="C259" s="10" t="s">
        <v>150</v>
      </c>
      <c r="D259" s="10" t="s">
        <v>147</v>
      </c>
      <c r="E259" s="10" t="s">
        <v>148</v>
      </c>
      <c r="F259" s="10" t="s">
        <v>71</v>
      </c>
      <c r="G259" s="10" t="s">
        <v>68</v>
      </c>
      <c r="H259" s="10" t="s">
        <v>72</v>
      </c>
      <c r="I259" s="10" t="s">
        <v>18</v>
      </c>
      <c r="J259" s="10" t="s">
        <v>54</v>
      </c>
      <c r="K259" s="10" t="s">
        <v>54</v>
      </c>
      <c r="L259" s="10" t="s">
        <v>54</v>
      </c>
    </row>
    <row r="260" spans="1:12" x14ac:dyDescent="0.25">
      <c r="A260">
        <v>162</v>
      </c>
      <c r="B260" s="10" t="s">
        <v>503</v>
      </c>
      <c r="C260" s="10" t="s">
        <v>150</v>
      </c>
      <c r="D260" s="10" t="s">
        <v>147</v>
      </c>
      <c r="E260" s="10" t="s">
        <v>148</v>
      </c>
      <c r="F260" s="10" t="s">
        <v>73</v>
      </c>
      <c r="G260" s="10" t="s">
        <v>68</v>
      </c>
      <c r="H260" s="10" t="s">
        <v>65</v>
      </c>
      <c r="I260" s="10" t="s">
        <v>16</v>
      </c>
      <c r="J260" s="10" t="s">
        <v>504</v>
      </c>
      <c r="K260" s="10" t="s">
        <v>505</v>
      </c>
      <c r="L260" s="10" t="s">
        <v>67</v>
      </c>
    </row>
    <row r="261" spans="1:12" x14ac:dyDescent="0.25">
      <c r="A261">
        <v>162</v>
      </c>
      <c r="B261" s="10" t="s">
        <v>503</v>
      </c>
      <c r="C261" s="10" t="s">
        <v>150</v>
      </c>
      <c r="D261" s="10" t="s">
        <v>147</v>
      </c>
      <c r="E261" s="10" t="s">
        <v>148</v>
      </c>
      <c r="F261" s="10" t="s">
        <v>74</v>
      </c>
      <c r="G261" s="10" t="s">
        <v>68</v>
      </c>
      <c r="H261" s="10" t="s">
        <v>65</v>
      </c>
      <c r="I261" s="10" t="s">
        <v>16</v>
      </c>
      <c r="J261" s="10" t="s">
        <v>506</v>
      </c>
      <c r="K261" s="10" t="s">
        <v>507</v>
      </c>
      <c r="L261" s="10" t="s">
        <v>67</v>
      </c>
    </row>
    <row r="262" spans="1:12" x14ac:dyDescent="0.25">
      <c r="A262">
        <v>162</v>
      </c>
      <c r="B262" s="10" t="s">
        <v>503</v>
      </c>
      <c r="C262" s="10" t="s">
        <v>150</v>
      </c>
      <c r="D262" s="10" t="s">
        <v>147</v>
      </c>
      <c r="E262" s="10" t="s">
        <v>148</v>
      </c>
      <c r="F262" s="10" t="s">
        <v>75</v>
      </c>
      <c r="G262" s="10" t="s">
        <v>68</v>
      </c>
      <c r="H262" s="10" t="s">
        <v>72</v>
      </c>
      <c r="I262" s="10" t="s">
        <v>18</v>
      </c>
      <c r="J262" s="10" t="s">
        <v>54</v>
      </c>
      <c r="K262" s="10" t="s">
        <v>54</v>
      </c>
      <c r="L262" s="10" t="s">
        <v>54</v>
      </c>
    </row>
    <row r="263" spans="1:12" x14ac:dyDescent="0.25">
      <c r="A263">
        <v>162</v>
      </c>
      <c r="B263" s="10" t="s">
        <v>503</v>
      </c>
      <c r="C263" s="10" t="s">
        <v>150</v>
      </c>
      <c r="D263" s="10" t="s">
        <v>147</v>
      </c>
      <c r="E263" s="10" t="s">
        <v>148</v>
      </c>
      <c r="F263" s="10" t="s">
        <v>76</v>
      </c>
      <c r="G263" s="10" t="s">
        <v>77</v>
      </c>
      <c r="H263" s="10" t="s">
        <v>65</v>
      </c>
      <c r="I263" s="10" t="s">
        <v>16</v>
      </c>
      <c r="J263" s="10" t="s">
        <v>410</v>
      </c>
      <c r="K263" s="10" t="s">
        <v>508</v>
      </c>
      <c r="L263" s="10" t="s">
        <v>67</v>
      </c>
    </row>
    <row r="264" spans="1:12" x14ac:dyDescent="0.25">
      <c r="A264">
        <v>162</v>
      </c>
      <c r="B264" s="10" t="s">
        <v>503</v>
      </c>
      <c r="C264" s="10" t="s">
        <v>150</v>
      </c>
      <c r="D264" s="10" t="s">
        <v>147</v>
      </c>
      <c r="E264" s="10" t="s">
        <v>148</v>
      </c>
      <c r="F264" s="10" t="s">
        <v>80</v>
      </c>
      <c r="G264" s="10" t="s">
        <v>77</v>
      </c>
      <c r="H264" s="10" t="s">
        <v>65</v>
      </c>
      <c r="I264" s="10" t="s">
        <v>16</v>
      </c>
      <c r="J264" s="10" t="s">
        <v>79</v>
      </c>
      <c r="K264" s="10" t="s">
        <v>509</v>
      </c>
      <c r="L264" s="10" t="s">
        <v>67</v>
      </c>
    </row>
    <row r="265" spans="1:12" x14ac:dyDescent="0.25">
      <c r="A265">
        <v>162</v>
      </c>
      <c r="B265" s="10" t="s">
        <v>503</v>
      </c>
      <c r="C265" s="10" t="s">
        <v>150</v>
      </c>
      <c r="D265" s="10" t="s">
        <v>147</v>
      </c>
      <c r="E265" s="10" t="s">
        <v>148</v>
      </c>
      <c r="F265" s="10" t="s">
        <v>84</v>
      </c>
      <c r="G265" s="10" t="s">
        <v>83</v>
      </c>
      <c r="H265" s="10" t="s">
        <v>65</v>
      </c>
      <c r="I265" s="10" t="s">
        <v>16</v>
      </c>
      <c r="J265" s="10" t="s">
        <v>510</v>
      </c>
      <c r="K265" s="10" t="s">
        <v>511</v>
      </c>
      <c r="L265" s="10" t="s">
        <v>67</v>
      </c>
    </row>
    <row r="266" spans="1:12" x14ac:dyDescent="0.25">
      <c r="A266">
        <v>162</v>
      </c>
      <c r="B266" s="10" t="s">
        <v>503</v>
      </c>
      <c r="C266" s="10" t="s">
        <v>150</v>
      </c>
      <c r="D266" s="10" t="s">
        <v>147</v>
      </c>
      <c r="E266" s="10" t="s">
        <v>148</v>
      </c>
      <c r="F266" s="10" t="s">
        <v>93</v>
      </c>
      <c r="G266" s="10" t="s">
        <v>94</v>
      </c>
      <c r="H266" s="10" t="s">
        <v>65</v>
      </c>
      <c r="I266" s="10" t="s">
        <v>16</v>
      </c>
      <c r="J266" s="10" t="s">
        <v>293</v>
      </c>
      <c r="K266" s="10" t="s">
        <v>294</v>
      </c>
      <c r="L266" s="10" t="s">
        <v>67</v>
      </c>
    </row>
    <row r="267" spans="1:12" x14ac:dyDescent="0.25">
      <c r="A267">
        <v>162</v>
      </c>
      <c r="B267" s="10" t="s">
        <v>503</v>
      </c>
      <c r="C267" s="10" t="s">
        <v>150</v>
      </c>
      <c r="D267" s="10" t="s">
        <v>147</v>
      </c>
      <c r="E267" s="10" t="s">
        <v>148</v>
      </c>
      <c r="F267" s="10" t="s">
        <v>95</v>
      </c>
      <c r="G267" s="10" t="s">
        <v>94</v>
      </c>
      <c r="H267" s="10" t="s">
        <v>65</v>
      </c>
      <c r="I267" s="10" t="s">
        <v>16</v>
      </c>
      <c r="J267" s="10" t="s">
        <v>293</v>
      </c>
      <c r="K267" s="10" t="s">
        <v>294</v>
      </c>
      <c r="L267" s="10" t="s">
        <v>67</v>
      </c>
    </row>
    <row r="268" spans="1:12" x14ac:dyDescent="0.25">
      <c r="A268">
        <v>162</v>
      </c>
      <c r="B268" s="10" t="s">
        <v>503</v>
      </c>
      <c r="C268" s="10" t="s">
        <v>150</v>
      </c>
      <c r="D268" s="10" t="s">
        <v>147</v>
      </c>
      <c r="E268" s="10" t="s">
        <v>148</v>
      </c>
      <c r="F268" s="10" t="s">
        <v>97</v>
      </c>
      <c r="G268" s="10" t="s">
        <v>98</v>
      </c>
      <c r="H268" s="10" t="s">
        <v>65</v>
      </c>
      <c r="I268" s="10" t="s">
        <v>16</v>
      </c>
      <c r="J268" s="10" t="s">
        <v>512</v>
      </c>
      <c r="K268" s="10" t="s">
        <v>513</v>
      </c>
      <c r="L268" s="10" t="s">
        <v>67</v>
      </c>
    </row>
    <row r="269" spans="1:12" x14ac:dyDescent="0.25">
      <c r="A269">
        <v>162</v>
      </c>
      <c r="B269" s="10" t="s">
        <v>503</v>
      </c>
      <c r="C269" s="10" t="s">
        <v>150</v>
      </c>
      <c r="D269" s="10" t="s">
        <v>147</v>
      </c>
      <c r="E269" s="10" t="s">
        <v>148</v>
      </c>
      <c r="F269" s="10" t="s">
        <v>99</v>
      </c>
      <c r="G269" s="10" t="s">
        <v>98</v>
      </c>
      <c r="H269" s="10" t="s">
        <v>65</v>
      </c>
      <c r="I269" s="10" t="s">
        <v>16</v>
      </c>
      <c r="J269" s="10" t="s">
        <v>514</v>
      </c>
      <c r="K269" s="10" t="s">
        <v>515</v>
      </c>
      <c r="L269" s="10" t="s">
        <v>67</v>
      </c>
    </row>
    <row r="270" spans="1:12" x14ac:dyDescent="0.25">
      <c r="A270">
        <v>162</v>
      </c>
      <c r="B270" s="10" t="s">
        <v>503</v>
      </c>
      <c r="C270" s="10" t="s">
        <v>150</v>
      </c>
      <c r="D270" s="10" t="s">
        <v>147</v>
      </c>
      <c r="E270" s="10" t="s">
        <v>148</v>
      </c>
      <c r="F270" s="10" t="s">
        <v>100</v>
      </c>
      <c r="G270" s="10" t="s">
        <v>98</v>
      </c>
      <c r="H270" s="10" t="s">
        <v>65</v>
      </c>
      <c r="I270" s="10" t="s">
        <v>16</v>
      </c>
      <c r="J270" s="10" t="s">
        <v>516</v>
      </c>
      <c r="K270" s="10" t="s">
        <v>517</v>
      </c>
      <c r="L270" s="10" t="s">
        <v>67</v>
      </c>
    </row>
    <row r="271" spans="1:12" x14ac:dyDescent="0.25">
      <c r="A271">
        <v>162</v>
      </c>
      <c r="B271" s="10" t="s">
        <v>503</v>
      </c>
      <c r="C271" s="10" t="s">
        <v>150</v>
      </c>
      <c r="D271" s="10" t="s">
        <v>147</v>
      </c>
      <c r="E271" s="10" t="s">
        <v>148</v>
      </c>
      <c r="F271" s="10" t="s">
        <v>101</v>
      </c>
      <c r="G271" s="10" t="s">
        <v>102</v>
      </c>
      <c r="H271" s="10" t="s">
        <v>65</v>
      </c>
      <c r="I271" s="10" t="s">
        <v>16</v>
      </c>
      <c r="J271" s="10" t="s">
        <v>79</v>
      </c>
      <c r="K271" s="10" t="s">
        <v>518</v>
      </c>
      <c r="L271" s="10" t="s">
        <v>67</v>
      </c>
    </row>
    <row r="272" spans="1:12" x14ac:dyDescent="0.25">
      <c r="A272">
        <v>162</v>
      </c>
      <c r="B272" s="10" t="s">
        <v>503</v>
      </c>
      <c r="C272" s="10" t="s">
        <v>150</v>
      </c>
      <c r="D272" s="10" t="s">
        <v>147</v>
      </c>
      <c r="E272" s="10" t="s">
        <v>148</v>
      </c>
      <c r="F272" s="10" t="s">
        <v>103</v>
      </c>
      <c r="G272" s="10" t="s">
        <v>102</v>
      </c>
      <c r="H272" s="10" t="s">
        <v>65</v>
      </c>
      <c r="I272" s="10" t="s">
        <v>16</v>
      </c>
      <c r="J272" s="10" t="s">
        <v>392</v>
      </c>
      <c r="K272" s="10" t="s">
        <v>393</v>
      </c>
      <c r="L272" s="10" t="s">
        <v>67</v>
      </c>
    </row>
    <row r="273" spans="1:12" x14ac:dyDescent="0.25">
      <c r="A273">
        <v>162</v>
      </c>
      <c r="B273" s="10" t="s">
        <v>503</v>
      </c>
      <c r="C273" s="10" t="s">
        <v>150</v>
      </c>
      <c r="D273" s="10" t="s">
        <v>147</v>
      </c>
      <c r="E273" s="10" t="s">
        <v>148</v>
      </c>
      <c r="F273" s="10" t="s">
        <v>104</v>
      </c>
      <c r="G273" s="10" t="s">
        <v>105</v>
      </c>
      <c r="H273" s="10" t="s">
        <v>65</v>
      </c>
      <c r="I273" s="10" t="s">
        <v>16</v>
      </c>
      <c r="J273" s="10" t="s">
        <v>519</v>
      </c>
      <c r="K273" s="10" t="s">
        <v>520</v>
      </c>
      <c r="L273" s="10" t="s">
        <v>67</v>
      </c>
    </row>
    <row r="274" spans="1:12" x14ac:dyDescent="0.25">
      <c r="A274">
        <v>162</v>
      </c>
      <c r="B274" s="10" t="s">
        <v>503</v>
      </c>
      <c r="C274" s="10" t="s">
        <v>150</v>
      </c>
      <c r="D274" s="10" t="s">
        <v>147</v>
      </c>
      <c r="E274" s="10" t="s">
        <v>148</v>
      </c>
      <c r="F274" s="10" t="s">
        <v>106</v>
      </c>
      <c r="G274" s="10" t="s">
        <v>105</v>
      </c>
      <c r="H274" s="10" t="s">
        <v>65</v>
      </c>
      <c r="I274" s="10" t="s">
        <v>16</v>
      </c>
      <c r="J274" s="10" t="s">
        <v>512</v>
      </c>
      <c r="K274" s="10" t="s">
        <v>513</v>
      </c>
      <c r="L274" s="10" t="s">
        <v>67</v>
      </c>
    </row>
    <row r="275" spans="1:12" x14ac:dyDescent="0.25">
      <c r="A275">
        <v>162</v>
      </c>
      <c r="B275" s="10" t="s">
        <v>503</v>
      </c>
      <c r="C275" s="10" t="s">
        <v>150</v>
      </c>
      <c r="D275" s="10" t="s">
        <v>147</v>
      </c>
      <c r="E275" s="10" t="s">
        <v>148</v>
      </c>
      <c r="F275" s="10" t="s">
        <v>107</v>
      </c>
      <c r="G275" s="10" t="s">
        <v>105</v>
      </c>
      <c r="H275" s="10" t="s">
        <v>65</v>
      </c>
      <c r="I275" s="10" t="s">
        <v>16</v>
      </c>
      <c r="J275" s="10" t="s">
        <v>521</v>
      </c>
      <c r="K275" s="10" t="s">
        <v>522</v>
      </c>
      <c r="L275" s="10" t="s">
        <v>67</v>
      </c>
    </row>
    <row r="276" spans="1:12" x14ac:dyDescent="0.25">
      <c r="A276">
        <v>162</v>
      </c>
      <c r="B276" s="10" t="s">
        <v>503</v>
      </c>
      <c r="C276" s="10" t="s">
        <v>150</v>
      </c>
      <c r="D276" s="10" t="s">
        <v>147</v>
      </c>
      <c r="E276" s="10" t="s">
        <v>148</v>
      </c>
      <c r="F276" s="10" t="s">
        <v>108</v>
      </c>
      <c r="G276" s="10" t="s">
        <v>105</v>
      </c>
      <c r="H276" s="10" t="s">
        <v>65</v>
      </c>
      <c r="I276" s="10" t="s">
        <v>16</v>
      </c>
      <c r="J276" s="10" t="s">
        <v>310</v>
      </c>
      <c r="K276" s="10" t="s">
        <v>311</v>
      </c>
      <c r="L276" s="10" t="s">
        <v>67</v>
      </c>
    </row>
    <row r="277" spans="1:12" x14ac:dyDescent="0.25">
      <c r="A277">
        <v>162</v>
      </c>
      <c r="B277" s="10" t="s">
        <v>503</v>
      </c>
      <c r="C277" s="10" t="s">
        <v>150</v>
      </c>
      <c r="D277" s="10" t="s">
        <v>147</v>
      </c>
      <c r="E277" s="10" t="s">
        <v>148</v>
      </c>
      <c r="F277" s="10" t="s">
        <v>109</v>
      </c>
      <c r="G277" s="10" t="s">
        <v>105</v>
      </c>
      <c r="H277" s="10" t="s">
        <v>65</v>
      </c>
      <c r="I277" s="10" t="s">
        <v>16</v>
      </c>
      <c r="J277" s="10" t="s">
        <v>389</v>
      </c>
      <c r="K277" s="10" t="s">
        <v>390</v>
      </c>
      <c r="L277" s="10" t="s">
        <v>67</v>
      </c>
    </row>
    <row r="278" spans="1:12" x14ac:dyDescent="0.25">
      <c r="A278">
        <v>162</v>
      </c>
      <c r="B278" s="10" t="s">
        <v>503</v>
      </c>
      <c r="C278" s="10" t="s">
        <v>150</v>
      </c>
      <c r="D278" s="10" t="s">
        <v>147</v>
      </c>
      <c r="E278" s="10" t="s">
        <v>148</v>
      </c>
      <c r="F278" s="10" t="s">
        <v>110</v>
      </c>
      <c r="G278" s="10" t="s">
        <v>105</v>
      </c>
      <c r="H278" s="10" t="s">
        <v>65</v>
      </c>
      <c r="I278" s="10" t="s">
        <v>16</v>
      </c>
      <c r="J278" s="10" t="s">
        <v>79</v>
      </c>
      <c r="K278" s="10" t="s">
        <v>522</v>
      </c>
      <c r="L278" s="10" t="s">
        <v>67</v>
      </c>
    </row>
    <row r="279" spans="1:12" x14ac:dyDescent="0.25">
      <c r="A279">
        <v>162</v>
      </c>
      <c r="B279" s="10" t="s">
        <v>503</v>
      </c>
      <c r="C279" s="10" t="s">
        <v>150</v>
      </c>
      <c r="D279" s="10" t="s">
        <v>147</v>
      </c>
      <c r="E279" s="10" t="s">
        <v>148</v>
      </c>
      <c r="F279" s="10" t="s">
        <v>111</v>
      </c>
      <c r="G279" s="10" t="s">
        <v>105</v>
      </c>
      <c r="H279" s="10" t="s">
        <v>65</v>
      </c>
      <c r="I279" s="10" t="s">
        <v>16</v>
      </c>
      <c r="J279" s="10" t="s">
        <v>510</v>
      </c>
      <c r="K279" s="10" t="s">
        <v>511</v>
      </c>
      <c r="L279" s="10" t="s">
        <v>67</v>
      </c>
    </row>
    <row r="280" spans="1:12" x14ac:dyDescent="0.25">
      <c r="A280">
        <v>162</v>
      </c>
      <c r="B280" s="10" t="s">
        <v>503</v>
      </c>
      <c r="C280" s="10" t="s">
        <v>150</v>
      </c>
      <c r="D280" s="10" t="s">
        <v>147</v>
      </c>
      <c r="E280" s="10" t="s">
        <v>148</v>
      </c>
      <c r="F280" s="10" t="s">
        <v>112</v>
      </c>
      <c r="G280" s="10" t="s">
        <v>105</v>
      </c>
      <c r="H280" s="10" t="s">
        <v>65</v>
      </c>
      <c r="I280" s="10" t="s">
        <v>16</v>
      </c>
      <c r="J280" s="10" t="s">
        <v>523</v>
      </c>
      <c r="K280" s="10" t="s">
        <v>513</v>
      </c>
      <c r="L280" s="10" t="s">
        <v>67</v>
      </c>
    </row>
    <row r="281" spans="1:12" x14ac:dyDescent="0.25">
      <c r="A281">
        <v>162</v>
      </c>
      <c r="B281" s="10" t="s">
        <v>503</v>
      </c>
      <c r="C281" s="10" t="s">
        <v>150</v>
      </c>
      <c r="D281" s="10" t="s">
        <v>147</v>
      </c>
      <c r="E281" s="10" t="s">
        <v>148</v>
      </c>
      <c r="F281" s="10" t="s">
        <v>113</v>
      </c>
      <c r="G281" s="10" t="s">
        <v>105</v>
      </c>
      <c r="H281" s="10" t="s">
        <v>65</v>
      </c>
      <c r="I281" s="10" t="s">
        <v>16</v>
      </c>
      <c r="J281" s="10" t="s">
        <v>279</v>
      </c>
      <c r="K281" s="10" t="s">
        <v>280</v>
      </c>
      <c r="L281" s="10" t="s">
        <v>67</v>
      </c>
    </row>
    <row r="282" spans="1:12" x14ac:dyDescent="0.25">
      <c r="A282">
        <v>162</v>
      </c>
      <c r="B282" s="10" t="s">
        <v>503</v>
      </c>
      <c r="C282" s="10" t="s">
        <v>150</v>
      </c>
      <c r="D282" s="10" t="s">
        <v>147</v>
      </c>
      <c r="E282" s="10" t="s">
        <v>148</v>
      </c>
      <c r="F282" s="10" t="s">
        <v>149</v>
      </c>
      <c r="G282" s="10" t="s">
        <v>68</v>
      </c>
      <c r="H282" s="10" t="s">
        <v>65</v>
      </c>
      <c r="I282" s="10" t="s">
        <v>16</v>
      </c>
      <c r="J282" s="10" t="s">
        <v>447</v>
      </c>
      <c r="K282" s="10" t="s">
        <v>524</v>
      </c>
      <c r="L282" s="10" t="s">
        <v>67</v>
      </c>
    </row>
    <row r="283" spans="1:12" x14ac:dyDescent="0.25">
      <c r="A283">
        <v>169</v>
      </c>
      <c r="B283" s="10" t="s">
        <v>625</v>
      </c>
      <c r="C283" s="10" t="s">
        <v>164</v>
      </c>
      <c r="D283" s="10" t="s">
        <v>170</v>
      </c>
      <c r="E283" s="10" t="s">
        <v>171</v>
      </c>
      <c r="F283" s="10" t="s">
        <v>71</v>
      </c>
      <c r="G283" s="10" t="s">
        <v>68</v>
      </c>
      <c r="H283" s="10" t="s">
        <v>72</v>
      </c>
      <c r="I283" s="10" t="s">
        <v>18</v>
      </c>
      <c r="J283" s="10" t="s">
        <v>54</v>
      </c>
      <c r="K283" s="10" t="s">
        <v>54</v>
      </c>
      <c r="L283" s="10" t="s">
        <v>54</v>
      </c>
    </row>
    <row r="284" spans="1:12" x14ac:dyDescent="0.25">
      <c r="A284">
        <v>169</v>
      </c>
      <c r="B284" s="10" t="s">
        <v>625</v>
      </c>
      <c r="C284" s="10" t="s">
        <v>164</v>
      </c>
      <c r="D284" s="10" t="s">
        <v>170</v>
      </c>
      <c r="E284" s="10" t="s">
        <v>171</v>
      </c>
      <c r="F284" s="10" t="s">
        <v>73</v>
      </c>
      <c r="G284" s="10" t="s">
        <v>68</v>
      </c>
      <c r="H284" s="10" t="s">
        <v>65</v>
      </c>
      <c r="I284" s="10" t="s">
        <v>16</v>
      </c>
      <c r="J284" s="10" t="s">
        <v>626</v>
      </c>
      <c r="K284" s="10" t="s">
        <v>627</v>
      </c>
      <c r="L284" s="10" t="s">
        <v>67</v>
      </c>
    </row>
    <row r="285" spans="1:12" x14ac:dyDescent="0.25">
      <c r="A285">
        <v>169</v>
      </c>
      <c r="B285" s="10" t="s">
        <v>625</v>
      </c>
      <c r="C285" s="10" t="s">
        <v>164</v>
      </c>
      <c r="D285" s="10" t="s">
        <v>170</v>
      </c>
      <c r="E285" s="10" t="s">
        <v>171</v>
      </c>
      <c r="F285" s="10" t="s">
        <v>74</v>
      </c>
      <c r="G285" s="10" t="s">
        <v>68</v>
      </c>
      <c r="H285" s="10" t="s">
        <v>65</v>
      </c>
      <c r="I285" s="10" t="s">
        <v>16</v>
      </c>
      <c r="J285" s="10" t="s">
        <v>628</v>
      </c>
      <c r="K285" s="10" t="s">
        <v>313</v>
      </c>
      <c r="L285" s="10" t="s">
        <v>67</v>
      </c>
    </row>
    <row r="286" spans="1:12" x14ac:dyDescent="0.25">
      <c r="A286">
        <v>169</v>
      </c>
      <c r="B286" s="10" t="s">
        <v>625</v>
      </c>
      <c r="C286" s="10" t="s">
        <v>164</v>
      </c>
      <c r="D286" s="10" t="s">
        <v>170</v>
      </c>
      <c r="E286" s="10" t="s">
        <v>171</v>
      </c>
      <c r="F286" s="10" t="s">
        <v>75</v>
      </c>
      <c r="G286" s="10" t="s">
        <v>68</v>
      </c>
      <c r="H286" s="10" t="s">
        <v>72</v>
      </c>
      <c r="I286" s="10" t="s">
        <v>16</v>
      </c>
      <c r="J286" s="10" t="s">
        <v>629</v>
      </c>
      <c r="K286" s="10" t="s">
        <v>313</v>
      </c>
      <c r="L286" s="10" t="s">
        <v>67</v>
      </c>
    </row>
    <row r="287" spans="1:12" x14ac:dyDescent="0.25">
      <c r="A287">
        <v>169</v>
      </c>
      <c r="B287" s="10" t="s">
        <v>625</v>
      </c>
      <c r="C287" s="10" t="s">
        <v>164</v>
      </c>
      <c r="D287" s="10" t="s">
        <v>170</v>
      </c>
      <c r="E287" s="10" t="s">
        <v>171</v>
      </c>
      <c r="F287" s="10" t="s">
        <v>76</v>
      </c>
      <c r="G287" s="10" t="s">
        <v>77</v>
      </c>
      <c r="H287" s="10" t="s">
        <v>65</v>
      </c>
      <c r="I287" s="10" t="s">
        <v>16</v>
      </c>
      <c r="J287" s="10" t="s">
        <v>630</v>
      </c>
      <c r="K287" s="10" t="s">
        <v>617</v>
      </c>
      <c r="L287" s="10" t="s">
        <v>67</v>
      </c>
    </row>
    <row r="288" spans="1:12" x14ac:dyDescent="0.25">
      <c r="A288">
        <v>169</v>
      </c>
      <c r="B288" s="10" t="s">
        <v>625</v>
      </c>
      <c r="C288" s="10" t="s">
        <v>164</v>
      </c>
      <c r="D288" s="10" t="s">
        <v>170</v>
      </c>
      <c r="E288" s="10" t="s">
        <v>171</v>
      </c>
      <c r="F288" s="10" t="s">
        <v>80</v>
      </c>
      <c r="G288" s="10" t="s">
        <v>77</v>
      </c>
      <c r="H288" s="10" t="s">
        <v>65</v>
      </c>
      <c r="I288" s="10" t="s">
        <v>16</v>
      </c>
      <c r="J288" s="10" t="s">
        <v>79</v>
      </c>
      <c r="K288" s="10" t="s">
        <v>631</v>
      </c>
      <c r="L288" s="10" t="s">
        <v>67</v>
      </c>
    </row>
    <row r="289" spans="1:12" x14ac:dyDescent="0.25">
      <c r="A289">
        <v>169</v>
      </c>
      <c r="B289" s="10" t="s">
        <v>625</v>
      </c>
      <c r="C289" s="10" t="s">
        <v>164</v>
      </c>
      <c r="D289" s="10" t="s">
        <v>170</v>
      </c>
      <c r="E289" s="10" t="s">
        <v>171</v>
      </c>
      <c r="F289" s="10" t="s">
        <v>84</v>
      </c>
      <c r="G289" s="10" t="s">
        <v>83</v>
      </c>
      <c r="H289" s="10" t="s">
        <v>65</v>
      </c>
      <c r="I289" s="10" t="s">
        <v>16</v>
      </c>
      <c r="J289" s="10" t="s">
        <v>392</v>
      </c>
      <c r="K289" s="10" t="s">
        <v>393</v>
      </c>
      <c r="L289" s="10" t="s">
        <v>67</v>
      </c>
    </row>
    <row r="290" spans="1:12" x14ac:dyDescent="0.25">
      <c r="A290">
        <v>169</v>
      </c>
      <c r="B290" s="10" t="s">
        <v>625</v>
      </c>
      <c r="C290" s="10" t="s">
        <v>164</v>
      </c>
      <c r="D290" s="10" t="s">
        <v>170</v>
      </c>
      <c r="E290" s="10" t="s">
        <v>171</v>
      </c>
      <c r="F290" s="10" t="s">
        <v>93</v>
      </c>
      <c r="G290" s="10" t="s">
        <v>94</v>
      </c>
      <c r="H290" s="10" t="s">
        <v>65</v>
      </c>
      <c r="I290" s="10" t="s">
        <v>16</v>
      </c>
      <c r="J290" s="10" t="s">
        <v>632</v>
      </c>
      <c r="K290" s="10" t="s">
        <v>633</v>
      </c>
      <c r="L290" s="10" t="s">
        <v>67</v>
      </c>
    </row>
    <row r="291" spans="1:12" x14ac:dyDescent="0.25">
      <c r="A291">
        <v>169</v>
      </c>
      <c r="B291" s="10" t="s">
        <v>625</v>
      </c>
      <c r="C291" s="10" t="s">
        <v>164</v>
      </c>
      <c r="D291" s="10" t="s">
        <v>170</v>
      </c>
      <c r="E291" s="10" t="s">
        <v>171</v>
      </c>
      <c r="F291" s="10" t="s">
        <v>95</v>
      </c>
      <c r="G291" s="10" t="s">
        <v>94</v>
      </c>
      <c r="H291" s="10" t="s">
        <v>65</v>
      </c>
      <c r="I291" s="10" t="s">
        <v>16</v>
      </c>
      <c r="J291" s="10" t="s">
        <v>632</v>
      </c>
      <c r="K291" s="10" t="s">
        <v>633</v>
      </c>
      <c r="L291" s="10" t="s">
        <v>67</v>
      </c>
    </row>
    <row r="292" spans="1:12" x14ac:dyDescent="0.25">
      <c r="A292">
        <v>169</v>
      </c>
      <c r="B292" s="10" t="s">
        <v>625</v>
      </c>
      <c r="C292" s="10" t="s">
        <v>164</v>
      </c>
      <c r="D292" s="10" t="s">
        <v>170</v>
      </c>
      <c r="E292" s="10" t="s">
        <v>171</v>
      </c>
      <c r="F292" s="10" t="s">
        <v>97</v>
      </c>
      <c r="G292" s="10" t="s">
        <v>98</v>
      </c>
      <c r="H292" s="10" t="s">
        <v>65</v>
      </c>
      <c r="I292" s="10" t="s">
        <v>16</v>
      </c>
      <c r="J292" s="10" t="s">
        <v>382</v>
      </c>
      <c r="K292" s="10" t="s">
        <v>360</v>
      </c>
      <c r="L292" s="10" t="s">
        <v>67</v>
      </c>
    </row>
    <row r="293" spans="1:12" x14ac:dyDescent="0.25">
      <c r="A293">
        <v>169</v>
      </c>
      <c r="B293" s="10" t="s">
        <v>625</v>
      </c>
      <c r="C293" s="10" t="s">
        <v>164</v>
      </c>
      <c r="D293" s="10" t="s">
        <v>170</v>
      </c>
      <c r="E293" s="10" t="s">
        <v>171</v>
      </c>
      <c r="F293" s="10" t="s">
        <v>100</v>
      </c>
      <c r="G293" s="10" t="s">
        <v>98</v>
      </c>
      <c r="H293" s="10" t="s">
        <v>72</v>
      </c>
      <c r="I293" s="10" t="s">
        <v>18</v>
      </c>
      <c r="J293" s="10" t="s">
        <v>54</v>
      </c>
      <c r="K293" s="10" t="s">
        <v>54</v>
      </c>
      <c r="L293" s="10" t="s">
        <v>54</v>
      </c>
    </row>
    <row r="294" spans="1:12" x14ac:dyDescent="0.25">
      <c r="A294">
        <v>169</v>
      </c>
      <c r="B294" s="10" t="s">
        <v>625</v>
      </c>
      <c r="C294" s="10" t="s">
        <v>164</v>
      </c>
      <c r="D294" s="10" t="s">
        <v>170</v>
      </c>
      <c r="E294" s="10" t="s">
        <v>171</v>
      </c>
      <c r="F294" s="10" t="s">
        <v>101</v>
      </c>
      <c r="G294" s="10" t="s">
        <v>102</v>
      </c>
      <c r="H294" s="10" t="s">
        <v>65</v>
      </c>
      <c r="I294" s="10" t="s">
        <v>16</v>
      </c>
      <c r="J294" s="10" t="s">
        <v>79</v>
      </c>
      <c r="K294" s="10" t="s">
        <v>383</v>
      </c>
      <c r="L294" s="10" t="s">
        <v>67</v>
      </c>
    </row>
    <row r="295" spans="1:12" x14ac:dyDescent="0.25">
      <c r="A295">
        <v>169</v>
      </c>
      <c r="B295" s="10" t="s">
        <v>625</v>
      </c>
      <c r="C295" s="10" t="s">
        <v>164</v>
      </c>
      <c r="D295" s="10" t="s">
        <v>170</v>
      </c>
      <c r="E295" s="10" t="s">
        <v>171</v>
      </c>
      <c r="F295" s="10" t="s">
        <v>103</v>
      </c>
      <c r="G295" s="10" t="s">
        <v>102</v>
      </c>
      <c r="H295" s="10" t="s">
        <v>65</v>
      </c>
      <c r="I295" s="10" t="s">
        <v>16</v>
      </c>
      <c r="J295" s="10" t="s">
        <v>634</v>
      </c>
      <c r="K295" s="10" t="s">
        <v>635</v>
      </c>
      <c r="L295" s="10" t="s">
        <v>67</v>
      </c>
    </row>
    <row r="296" spans="1:12" x14ac:dyDescent="0.25">
      <c r="A296">
        <v>169</v>
      </c>
      <c r="B296" s="10" t="s">
        <v>625</v>
      </c>
      <c r="C296" s="10" t="s">
        <v>164</v>
      </c>
      <c r="D296" s="10" t="s">
        <v>170</v>
      </c>
      <c r="E296" s="10" t="s">
        <v>171</v>
      </c>
      <c r="F296" s="10" t="s">
        <v>104</v>
      </c>
      <c r="G296" s="10" t="s">
        <v>105</v>
      </c>
      <c r="H296" s="10" t="s">
        <v>65</v>
      </c>
      <c r="I296" s="10" t="s">
        <v>16</v>
      </c>
      <c r="J296" s="10" t="s">
        <v>636</v>
      </c>
      <c r="K296" s="10" t="s">
        <v>637</v>
      </c>
      <c r="L296" s="10" t="s">
        <v>67</v>
      </c>
    </row>
    <row r="297" spans="1:12" x14ac:dyDescent="0.25">
      <c r="A297">
        <v>169</v>
      </c>
      <c r="B297" s="10" t="s">
        <v>625</v>
      </c>
      <c r="C297" s="10" t="s">
        <v>164</v>
      </c>
      <c r="D297" s="10" t="s">
        <v>170</v>
      </c>
      <c r="E297" s="10" t="s">
        <v>171</v>
      </c>
      <c r="F297" s="10" t="s">
        <v>106</v>
      </c>
      <c r="G297" s="10" t="s">
        <v>105</v>
      </c>
      <c r="H297" s="10" t="s">
        <v>65</v>
      </c>
      <c r="I297" s="10" t="s">
        <v>16</v>
      </c>
      <c r="J297" s="10" t="s">
        <v>382</v>
      </c>
      <c r="K297" s="10" t="s">
        <v>360</v>
      </c>
      <c r="L297" s="10" t="s">
        <v>67</v>
      </c>
    </row>
    <row r="298" spans="1:12" x14ac:dyDescent="0.25">
      <c r="A298">
        <v>169</v>
      </c>
      <c r="B298" s="10" t="s">
        <v>625</v>
      </c>
      <c r="C298" s="10" t="s">
        <v>164</v>
      </c>
      <c r="D298" s="10" t="s">
        <v>170</v>
      </c>
      <c r="E298" s="10" t="s">
        <v>171</v>
      </c>
      <c r="F298" s="10" t="s">
        <v>107</v>
      </c>
      <c r="G298" s="10" t="s">
        <v>105</v>
      </c>
      <c r="H298" s="10" t="s">
        <v>65</v>
      </c>
      <c r="I298" s="10" t="s">
        <v>16</v>
      </c>
      <c r="J298" s="10" t="s">
        <v>386</v>
      </c>
      <c r="K298" s="10" t="s">
        <v>360</v>
      </c>
      <c r="L298" s="10" t="s">
        <v>67</v>
      </c>
    </row>
    <row r="299" spans="1:12" x14ac:dyDescent="0.25">
      <c r="A299">
        <v>169</v>
      </c>
      <c r="B299" s="10" t="s">
        <v>625</v>
      </c>
      <c r="C299" s="10" t="s">
        <v>164</v>
      </c>
      <c r="D299" s="10" t="s">
        <v>170</v>
      </c>
      <c r="E299" s="10" t="s">
        <v>171</v>
      </c>
      <c r="F299" s="10" t="s">
        <v>108</v>
      </c>
      <c r="G299" s="10" t="s">
        <v>105</v>
      </c>
      <c r="H299" s="10" t="s">
        <v>65</v>
      </c>
      <c r="I299" s="10" t="s">
        <v>16</v>
      </c>
      <c r="J299" s="10" t="s">
        <v>638</v>
      </c>
      <c r="K299" s="10" t="s">
        <v>452</v>
      </c>
      <c r="L299" s="10" t="s">
        <v>67</v>
      </c>
    </row>
    <row r="300" spans="1:12" x14ac:dyDescent="0.25">
      <c r="A300">
        <v>169</v>
      </c>
      <c r="B300" s="10" t="s">
        <v>625</v>
      </c>
      <c r="C300" s="10" t="s">
        <v>164</v>
      </c>
      <c r="D300" s="10" t="s">
        <v>170</v>
      </c>
      <c r="E300" s="10" t="s">
        <v>171</v>
      </c>
      <c r="F300" s="10" t="s">
        <v>109</v>
      </c>
      <c r="G300" s="10" t="s">
        <v>105</v>
      </c>
      <c r="H300" s="10" t="s">
        <v>65</v>
      </c>
      <c r="I300" s="10" t="s">
        <v>16</v>
      </c>
      <c r="J300" s="10" t="s">
        <v>636</v>
      </c>
      <c r="K300" s="10" t="s">
        <v>637</v>
      </c>
      <c r="L300" s="10" t="s">
        <v>67</v>
      </c>
    </row>
    <row r="301" spans="1:12" x14ac:dyDescent="0.25">
      <c r="A301">
        <v>169</v>
      </c>
      <c r="B301" s="10" t="s">
        <v>625</v>
      </c>
      <c r="C301" s="10" t="s">
        <v>164</v>
      </c>
      <c r="D301" s="10" t="s">
        <v>170</v>
      </c>
      <c r="E301" s="10" t="s">
        <v>171</v>
      </c>
      <c r="F301" s="10" t="s">
        <v>110</v>
      </c>
      <c r="G301" s="10" t="s">
        <v>105</v>
      </c>
      <c r="H301" s="10" t="s">
        <v>65</v>
      </c>
      <c r="I301" s="10" t="s">
        <v>16</v>
      </c>
      <c r="J301" s="10" t="s">
        <v>79</v>
      </c>
      <c r="K301" s="10" t="s">
        <v>360</v>
      </c>
      <c r="L301" s="10" t="s">
        <v>67</v>
      </c>
    </row>
    <row r="302" spans="1:12" x14ac:dyDescent="0.25">
      <c r="A302">
        <v>169</v>
      </c>
      <c r="B302" s="10" t="s">
        <v>625</v>
      </c>
      <c r="C302" s="10" t="s">
        <v>164</v>
      </c>
      <c r="D302" s="10" t="s">
        <v>170</v>
      </c>
      <c r="E302" s="10" t="s">
        <v>171</v>
      </c>
      <c r="F302" s="10" t="s">
        <v>111</v>
      </c>
      <c r="G302" s="10" t="s">
        <v>105</v>
      </c>
      <c r="H302" s="10" t="s">
        <v>65</v>
      </c>
      <c r="I302" s="10" t="s">
        <v>16</v>
      </c>
      <c r="J302" s="10" t="s">
        <v>453</v>
      </c>
      <c r="K302" s="10" t="s">
        <v>454</v>
      </c>
      <c r="L302" s="10" t="s">
        <v>67</v>
      </c>
    </row>
    <row r="303" spans="1:12" x14ac:dyDescent="0.25">
      <c r="A303">
        <v>169</v>
      </c>
      <c r="B303" s="10" t="s">
        <v>625</v>
      </c>
      <c r="C303" s="10" t="s">
        <v>164</v>
      </c>
      <c r="D303" s="10" t="s">
        <v>170</v>
      </c>
      <c r="E303" s="10" t="s">
        <v>171</v>
      </c>
      <c r="F303" s="10" t="s">
        <v>112</v>
      </c>
      <c r="G303" s="10" t="s">
        <v>105</v>
      </c>
      <c r="H303" s="10" t="s">
        <v>65</v>
      </c>
      <c r="I303" s="10" t="s">
        <v>16</v>
      </c>
      <c r="J303" s="10" t="s">
        <v>639</v>
      </c>
      <c r="K303" s="10" t="s">
        <v>640</v>
      </c>
      <c r="L303" s="10" t="s">
        <v>67</v>
      </c>
    </row>
    <row r="304" spans="1:12" x14ac:dyDescent="0.25">
      <c r="A304">
        <v>169</v>
      </c>
      <c r="B304" s="10" t="s">
        <v>625</v>
      </c>
      <c r="C304" s="10" t="s">
        <v>164</v>
      </c>
      <c r="D304" s="10" t="s">
        <v>170</v>
      </c>
      <c r="E304" s="10" t="s">
        <v>171</v>
      </c>
      <c r="F304" s="10" t="s">
        <v>113</v>
      </c>
      <c r="G304" s="10" t="s">
        <v>105</v>
      </c>
      <c r="H304" s="10" t="s">
        <v>65</v>
      </c>
      <c r="I304" s="10" t="s">
        <v>16</v>
      </c>
      <c r="J304" s="10" t="s">
        <v>314</v>
      </c>
      <c r="K304" s="10" t="s">
        <v>315</v>
      </c>
      <c r="L304" s="10" t="s">
        <v>67</v>
      </c>
    </row>
    <row r="305" spans="1:12" x14ac:dyDescent="0.25">
      <c r="A305">
        <v>169</v>
      </c>
      <c r="B305" s="10" t="s">
        <v>625</v>
      </c>
      <c r="C305" s="10" t="s">
        <v>164</v>
      </c>
      <c r="D305" s="10" t="s">
        <v>170</v>
      </c>
      <c r="E305" s="10" t="s">
        <v>171</v>
      </c>
      <c r="F305" s="10" t="s">
        <v>124</v>
      </c>
      <c r="G305" s="10" t="s">
        <v>125</v>
      </c>
      <c r="H305" s="10" t="s">
        <v>72</v>
      </c>
      <c r="I305" s="10" t="s">
        <v>16</v>
      </c>
      <c r="J305" s="10" t="s">
        <v>641</v>
      </c>
      <c r="K305" s="10" t="s">
        <v>524</v>
      </c>
      <c r="L305" s="10" t="s">
        <v>67</v>
      </c>
    </row>
    <row r="306" spans="1:12" x14ac:dyDescent="0.25">
      <c r="A306">
        <v>169</v>
      </c>
      <c r="B306" s="10" t="s">
        <v>625</v>
      </c>
      <c r="C306" s="10" t="s">
        <v>164</v>
      </c>
      <c r="D306" s="10" t="s">
        <v>170</v>
      </c>
      <c r="E306" s="10" t="s">
        <v>171</v>
      </c>
      <c r="F306" s="10" t="s">
        <v>131</v>
      </c>
      <c r="G306" s="10" t="s">
        <v>68</v>
      </c>
      <c r="H306" s="10" t="s">
        <v>72</v>
      </c>
      <c r="I306" s="10" t="s">
        <v>16</v>
      </c>
      <c r="J306" s="10" t="s">
        <v>642</v>
      </c>
      <c r="K306" s="10" t="s">
        <v>643</v>
      </c>
      <c r="L306" s="10" t="s">
        <v>54</v>
      </c>
    </row>
    <row r="307" spans="1:12" x14ac:dyDescent="0.25">
      <c r="A307">
        <v>169</v>
      </c>
      <c r="B307" s="10" t="s">
        <v>625</v>
      </c>
      <c r="C307" s="10" t="s">
        <v>164</v>
      </c>
      <c r="D307" s="10" t="s">
        <v>170</v>
      </c>
      <c r="E307" s="10" t="s">
        <v>171</v>
      </c>
      <c r="F307" s="10" t="s">
        <v>156</v>
      </c>
      <c r="G307" s="10" t="s">
        <v>125</v>
      </c>
      <c r="H307" s="10" t="s">
        <v>65</v>
      </c>
      <c r="I307" s="10" t="s">
        <v>16</v>
      </c>
      <c r="J307" s="10" t="s">
        <v>641</v>
      </c>
      <c r="K307" s="10" t="s">
        <v>524</v>
      </c>
      <c r="L307" s="10" t="s">
        <v>67</v>
      </c>
    </row>
    <row r="308" spans="1:12" x14ac:dyDescent="0.25">
      <c r="A308">
        <v>169</v>
      </c>
      <c r="B308" s="10" t="s">
        <v>625</v>
      </c>
      <c r="C308" s="10" t="s">
        <v>164</v>
      </c>
      <c r="D308" s="10" t="s">
        <v>170</v>
      </c>
      <c r="E308" s="10" t="s">
        <v>171</v>
      </c>
      <c r="F308" s="10" t="s">
        <v>163</v>
      </c>
      <c r="G308" s="10" t="s">
        <v>68</v>
      </c>
      <c r="H308" s="10" t="s">
        <v>65</v>
      </c>
      <c r="I308" s="10" t="s">
        <v>16</v>
      </c>
      <c r="J308" s="10" t="s">
        <v>644</v>
      </c>
      <c r="K308" s="10" t="s">
        <v>645</v>
      </c>
      <c r="L308" s="10" t="s">
        <v>54</v>
      </c>
    </row>
    <row r="309" spans="1:12" x14ac:dyDescent="0.25">
      <c r="A309">
        <v>169</v>
      </c>
      <c r="B309" s="10" t="s">
        <v>625</v>
      </c>
      <c r="C309" s="10" t="s">
        <v>164</v>
      </c>
      <c r="D309" s="10" t="s">
        <v>170</v>
      </c>
      <c r="E309" s="10" t="s">
        <v>171</v>
      </c>
      <c r="F309" s="10" t="s">
        <v>165</v>
      </c>
      <c r="G309" s="10" t="s">
        <v>68</v>
      </c>
      <c r="H309" s="10" t="s">
        <v>72</v>
      </c>
      <c r="I309" s="10" t="s">
        <v>16</v>
      </c>
      <c r="J309" s="10" t="s">
        <v>79</v>
      </c>
      <c r="K309" s="10" t="s">
        <v>646</v>
      </c>
      <c r="L309" s="10" t="s">
        <v>67</v>
      </c>
    </row>
    <row r="310" spans="1:12" x14ac:dyDescent="0.25">
      <c r="A310">
        <v>175</v>
      </c>
      <c r="B310" s="10" t="s">
        <v>599</v>
      </c>
      <c r="C310" s="10" t="s">
        <v>164</v>
      </c>
      <c r="D310" s="10" t="s">
        <v>167</v>
      </c>
      <c r="E310" s="10" t="s">
        <v>168</v>
      </c>
      <c r="F310" s="10" t="s">
        <v>71</v>
      </c>
      <c r="G310" s="10" t="s">
        <v>68</v>
      </c>
      <c r="H310" s="10" t="s">
        <v>72</v>
      </c>
      <c r="I310" s="10" t="s">
        <v>18</v>
      </c>
      <c r="J310" s="10" t="s">
        <v>54</v>
      </c>
      <c r="K310" s="10" t="s">
        <v>54</v>
      </c>
      <c r="L310" s="10" t="s">
        <v>54</v>
      </c>
    </row>
    <row r="311" spans="1:12" x14ac:dyDescent="0.25">
      <c r="A311">
        <v>175</v>
      </c>
      <c r="B311" s="10" t="s">
        <v>599</v>
      </c>
      <c r="C311" s="10" t="s">
        <v>164</v>
      </c>
      <c r="D311" s="10" t="s">
        <v>167</v>
      </c>
      <c r="E311" s="10" t="s">
        <v>168</v>
      </c>
      <c r="F311" s="10" t="s">
        <v>73</v>
      </c>
      <c r="G311" s="10" t="s">
        <v>68</v>
      </c>
      <c r="H311" s="10" t="s">
        <v>65</v>
      </c>
      <c r="I311" s="10" t="s">
        <v>16</v>
      </c>
      <c r="J311" s="10" t="s">
        <v>504</v>
      </c>
      <c r="K311" s="10" t="s">
        <v>505</v>
      </c>
      <c r="L311" s="10" t="s">
        <v>67</v>
      </c>
    </row>
    <row r="312" spans="1:12" x14ac:dyDescent="0.25">
      <c r="A312">
        <v>175</v>
      </c>
      <c r="B312" s="10" t="s">
        <v>599</v>
      </c>
      <c r="C312" s="10" t="s">
        <v>164</v>
      </c>
      <c r="D312" s="10" t="s">
        <v>167</v>
      </c>
      <c r="E312" s="10" t="s">
        <v>168</v>
      </c>
      <c r="F312" s="10" t="s">
        <v>74</v>
      </c>
      <c r="G312" s="10" t="s">
        <v>68</v>
      </c>
      <c r="H312" s="10" t="s">
        <v>65</v>
      </c>
      <c r="I312" s="10" t="s">
        <v>16</v>
      </c>
      <c r="J312" s="10" t="s">
        <v>600</v>
      </c>
      <c r="K312" s="10" t="s">
        <v>601</v>
      </c>
      <c r="L312" s="10" t="s">
        <v>67</v>
      </c>
    </row>
    <row r="313" spans="1:12" x14ac:dyDescent="0.25">
      <c r="A313">
        <v>175</v>
      </c>
      <c r="B313" s="10" t="s">
        <v>599</v>
      </c>
      <c r="C313" s="10" t="s">
        <v>164</v>
      </c>
      <c r="D313" s="10" t="s">
        <v>167</v>
      </c>
      <c r="E313" s="10" t="s">
        <v>168</v>
      </c>
      <c r="F313" s="10" t="s">
        <v>75</v>
      </c>
      <c r="G313" s="10" t="s">
        <v>68</v>
      </c>
      <c r="H313" s="10" t="s">
        <v>72</v>
      </c>
      <c r="I313" s="10" t="s">
        <v>18</v>
      </c>
      <c r="J313" s="10" t="s">
        <v>54</v>
      </c>
      <c r="K313" s="10" t="s">
        <v>54</v>
      </c>
      <c r="L313" s="10" t="s">
        <v>54</v>
      </c>
    </row>
    <row r="314" spans="1:12" x14ac:dyDescent="0.25">
      <c r="A314">
        <v>175</v>
      </c>
      <c r="B314" s="10" t="s">
        <v>599</v>
      </c>
      <c r="C314" s="10" t="s">
        <v>164</v>
      </c>
      <c r="D314" s="10" t="s">
        <v>167</v>
      </c>
      <c r="E314" s="10" t="s">
        <v>168</v>
      </c>
      <c r="F314" s="10" t="s">
        <v>76</v>
      </c>
      <c r="G314" s="10" t="s">
        <v>77</v>
      </c>
      <c r="H314" s="10" t="s">
        <v>65</v>
      </c>
      <c r="I314" s="10" t="s">
        <v>16</v>
      </c>
      <c r="J314" s="10" t="s">
        <v>602</v>
      </c>
      <c r="K314" s="10" t="s">
        <v>603</v>
      </c>
      <c r="L314" s="10" t="s">
        <v>67</v>
      </c>
    </row>
    <row r="315" spans="1:12" x14ac:dyDescent="0.25">
      <c r="A315">
        <v>175</v>
      </c>
      <c r="B315" s="10" t="s">
        <v>599</v>
      </c>
      <c r="C315" s="10" t="s">
        <v>164</v>
      </c>
      <c r="D315" s="10" t="s">
        <v>167</v>
      </c>
      <c r="E315" s="10" t="s">
        <v>168</v>
      </c>
      <c r="F315" s="10" t="s">
        <v>80</v>
      </c>
      <c r="G315" s="10" t="s">
        <v>77</v>
      </c>
      <c r="H315" s="10" t="s">
        <v>65</v>
      </c>
      <c r="I315" s="10" t="s">
        <v>16</v>
      </c>
      <c r="J315" s="10" t="s">
        <v>79</v>
      </c>
      <c r="K315" s="10" t="s">
        <v>604</v>
      </c>
      <c r="L315" s="10" t="s">
        <v>67</v>
      </c>
    </row>
    <row r="316" spans="1:12" x14ac:dyDescent="0.25">
      <c r="A316">
        <v>175</v>
      </c>
      <c r="B316" s="10" t="s">
        <v>599</v>
      </c>
      <c r="C316" s="10" t="s">
        <v>164</v>
      </c>
      <c r="D316" s="10" t="s">
        <v>167</v>
      </c>
      <c r="E316" s="10" t="s">
        <v>168</v>
      </c>
      <c r="F316" s="10" t="s">
        <v>84</v>
      </c>
      <c r="G316" s="10" t="s">
        <v>83</v>
      </c>
      <c r="H316" s="10" t="s">
        <v>65</v>
      </c>
      <c r="I316" s="10" t="s">
        <v>16</v>
      </c>
      <c r="J316" s="10" t="s">
        <v>423</v>
      </c>
      <c r="K316" s="10" t="s">
        <v>424</v>
      </c>
      <c r="L316" s="10" t="s">
        <v>67</v>
      </c>
    </row>
    <row r="317" spans="1:12" x14ac:dyDescent="0.25">
      <c r="A317">
        <v>175</v>
      </c>
      <c r="B317" s="10" t="s">
        <v>599</v>
      </c>
      <c r="C317" s="10" t="s">
        <v>164</v>
      </c>
      <c r="D317" s="10" t="s">
        <v>167</v>
      </c>
      <c r="E317" s="10" t="s">
        <v>168</v>
      </c>
      <c r="F317" s="10" t="s">
        <v>93</v>
      </c>
      <c r="G317" s="10" t="s">
        <v>94</v>
      </c>
      <c r="H317" s="10" t="s">
        <v>65</v>
      </c>
      <c r="I317" s="10" t="s">
        <v>16</v>
      </c>
      <c r="J317" s="10" t="s">
        <v>605</v>
      </c>
      <c r="K317" s="10" t="s">
        <v>606</v>
      </c>
      <c r="L317" s="10" t="s">
        <v>67</v>
      </c>
    </row>
    <row r="318" spans="1:12" x14ac:dyDescent="0.25">
      <c r="A318">
        <v>175</v>
      </c>
      <c r="B318" s="10" t="s">
        <v>599</v>
      </c>
      <c r="C318" s="10" t="s">
        <v>164</v>
      </c>
      <c r="D318" s="10" t="s">
        <v>167</v>
      </c>
      <c r="E318" s="10" t="s">
        <v>168</v>
      </c>
      <c r="F318" s="10" t="s">
        <v>95</v>
      </c>
      <c r="G318" s="10" t="s">
        <v>94</v>
      </c>
      <c r="H318" s="10" t="s">
        <v>65</v>
      </c>
      <c r="I318" s="10" t="s">
        <v>16</v>
      </c>
      <c r="J318" s="10" t="s">
        <v>605</v>
      </c>
      <c r="K318" s="10" t="s">
        <v>606</v>
      </c>
      <c r="L318" s="10" t="s">
        <v>67</v>
      </c>
    </row>
    <row r="319" spans="1:12" x14ac:dyDescent="0.25">
      <c r="A319">
        <v>175</v>
      </c>
      <c r="B319" s="10" t="s">
        <v>599</v>
      </c>
      <c r="C319" s="10" t="s">
        <v>164</v>
      </c>
      <c r="D319" s="10" t="s">
        <v>167</v>
      </c>
      <c r="E319" s="10" t="s">
        <v>168</v>
      </c>
      <c r="F319" s="10" t="s">
        <v>97</v>
      </c>
      <c r="G319" s="10" t="s">
        <v>98</v>
      </c>
      <c r="H319" s="10" t="s">
        <v>65</v>
      </c>
      <c r="I319" s="10" t="s">
        <v>16</v>
      </c>
      <c r="J319" s="10" t="s">
        <v>607</v>
      </c>
      <c r="K319" s="10" t="s">
        <v>601</v>
      </c>
      <c r="L319" s="10" t="s">
        <v>67</v>
      </c>
    </row>
    <row r="320" spans="1:12" x14ac:dyDescent="0.25">
      <c r="A320">
        <v>175</v>
      </c>
      <c r="B320" s="10" t="s">
        <v>599</v>
      </c>
      <c r="C320" s="10" t="s">
        <v>164</v>
      </c>
      <c r="D320" s="10" t="s">
        <v>167</v>
      </c>
      <c r="E320" s="10" t="s">
        <v>168</v>
      </c>
      <c r="F320" s="10" t="s">
        <v>100</v>
      </c>
      <c r="G320" s="10" t="s">
        <v>98</v>
      </c>
      <c r="H320" s="10" t="s">
        <v>72</v>
      </c>
      <c r="I320" s="10" t="s">
        <v>16</v>
      </c>
      <c r="J320" s="10" t="s">
        <v>608</v>
      </c>
      <c r="K320" s="10" t="s">
        <v>609</v>
      </c>
      <c r="L320" s="10" t="s">
        <v>67</v>
      </c>
    </row>
    <row r="321" spans="1:12" x14ac:dyDescent="0.25">
      <c r="A321">
        <v>175</v>
      </c>
      <c r="B321" s="10" t="s">
        <v>599</v>
      </c>
      <c r="C321" s="10" t="s">
        <v>164</v>
      </c>
      <c r="D321" s="10" t="s">
        <v>167</v>
      </c>
      <c r="E321" s="10" t="s">
        <v>168</v>
      </c>
      <c r="F321" s="10" t="s">
        <v>101</v>
      </c>
      <c r="G321" s="10" t="s">
        <v>102</v>
      </c>
      <c r="H321" s="10" t="s">
        <v>65</v>
      </c>
      <c r="I321" s="10" t="s">
        <v>16</v>
      </c>
      <c r="J321" s="10" t="s">
        <v>79</v>
      </c>
      <c r="K321" s="10" t="s">
        <v>610</v>
      </c>
      <c r="L321" s="10" t="s">
        <v>67</v>
      </c>
    </row>
    <row r="322" spans="1:12" x14ac:dyDescent="0.25">
      <c r="A322">
        <v>175</v>
      </c>
      <c r="B322" s="10" t="s">
        <v>599</v>
      </c>
      <c r="C322" s="10" t="s">
        <v>164</v>
      </c>
      <c r="D322" s="10" t="s">
        <v>167</v>
      </c>
      <c r="E322" s="10" t="s">
        <v>168</v>
      </c>
      <c r="F322" s="10" t="s">
        <v>103</v>
      </c>
      <c r="G322" s="10" t="s">
        <v>102</v>
      </c>
      <c r="H322" s="10" t="s">
        <v>65</v>
      </c>
      <c r="I322" s="10" t="s">
        <v>16</v>
      </c>
      <c r="J322" s="10" t="s">
        <v>423</v>
      </c>
      <c r="K322" s="10" t="s">
        <v>424</v>
      </c>
      <c r="L322" s="10" t="s">
        <v>67</v>
      </c>
    </row>
    <row r="323" spans="1:12" x14ac:dyDescent="0.25">
      <c r="A323">
        <v>175</v>
      </c>
      <c r="B323" s="10" t="s">
        <v>599</v>
      </c>
      <c r="C323" s="10" t="s">
        <v>164</v>
      </c>
      <c r="D323" s="10" t="s">
        <v>167</v>
      </c>
      <c r="E323" s="10" t="s">
        <v>168</v>
      </c>
      <c r="F323" s="10" t="s">
        <v>104</v>
      </c>
      <c r="G323" s="10" t="s">
        <v>105</v>
      </c>
      <c r="H323" s="10" t="s">
        <v>65</v>
      </c>
      <c r="I323" s="10" t="s">
        <v>16</v>
      </c>
      <c r="J323" s="10" t="s">
        <v>611</v>
      </c>
      <c r="K323" s="10" t="s">
        <v>522</v>
      </c>
      <c r="L323" s="10" t="s">
        <v>67</v>
      </c>
    </row>
    <row r="324" spans="1:12" x14ac:dyDescent="0.25">
      <c r="A324">
        <v>175</v>
      </c>
      <c r="B324" s="10" t="s">
        <v>599</v>
      </c>
      <c r="C324" s="10" t="s">
        <v>164</v>
      </c>
      <c r="D324" s="10" t="s">
        <v>167</v>
      </c>
      <c r="E324" s="10" t="s">
        <v>168</v>
      </c>
      <c r="F324" s="10" t="s">
        <v>106</v>
      </c>
      <c r="G324" s="10" t="s">
        <v>105</v>
      </c>
      <c r="H324" s="10" t="s">
        <v>65</v>
      </c>
      <c r="I324" s="10" t="s">
        <v>16</v>
      </c>
      <c r="J324" s="10" t="s">
        <v>612</v>
      </c>
      <c r="K324" s="10" t="s">
        <v>613</v>
      </c>
      <c r="L324" s="10" t="s">
        <v>67</v>
      </c>
    </row>
    <row r="325" spans="1:12" x14ac:dyDescent="0.25">
      <c r="A325">
        <v>175</v>
      </c>
      <c r="B325" s="10" t="s">
        <v>599</v>
      </c>
      <c r="C325" s="10" t="s">
        <v>164</v>
      </c>
      <c r="D325" s="10" t="s">
        <v>167</v>
      </c>
      <c r="E325" s="10" t="s">
        <v>168</v>
      </c>
      <c r="F325" s="10" t="s">
        <v>107</v>
      </c>
      <c r="G325" s="10" t="s">
        <v>105</v>
      </c>
      <c r="H325" s="10" t="s">
        <v>65</v>
      </c>
      <c r="I325" s="10" t="s">
        <v>16</v>
      </c>
      <c r="J325" s="10" t="s">
        <v>614</v>
      </c>
      <c r="K325" s="10" t="s">
        <v>601</v>
      </c>
      <c r="L325" s="10" t="s">
        <v>67</v>
      </c>
    </row>
    <row r="326" spans="1:12" x14ac:dyDescent="0.25">
      <c r="A326">
        <v>175</v>
      </c>
      <c r="B326" s="10" t="s">
        <v>599</v>
      </c>
      <c r="C326" s="10" t="s">
        <v>164</v>
      </c>
      <c r="D326" s="10" t="s">
        <v>167</v>
      </c>
      <c r="E326" s="10" t="s">
        <v>168</v>
      </c>
      <c r="F326" s="10" t="s">
        <v>108</v>
      </c>
      <c r="G326" s="10" t="s">
        <v>105</v>
      </c>
      <c r="H326" s="10" t="s">
        <v>65</v>
      </c>
      <c r="I326" s="10" t="s">
        <v>16</v>
      </c>
      <c r="J326" s="10" t="s">
        <v>615</v>
      </c>
      <c r="K326" s="10" t="s">
        <v>616</v>
      </c>
      <c r="L326" s="10" t="s">
        <v>67</v>
      </c>
    </row>
    <row r="327" spans="1:12" x14ac:dyDescent="0.25">
      <c r="A327">
        <v>175</v>
      </c>
      <c r="B327" s="10" t="s">
        <v>599</v>
      </c>
      <c r="C327" s="10" t="s">
        <v>164</v>
      </c>
      <c r="D327" s="10" t="s">
        <v>167</v>
      </c>
      <c r="E327" s="10" t="s">
        <v>168</v>
      </c>
      <c r="F327" s="10" t="s">
        <v>109</v>
      </c>
      <c r="G327" s="10" t="s">
        <v>105</v>
      </c>
      <c r="H327" s="10" t="s">
        <v>65</v>
      </c>
      <c r="I327" s="10" t="s">
        <v>16</v>
      </c>
      <c r="J327" s="10" t="s">
        <v>353</v>
      </c>
      <c r="K327" s="10" t="s">
        <v>354</v>
      </c>
      <c r="L327" s="10" t="s">
        <v>67</v>
      </c>
    </row>
    <row r="328" spans="1:12" x14ac:dyDescent="0.25">
      <c r="A328">
        <v>175</v>
      </c>
      <c r="B328" s="10" t="s">
        <v>599</v>
      </c>
      <c r="C328" s="10" t="s">
        <v>164</v>
      </c>
      <c r="D328" s="10" t="s">
        <v>167</v>
      </c>
      <c r="E328" s="10" t="s">
        <v>168</v>
      </c>
      <c r="F328" s="10" t="s">
        <v>110</v>
      </c>
      <c r="G328" s="10" t="s">
        <v>105</v>
      </c>
      <c r="H328" s="10" t="s">
        <v>65</v>
      </c>
      <c r="I328" s="10" t="s">
        <v>16</v>
      </c>
      <c r="J328" s="10" t="s">
        <v>79</v>
      </c>
      <c r="K328" s="10" t="s">
        <v>601</v>
      </c>
      <c r="L328" s="10" t="s">
        <v>67</v>
      </c>
    </row>
    <row r="329" spans="1:12" x14ac:dyDescent="0.25">
      <c r="A329">
        <v>175</v>
      </c>
      <c r="B329" s="10" t="s">
        <v>599</v>
      </c>
      <c r="C329" s="10" t="s">
        <v>164</v>
      </c>
      <c r="D329" s="10" t="s">
        <v>167</v>
      </c>
      <c r="E329" s="10" t="s">
        <v>168</v>
      </c>
      <c r="F329" s="10" t="s">
        <v>111</v>
      </c>
      <c r="G329" s="10" t="s">
        <v>105</v>
      </c>
      <c r="H329" s="10" t="s">
        <v>65</v>
      </c>
      <c r="I329" s="10" t="s">
        <v>16</v>
      </c>
      <c r="J329" s="10" t="s">
        <v>602</v>
      </c>
      <c r="K329" s="10" t="s">
        <v>617</v>
      </c>
      <c r="L329" s="10" t="s">
        <v>67</v>
      </c>
    </row>
    <row r="330" spans="1:12" x14ac:dyDescent="0.25">
      <c r="A330">
        <v>175</v>
      </c>
      <c r="B330" s="10" t="s">
        <v>599</v>
      </c>
      <c r="C330" s="10" t="s">
        <v>164</v>
      </c>
      <c r="D330" s="10" t="s">
        <v>167</v>
      </c>
      <c r="E330" s="10" t="s">
        <v>168</v>
      </c>
      <c r="F330" s="10" t="s">
        <v>112</v>
      </c>
      <c r="G330" s="10" t="s">
        <v>105</v>
      </c>
      <c r="H330" s="10" t="s">
        <v>65</v>
      </c>
      <c r="I330" s="10" t="s">
        <v>16</v>
      </c>
      <c r="J330" s="10" t="s">
        <v>618</v>
      </c>
      <c r="K330" s="10" t="s">
        <v>297</v>
      </c>
      <c r="L330" s="10" t="s">
        <v>67</v>
      </c>
    </row>
    <row r="331" spans="1:12" x14ac:dyDescent="0.25">
      <c r="A331">
        <v>175</v>
      </c>
      <c r="B331" s="10" t="s">
        <v>599</v>
      </c>
      <c r="C331" s="10" t="s">
        <v>164</v>
      </c>
      <c r="D331" s="10" t="s">
        <v>167</v>
      </c>
      <c r="E331" s="10" t="s">
        <v>168</v>
      </c>
      <c r="F331" s="10" t="s">
        <v>113</v>
      </c>
      <c r="G331" s="10" t="s">
        <v>105</v>
      </c>
      <c r="H331" s="10" t="s">
        <v>65</v>
      </c>
      <c r="I331" s="10" t="s">
        <v>16</v>
      </c>
      <c r="J331" s="10" t="s">
        <v>602</v>
      </c>
      <c r="K331" s="10" t="s">
        <v>617</v>
      </c>
      <c r="L331" s="10" t="s">
        <v>67</v>
      </c>
    </row>
    <row r="332" spans="1:12" x14ac:dyDescent="0.25">
      <c r="A332">
        <v>175</v>
      </c>
      <c r="B332" s="10" t="s">
        <v>599</v>
      </c>
      <c r="C332" s="10" t="s">
        <v>164</v>
      </c>
      <c r="D332" s="10" t="s">
        <v>167</v>
      </c>
      <c r="E332" s="10" t="s">
        <v>168</v>
      </c>
      <c r="F332" s="10" t="s">
        <v>124</v>
      </c>
      <c r="G332" s="10" t="s">
        <v>125</v>
      </c>
      <c r="H332" s="10" t="s">
        <v>72</v>
      </c>
      <c r="I332" s="10" t="s">
        <v>16</v>
      </c>
      <c r="J332" s="10" t="s">
        <v>619</v>
      </c>
      <c r="K332" s="10" t="s">
        <v>620</v>
      </c>
      <c r="L332" s="10" t="s">
        <v>54</v>
      </c>
    </row>
    <row r="333" spans="1:12" x14ac:dyDescent="0.25">
      <c r="A333">
        <v>175</v>
      </c>
      <c r="B333" s="10" t="s">
        <v>599</v>
      </c>
      <c r="C333" s="10" t="s">
        <v>164</v>
      </c>
      <c r="D333" s="10" t="s">
        <v>167</v>
      </c>
      <c r="E333" s="10" t="s">
        <v>168</v>
      </c>
      <c r="F333" s="10" t="s">
        <v>131</v>
      </c>
      <c r="G333" s="10" t="s">
        <v>68</v>
      </c>
      <c r="H333" s="10" t="s">
        <v>72</v>
      </c>
      <c r="I333" s="10" t="s">
        <v>16</v>
      </c>
      <c r="J333" s="10" t="s">
        <v>621</v>
      </c>
      <c r="K333" s="10" t="s">
        <v>622</v>
      </c>
      <c r="L333" s="10" t="s">
        <v>67</v>
      </c>
    </row>
    <row r="334" spans="1:12" x14ac:dyDescent="0.25">
      <c r="A334">
        <v>175</v>
      </c>
      <c r="B334" s="10" t="s">
        <v>599</v>
      </c>
      <c r="C334" s="10" t="s">
        <v>164</v>
      </c>
      <c r="D334" s="10" t="s">
        <v>167</v>
      </c>
      <c r="E334" s="10" t="s">
        <v>168</v>
      </c>
      <c r="F334" s="10" t="s">
        <v>156</v>
      </c>
      <c r="G334" s="10" t="s">
        <v>125</v>
      </c>
      <c r="H334" s="10" t="s">
        <v>65</v>
      </c>
      <c r="I334" s="10" t="s">
        <v>16</v>
      </c>
      <c r="J334" s="10" t="s">
        <v>619</v>
      </c>
      <c r="K334" s="10" t="s">
        <v>620</v>
      </c>
      <c r="L334" s="10" t="s">
        <v>67</v>
      </c>
    </row>
    <row r="335" spans="1:12" x14ac:dyDescent="0.25">
      <c r="A335">
        <v>175</v>
      </c>
      <c r="B335" s="10" t="s">
        <v>599</v>
      </c>
      <c r="C335" s="10" t="s">
        <v>164</v>
      </c>
      <c r="D335" s="10" t="s">
        <v>167</v>
      </c>
      <c r="E335" s="10" t="s">
        <v>168</v>
      </c>
      <c r="F335" s="10" t="s">
        <v>163</v>
      </c>
      <c r="G335" s="10" t="s">
        <v>68</v>
      </c>
      <c r="H335" s="10" t="s">
        <v>65</v>
      </c>
      <c r="I335" s="10" t="s">
        <v>16</v>
      </c>
      <c r="J335" s="10" t="s">
        <v>623</v>
      </c>
      <c r="K335" s="10" t="s">
        <v>624</v>
      </c>
      <c r="L335" s="10" t="s">
        <v>54</v>
      </c>
    </row>
    <row r="336" spans="1:12" x14ac:dyDescent="0.25">
      <c r="A336">
        <v>175</v>
      </c>
      <c r="B336" s="10" t="s">
        <v>599</v>
      </c>
      <c r="C336" s="10" t="s">
        <v>164</v>
      </c>
      <c r="D336" s="10" t="s">
        <v>167</v>
      </c>
      <c r="E336" s="10" t="s">
        <v>168</v>
      </c>
      <c r="F336" s="10" t="s">
        <v>165</v>
      </c>
      <c r="G336" s="10" t="s">
        <v>68</v>
      </c>
      <c r="H336" s="10" t="s">
        <v>72</v>
      </c>
      <c r="I336" s="10" t="s">
        <v>18</v>
      </c>
      <c r="J336" s="10" t="s">
        <v>54</v>
      </c>
      <c r="K336" s="10" t="s">
        <v>54</v>
      </c>
      <c r="L336" s="10" t="s">
        <v>54</v>
      </c>
    </row>
    <row r="337" spans="1:12" x14ac:dyDescent="0.25">
      <c r="A337">
        <v>147</v>
      </c>
      <c r="B337" s="10" t="s">
        <v>266</v>
      </c>
      <c r="C337" s="10" t="s">
        <v>66</v>
      </c>
      <c r="D337" s="10" t="s">
        <v>62</v>
      </c>
      <c r="E337" s="10" t="s">
        <v>63</v>
      </c>
      <c r="F337" s="10" t="s">
        <v>64</v>
      </c>
      <c r="G337" s="10" t="s">
        <v>68</v>
      </c>
      <c r="H337" s="10" t="s">
        <v>65</v>
      </c>
      <c r="I337" s="10" t="s">
        <v>16</v>
      </c>
      <c r="J337" s="10" t="s">
        <v>267</v>
      </c>
      <c r="K337" s="10" t="s">
        <v>268</v>
      </c>
      <c r="L337" s="10" t="s">
        <v>67</v>
      </c>
    </row>
    <row r="338" spans="1:12" x14ac:dyDescent="0.25">
      <c r="A338">
        <v>147</v>
      </c>
      <c r="B338" s="10" t="s">
        <v>266</v>
      </c>
      <c r="C338" s="10" t="s">
        <v>66</v>
      </c>
      <c r="D338" s="10" t="s">
        <v>62</v>
      </c>
      <c r="E338" s="10" t="s">
        <v>63</v>
      </c>
      <c r="F338" s="10" t="s">
        <v>69</v>
      </c>
      <c r="G338" s="10" t="s">
        <v>68</v>
      </c>
      <c r="H338" s="10" t="s">
        <v>65</v>
      </c>
      <c r="I338" s="10" t="s">
        <v>16</v>
      </c>
      <c r="J338" s="10" t="s">
        <v>267</v>
      </c>
      <c r="K338" s="10" t="s">
        <v>268</v>
      </c>
      <c r="L338" s="10" t="s">
        <v>54</v>
      </c>
    </row>
    <row r="339" spans="1:12" x14ac:dyDescent="0.25">
      <c r="A339">
        <v>147</v>
      </c>
      <c r="B339" s="10" t="s">
        <v>266</v>
      </c>
      <c r="C339" s="10" t="s">
        <v>66</v>
      </c>
      <c r="D339" s="10" t="s">
        <v>62</v>
      </c>
      <c r="E339" s="10" t="s">
        <v>63</v>
      </c>
      <c r="F339" s="10" t="s">
        <v>70</v>
      </c>
      <c r="G339" s="10" t="s">
        <v>68</v>
      </c>
      <c r="H339" s="10" t="s">
        <v>65</v>
      </c>
      <c r="I339" s="10" t="s">
        <v>16</v>
      </c>
      <c r="J339" s="10" t="s">
        <v>269</v>
      </c>
      <c r="K339" s="10" t="s">
        <v>270</v>
      </c>
      <c r="L339" s="10" t="s">
        <v>67</v>
      </c>
    </row>
    <row r="340" spans="1:12" x14ac:dyDescent="0.25">
      <c r="A340">
        <v>147</v>
      </c>
      <c r="B340" s="10" t="s">
        <v>266</v>
      </c>
      <c r="C340" s="10" t="s">
        <v>66</v>
      </c>
      <c r="D340" s="10" t="s">
        <v>62</v>
      </c>
      <c r="E340" s="10" t="s">
        <v>63</v>
      </c>
      <c r="F340" s="10" t="s">
        <v>71</v>
      </c>
      <c r="G340" s="10" t="s">
        <v>68</v>
      </c>
      <c r="H340" s="10" t="s">
        <v>72</v>
      </c>
      <c r="I340" s="10" t="s">
        <v>18</v>
      </c>
      <c r="J340" s="10" t="s">
        <v>54</v>
      </c>
      <c r="K340" s="10" t="s">
        <v>54</v>
      </c>
      <c r="L340" s="10" t="s">
        <v>54</v>
      </c>
    </row>
    <row r="341" spans="1:12" x14ac:dyDescent="0.25">
      <c r="A341">
        <v>147</v>
      </c>
      <c r="B341" s="10" t="s">
        <v>266</v>
      </c>
      <c r="C341" s="10" t="s">
        <v>66</v>
      </c>
      <c r="D341" s="10" t="s">
        <v>62</v>
      </c>
      <c r="E341" s="10" t="s">
        <v>63</v>
      </c>
      <c r="F341" s="10" t="s">
        <v>73</v>
      </c>
      <c r="G341" s="10" t="s">
        <v>68</v>
      </c>
      <c r="H341" s="10" t="s">
        <v>65</v>
      </c>
      <c r="I341" s="10" t="s">
        <v>16</v>
      </c>
      <c r="J341" s="10" t="s">
        <v>271</v>
      </c>
      <c r="K341" s="10" t="s">
        <v>272</v>
      </c>
      <c r="L341" s="10" t="s">
        <v>67</v>
      </c>
    </row>
    <row r="342" spans="1:12" x14ac:dyDescent="0.25">
      <c r="A342">
        <v>147</v>
      </c>
      <c r="B342" s="10" t="s">
        <v>266</v>
      </c>
      <c r="C342" s="10" t="s">
        <v>66</v>
      </c>
      <c r="D342" s="10" t="s">
        <v>62</v>
      </c>
      <c r="E342" s="10" t="s">
        <v>63</v>
      </c>
      <c r="F342" s="10" t="s">
        <v>74</v>
      </c>
      <c r="G342" s="10" t="s">
        <v>68</v>
      </c>
      <c r="H342" s="10" t="s">
        <v>65</v>
      </c>
      <c r="I342" s="10" t="s">
        <v>16</v>
      </c>
      <c r="J342" s="10" t="s">
        <v>273</v>
      </c>
      <c r="K342" s="10" t="s">
        <v>274</v>
      </c>
      <c r="L342" s="10" t="s">
        <v>67</v>
      </c>
    </row>
    <row r="343" spans="1:12" x14ac:dyDescent="0.25">
      <c r="A343">
        <v>147</v>
      </c>
      <c r="B343" s="10" t="s">
        <v>266</v>
      </c>
      <c r="C343" s="10" t="s">
        <v>66</v>
      </c>
      <c r="D343" s="10" t="s">
        <v>62</v>
      </c>
      <c r="E343" s="10" t="s">
        <v>63</v>
      </c>
      <c r="F343" s="10" t="s">
        <v>75</v>
      </c>
      <c r="G343" s="10" t="s">
        <v>68</v>
      </c>
      <c r="H343" s="10" t="s">
        <v>72</v>
      </c>
      <c r="I343" s="10" t="s">
        <v>18</v>
      </c>
      <c r="J343" s="10" t="s">
        <v>54</v>
      </c>
      <c r="K343" s="10" t="s">
        <v>54</v>
      </c>
      <c r="L343" s="10" t="s">
        <v>54</v>
      </c>
    </row>
    <row r="344" spans="1:12" x14ac:dyDescent="0.25">
      <c r="A344">
        <v>147</v>
      </c>
      <c r="B344" s="10" t="s">
        <v>266</v>
      </c>
      <c r="C344" s="10" t="s">
        <v>66</v>
      </c>
      <c r="D344" s="10" t="s">
        <v>62</v>
      </c>
      <c r="E344" s="10" t="s">
        <v>63</v>
      </c>
      <c r="F344" s="10" t="s">
        <v>76</v>
      </c>
      <c r="G344" s="10" t="s">
        <v>77</v>
      </c>
      <c r="H344" s="10" t="s">
        <v>65</v>
      </c>
      <c r="I344" s="10" t="s">
        <v>16</v>
      </c>
      <c r="J344" s="10" t="s">
        <v>275</v>
      </c>
      <c r="K344" s="10" t="s">
        <v>276</v>
      </c>
      <c r="L344" s="10" t="s">
        <v>67</v>
      </c>
    </row>
    <row r="345" spans="1:12" x14ac:dyDescent="0.25">
      <c r="A345">
        <v>147</v>
      </c>
      <c r="B345" s="10" t="s">
        <v>266</v>
      </c>
      <c r="C345" s="10" t="s">
        <v>66</v>
      </c>
      <c r="D345" s="10" t="s">
        <v>62</v>
      </c>
      <c r="E345" s="10" t="s">
        <v>63</v>
      </c>
      <c r="F345" s="10" t="s">
        <v>78</v>
      </c>
      <c r="G345" s="10" t="s">
        <v>77</v>
      </c>
      <c r="H345" s="10" t="s">
        <v>65</v>
      </c>
      <c r="I345" s="10" t="s">
        <v>16</v>
      </c>
      <c r="J345" s="10" t="s">
        <v>79</v>
      </c>
      <c r="K345" s="10" t="s">
        <v>277</v>
      </c>
      <c r="L345" s="10" t="s">
        <v>67</v>
      </c>
    </row>
    <row r="346" spans="1:12" x14ac:dyDescent="0.25">
      <c r="A346">
        <v>147</v>
      </c>
      <c r="B346" s="10" t="s">
        <v>266</v>
      </c>
      <c r="C346" s="10" t="s">
        <v>66</v>
      </c>
      <c r="D346" s="10" t="s">
        <v>62</v>
      </c>
      <c r="E346" s="10" t="s">
        <v>63</v>
      </c>
      <c r="F346" s="10" t="s">
        <v>80</v>
      </c>
      <c r="G346" s="10" t="s">
        <v>77</v>
      </c>
      <c r="H346" s="10" t="s">
        <v>65</v>
      </c>
      <c r="I346" s="10" t="s">
        <v>16</v>
      </c>
      <c r="J346" s="10" t="s">
        <v>79</v>
      </c>
      <c r="K346" s="10" t="s">
        <v>278</v>
      </c>
      <c r="L346" s="10" t="s">
        <v>67</v>
      </c>
    </row>
    <row r="347" spans="1:12" x14ac:dyDescent="0.25">
      <c r="A347">
        <v>147</v>
      </c>
      <c r="B347" s="10" t="s">
        <v>266</v>
      </c>
      <c r="C347" s="10" t="s">
        <v>66</v>
      </c>
      <c r="D347" s="10" t="s">
        <v>62</v>
      </c>
      <c r="E347" s="10" t="s">
        <v>63</v>
      </c>
      <c r="F347" s="10" t="s">
        <v>81</v>
      </c>
      <c r="G347" s="10" t="s">
        <v>77</v>
      </c>
      <c r="H347" s="10" t="s">
        <v>65</v>
      </c>
      <c r="I347" s="10" t="s">
        <v>16</v>
      </c>
      <c r="J347" s="10" t="s">
        <v>279</v>
      </c>
      <c r="K347" s="10" t="s">
        <v>280</v>
      </c>
      <c r="L347" s="10" t="s">
        <v>67</v>
      </c>
    </row>
    <row r="348" spans="1:12" x14ac:dyDescent="0.25">
      <c r="A348">
        <v>147</v>
      </c>
      <c r="B348" s="10" t="s">
        <v>266</v>
      </c>
      <c r="C348" s="10" t="s">
        <v>66</v>
      </c>
      <c r="D348" s="10" t="s">
        <v>62</v>
      </c>
      <c r="E348" s="10" t="s">
        <v>63</v>
      </c>
      <c r="F348" s="10" t="s">
        <v>82</v>
      </c>
      <c r="G348" s="10" t="s">
        <v>83</v>
      </c>
      <c r="H348" s="10" t="s">
        <v>65</v>
      </c>
      <c r="I348" s="10" t="s">
        <v>16</v>
      </c>
      <c r="J348" s="10" t="s">
        <v>281</v>
      </c>
      <c r="K348" s="10" t="s">
        <v>282</v>
      </c>
      <c r="L348" s="10" t="s">
        <v>67</v>
      </c>
    </row>
    <row r="349" spans="1:12" x14ac:dyDescent="0.25">
      <c r="A349">
        <v>147</v>
      </c>
      <c r="B349" s="10" t="s">
        <v>266</v>
      </c>
      <c r="C349" s="10" t="s">
        <v>66</v>
      </c>
      <c r="D349" s="10" t="s">
        <v>62</v>
      </c>
      <c r="E349" s="10" t="s">
        <v>63</v>
      </c>
      <c r="F349" s="10" t="s">
        <v>84</v>
      </c>
      <c r="G349" s="10" t="s">
        <v>83</v>
      </c>
      <c r="H349" s="10" t="s">
        <v>65</v>
      </c>
      <c r="I349" s="10" t="s">
        <v>16</v>
      </c>
      <c r="J349" s="10" t="s">
        <v>283</v>
      </c>
      <c r="K349" s="10" t="s">
        <v>284</v>
      </c>
      <c r="L349" s="10" t="s">
        <v>67</v>
      </c>
    </row>
    <row r="350" spans="1:12" x14ac:dyDescent="0.25">
      <c r="A350">
        <v>147</v>
      </c>
      <c r="B350" s="10" t="s">
        <v>266</v>
      </c>
      <c r="C350" s="10" t="s">
        <v>66</v>
      </c>
      <c r="D350" s="10" t="s">
        <v>62</v>
      </c>
      <c r="E350" s="10" t="s">
        <v>63</v>
      </c>
      <c r="F350" s="10" t="s">
        <v>85</v>
      </c>
      <c r="G350" s="10" t="s">
        <v>86</v>
      </c>
      <c r="H350" s="10" t="s">
        <v>65</v>
      </c>
      <c r="I350" s="10" t="s">
        <v>16</v>
      </c>
      <c r="J350" s="10" t="s">
        <v>79</v>
      </c>
      <c r="K350" s="10" t="s">
        <v>285</v>
      </c>
      <c r="L350" s="10" t="s">
        <v>67</v>
      </c>
    </row>
    <row r="351" spans="1:12" x14ac:dyDescent="0.25">
      <c r="A351">
        <v>147</v>
      </c>
      <c r="B351" s="10" t="s">
        <v>266</v>
      </c>
      <c r="C351" s="10" t="s">
        <v>66</v>
      </c>
      <c r="D351" s="10" t="s">
        <v>62</v>
      </c>
      <c r="E351" s="10" t="s">
        <v>63</v>
      </c>
      <c r="F351" s="10" t="s">
        <v>87</v>
      </c>
      <c r="G351" s="10" t="s">
        <v>86</v>
      </c>
      <c r="H351" s="10" t="s">
        <v>65</v>
      </c>
      <c r="I351" s="10" t="s">
        <v>16</v>
      </c>
      <c r="J351" s="10" t="s">
        <v>79</v>
      </c>
      <c r="K351" s="10" t="s">
        <v>286</v>
      </c>
      <c r="L351" s="10" t="s">
        <v>67</v>
      </c>
    </row>
    <row r="352" spans="1:12" x14ac:dyDescent="0.25">
      <c r="A352">
        <v>147</v>
      </c>
      <c r="B352" s="10" t="s">
        <v>266</v>
      </c>
      <c r="C352" s="10" t="s">
        <v>66</v>
      </c>
      <c r="D352" s="10" t="s">
        <v>62</v>
      </c>
      <c r="E352" s="10" t="s">
        <v>63</v>
      </c>
      <c r="F352" s="10" t="s">
        <v>88</v>
      </c>
      <c r="G352" s="10" t="s">
        <v>86</v>
      </c>
      <c r="H352" s="10" t="s">
        <v>65</v>
      </c>
      <c r="I352" s="10" t="s">
        <v>16</v>
      </c>
      <c r="J352" s="10" t="s">
        <v>79</v>
      </c>
      <c r="K352" s="10" t="s">
        <v>287</v>
      </c>
      <c r="L352" s="10" t="s">
        <v>67</v>
      </c>
    </row>
    <row r="353" spans="1:12" x14ac:dyDescent="0.25">
      <c r="A353">
        <v>147</v>
      </c>
      <c r="B353" s="10" t="s">
        <v>266</v>
      </c>
      <c r="C353" s="10" t="s">
        <v>66</v>
      </c>
      <c r="D353" s="10" t="s">
        <v>62</v>
      </c>
      <c r="E353" s="10" t="s">
        <v>63</v>
      </c>
      <c r="F353" s="10" t="s">
        <v>89</v>
      </c>
      <c r="G353" s="10" t="s">
        <v>86</v>
      </c>
      <c r="H353" s="10" t="s">
        <v>65</v>
      </c>
      <c r="I353" s="10" t="s">
        <v>16</v>
      </c>
      <c r="J353" s="10" t="s">
        <v>79</v>
      </c>
      <c r="K353" s="10" t="s">
        <v>288</v>
      </c>
      <c r="L353" s="10" t="s">
        <v>67</v>
      </c>
    </row>
    <row r="354" spans="1:12" x14ac:dyDescent="0.25">
      <c r="A354">
        <v>147</v>
      </c>
      <c r="B354" s="10" t="s">
        <v>266</v>
      </c>
      <c r="C354" s="10" t="s">
        <v>66</v>
      </c>
      <c r="D354" s="10" t="s">
        <v>62</v>
      </c>
      <c r="E354" s="10" t="s">
        <v>63</v>
      </c>
      <c r="F354" s="10" t="s">
        <v>90</v>
      </c>
      <c r="G354" s="10" t="s">
        <v>86</v>
      </c>
      <c r="H354" s="10" t="s">
        <v>65</v>
      </c>
      <c r="I354" s="10" t="s">
        <v>16</v>
      </c>
      <c r="J354" s="10" t="s">
        <v>79</v>
      </c>
      <c r="K354" s="10" t="s">
        <v>289</v>
      </c>
      <c r="L354" s="10" t="s">
        <v>67</v>
      </c>
    </row>
    <row r="355" spans="1:12" x14ac:dyDescent="0.25">
      <c r="A355">
        <v>147</v>
      </c>
      <c r="B355" s="10" t="s">
        <v>266</v>
      </c>
      <c r="C355" s="10" t="s">
        <v>66</v>
      </c>
      <c r="D355" s="10" t="s">
        <v>62</v>
      </c>
      <c r="E355" s="10" t="s">
        <v>63</v>
      </c>
      <c r="F355" s="10" t="s">
        <v>91</v>
      </c>
      <c r="G355" s="10" t="s">
        <v>86</v>
      </c>
      <c r="H355" s="10" t="s">
        <v>65</v>
      </c>
      <c r="I355" s="10" t="s">
        <v>16</v>
      </c>
      <c r="J355" s="10" t="s">
        <v>79</v>
      </c>
      <c r="K355" s="10" t="s">
        <v>290</v>
      </c>
      <c r="L355" s="10" t="s">
        <v>67</v>
      </c>
    </row>
    <row r="356" spans="1:12" x14ac:dyDescent="0.25">
      <c r="A356">
        <v>147</v>
      </c>
      <c r="B356" s="10" t="s">
        <v>266</v>
      </c>
      <c r="C356" s="10" t="s">
        <v>66</v>
      </c>
      <c r="D356" s="10" t="s">
        <v>62</v>
      </c>
      <c r="E356" s="10" t="s">
        <v>63</v>
      </c>
      <c r="F356" s="10" t="s">
        <v>92</v>
      </c>
      <c r="G356" s="10" t="s">
        <v>86</v>
      </c>
      <c r="H356" s="10" t="s">
        <v>65</v>
      </c>
      <c r="I356" s="10" t="s">
        <v>16</v>
      </c>
      <c r="J356" s="10" t="s">
        <v>291</v>
      </c>
      <c r="K356" s="10" t="s">
        <v>292</v>
      </c>
      <c r="L356" s="10" t="s">
        <v>67</v>
      </c>
    </row>
    <row r="357" spans="1:12" x14ac:dyDescent="0.25">
      <c r="A357">
        <v>147</v>
      </c>
      <c r="B357" s="10" t="s">
        <v>266</v>
      </c>
      <c r="C357" s="10" t="s">
        <v>66</v>
      </c>
      <c r="D357" s="10" t="s">
        <v>62</v>
      </c>
      <c r="E357" s="10" t="s">
        <v>63</v>
      </c>
      <c r="F357" s="10" t="s">
        <v>93</v>
      </c>
      <c r="G357" s="10" t="s">
        <v>94</v>
      </c>
      <c r="H357" s="10" t="s">
        <v>65</v>
      </c>
      <c r="I357" s="10" t="s">
        <v>16</v>
      </c>
      <c r="J357" s="10" t="s">
        <v>293</v>
      </c>
      <c r="K357" s="10" t="s">
        <v>294</v>
      </c>
      <c r="L357" s="10" t="s">
        <v>67</v>
      </c>
    </row>
    <row r="358" spans="1:12" x14ac:dyDescent="0.25">
      <c r="A358">
        <v>147</v>
      </c>
      <c r="B358" s="10" t="s">
        <v>266</v>
      </c>
      <c r="C358" s="10" t="s">
        <v>66</v>
      </c>
      <c r="D358" s="10" t="s">
        <v>62</v>
      </c>
      <c r="E358" s="10" t="s">
        <v>63</v>
      </c>
      <c r="F358" s="10" t="s">
        <v>95</v>
      </c>
      <c r="G358" s="10" t="s">
        <v>94</v>
      </c>
      <c r="H358" s="10" t="s">
        <v>65</v>
      </c>
      <c r="I358" s="10" t="s">
        <v>16</v>
      </c>
      <c r="J358" s="10" t="s">
        <v>295</v>
      </c>
      <c r="K358" s="10" t="s">
        <v>296</v>
      </c>
      <c r="L358" s="10" t="s">
        <v>67</v>
      </c>
    </row>
    <row r="359" spans="1:12" x14ac:dyDescent="0.25">
      <c r="A359">
        <v>147</v>
      </c>
      <c r="B359" s="10" t="s">
        <v>266</v>
      </c>
      <c r="C359" s="10" t="s">
        <v>66</v>
      </c>
      <c r="D359" s="10" t="s">
        <v>62</v>
      </c>
      <c r="E359" s="10" t="s">
        <v>63</v>
      </c>
      <c r="F359" s="10" t="s">
        <v>96</v>
      </c>
      <c r="G359" s="10" t="s">
        <v>94</v>
      </c>
      <c r="H359" s="10" t="s">
        <v>65</v>
      </c>
      <c r="I359" s="10" t="s">
        <v>16</v>
      </c>
      <c r="J359" s="10" t="s">
        <v>79</v>
      </c>
      <c r="K359" s="10" t="s">
        <v>297</v>
      </c>
      <c r="L359" s="10" t="s">
        <v>67</v>
      </c>
    </row>
    <row r="360" spans="1:12" x14ac:dyDescent="0.25">
      <c r="A360">
        <v>147</v>
      </c>
      <c r="B360" s="10" t="s">
        <v>266</v>
      </c>
      <c r="C360" s="10" t="s">
        <v>66</v>
      </c>
      <c r="D360" s="10" t="s">
        <v>62</v>
      </c>
      <c r="E360" s="10" t="s">
        <v>63</v>
      </c>
      <c r="F360" s="10" t="s">
        <v>97</v>
      </c>
      <c r="G360" s="10" t="s">
        <v>98</v>
      </c>
      <c r="H360" s="10" t="s">
        <v>65</v>
      </c>
      <c r="I360" s="10" t="s">
        <v>16</v>
      </c>
      <c r="J360" s="10" t="s">
        <v>275</v>
      </c>
      <c r="K360" s="10" t="s">
        <v>298</v>
      </c>
      <c r="L360" s="10" t="s">
        <v>67</v>
      </c>
    </row>
    <row r="361" spans="1:12" x14ac:dyDescent="0.25">
      <c r="A361">
        <v>147</v>
      </c>
      <c r="B361" s="10" t="s">
        <v>266</v>
      </c>
      <c r="C361" s="10" t="s">
        <v>66</v>
      </c>
      <c r="D361" s="10" t="s">
        <v>62</v>
      </c>
      <c r="E361" s="10" t="s">
        <v>63</v>
      </c>
      <c r="F361" s="10" t="s">
        <v>99</v>
      </c>
      <c r="G361" s="10" t="s">
        <v>98</v>
      </c>
      <c r="H361" s="10" t="s">
        <v>65</v>
      </c>
      <c r="I361" s="10" t="s">
        <v>16</v>
      </c>
      <c r="J361" s="10" t="s">
        <v>299</v>
      </c>
      <c r="K361" s="10" t="s">
        <v>300</v>
      </c>
      <c r="L361" s="10" t="s">
        <v>67</v>
      </c>
    </row>
    <row r="362" spans="1:12" x14ac:dyDescent="0.25">
      <c r="A362">
        <v>147</v>
      </c>
      <c r="B362" s="10" t="s">
        <v>266</v>
      </c>
      <c r="C362" s="10" t="s">
        <v>66</v>
      </c>
      <c r="D362" s="10" t="s">
        <v>62</v>
      </c>
      <c r="E362" s="10" t="s">
        <v>63</v>
      </c>
      <c r="F362" s="10" t="s">
        <v>100</v>
      </c>
      <c r="G362" s="10" t="s">
        <v>98</v>
      </c>
      <c r="H362" s="10" t="s">
        <v>65</v>
      </c>
      <c r="I362" s="10" t="s">
        <v>16</v>
      </c>
      <c r="J362" s="10" t="s">
        <v>299</v>
      </c>
      <c r="K362" s="10" t="s">
        <v>300</v>
      </c>
      <c r="L362" s="10" t="s">
        <v>67</v>
      </c>
    </row>
    <row r="363" spans="1:12" x14ac:dyDescent="0.25">
      <c r="A363">
        <v>147</v>
      </c>
      <c r="B363" s="10" t="s">
        <v>266</v>
      </c>
      <c r="C363" s="10" t="s">
        <v>66</v>
      </c>
      <c r="D363" s="10" t="s">
        <v>62</v>
      </c>
      <c r="E363" s="10" t="s">
        <v>63</v>
      </c>
      <c r="F363" s="10" t="s">
        <v>101</v>
      </c>
      <c r="G363" s="10" t="s">
        <v>102</v>
      </c>
      <c r="H363" s="10" t="s">
        <v>65</v>
      </c>
      <c r="I363" s="10" t="s">
        <v>16</v>
      </c>
      <c r="J363" s="10" t="s">
        <v>79</v>
      </c>
      <c r="K363" s="10" t="s">
        <v>301</v>
      </c>
      <c r="L363" s="10" t="s">
        <v>67</v>
      </c>
    </row>
    <row r="364" spans="1:12" x14ac:dyDescent="0.25">
      <c r="A364">
        <v>147</v>
      </c>
      <c r="B364" s="10" t="s">
        <v>266</v>
      </c>
      <c r="C364" s="10" t="s">
        <v>66</v>
      </c>
      <c r="D364" s="10" t="s">
        <v>62</v>
      </c>
      <c r="E364" s="10" t="s">
        <v>63</v>
      </c>
      <c r="F364" s="10" t="s">
        <v>103</v>
      </c>
      <c r="G364" s="10" t="s">
        <v>102</v>
      </c>
      <c r="H364" s="10" t="s">
        <v>65</v>
      </c>
      <c r="I364" s="10" t="s">
        <v>16</v>
      </c>
      <c r="J364" s="10" t="s">
        <v>302</v>
      </c>
      <c r="K364" s="10" t="s">
        <v>303</v>
      </c>
      <c r="L364" s="10" t="s">
        <v>67</v>
      </c>
    </row>
    <row r="365" spans="1:12" x14ac:dyDescent="0.25">
      <c r="A365">
        <v>147</v>
      </c>
      <c r="B365" s="10" t="s">
        <v>266</v>
      </c>
      <c r="C365" s="10" t="s">
        <v>66</v>
      </c>
      <c r="D365" s="10" t="s">
        <v>62</v>
      </c>
      <c r="E365" s="10" t="s">
        <v>63</v>
      </c>
      <c r="F365" s="10" t="s">
        <v>104</v>
      </c>
      <c r="G365" s="10" t="s">
        <v>105</v>
      </c>
      <c r="H365" s="10" t="s">
        <v>65</v>
      </c>
      <c r="I365" s="10" t="s">
        <v>16</v>
      </c>
      <c r="J365" s="10" t="s">
        <v>304</v>
      </c>
      <c r="K365" s="10" t="s">
        <v>305</v>
      </c>
      <c r="L365" s="10" t="s">
        <v>67</v>
      </c>
    </row>
    <row r="366" spans="1:12" x14ac:dyDescent="0.25">
      <c r="A366">
        <v>147</v>
      </c>
      <c r="B366" s="10" t="s">
        <v>266</v>
      </c>
      <c r="C366" s="10" t="s">
        <v>66</v>
      </c>
      <c r="D366" s="10" t="s">
        <v>62</v>
      </c>
      <c r="E366" s="10" t="s">
        <v>63</v>
      </c>
      <c r="F366" s="10" t="s">
        <v>106</v>
      </c>
      <c r="G366" s="10" t="s">
        <v>105</v>
      </c>
      <c r="H366" s="10" t="s">
        <v>65</v>
      </c>
      <c r="I366" s="10" t="s">
        <v>16</v>
      </c>
      <c r="J366" s="10" t="s">
        <v>306</v>
      </c>
      <c r="K366" s="10" t="s">
        <v>307</v>
      </c>
      <c r="L366" s="10" t="s">
        <v>67</v>
      </c>
    </row>
    <row r="367" spans="1:12" x14ac:dyDescent="0.25">
      <c r="A367">
        <v>147</v>
      </c>
      <c r="B367" s="10" t="s">
        <v>266</v>
      </c>
      <c r="C367" s="10" t="s">
        <v>66</v>
      </c>
      <c r="D367" s="10" t="s">
        <v>62</v>
      </c>
      <c r="E367" s="10" t="s">
        <v>63</v>
      </c>
      <c r="F367" s="10" t="s">
        <v>107</v>
      </c>
      <c r="G367" s="10" t="s">
        <v>105</v>
      </c>
      <c r="H367" s="10" t="s">
        <v>65</v>
      </c>
      <c r="I367" s="10" t="s">
        <v>16</v>
      </c>
      <c r="J367" s="10" t="s">
        <v>308</v>
      </c>
      <c r="K367" s="10" t="s">
        <v>309</v>
      </c>
      <c r="L367" s="10" t="s">
        <v>67</v>
      </c>
    </row>
    <row r="368" spans="1:12" x14ac:dyDescent="0.25">
      <c r="A368">
        <v>147</v>
      </c>
      <c r="B368" s="10" t="s">
        <v>266</v>
      </c>
      <c r="C368" s="10" t="s">
        <v>66</v>
      </c>
      <c r="D368" s="10" t="s">
        <v>62</v>
      </c>
      <c r="E368" s="10" t="s">
        <v>63</v>
      </c>
      <c r="F368" s="10" t="s">
        <v>108</v>
      </c>
      <c r="G368" s="10" t="s">
        <v>105</v>
      </c>
      <c r="H368" s="10" t="s">
        <v>65</v>
      </c>
      <c r="I368" s="10" t="s">
        <v>16</v>
      </c>
      <c r="J368" s="10" t="s">
        <v>310</v>
      </c>
      <c r="K368" s="10" t="s">
        <v>311</v>
      </c>
      <c r="L368" s="10" t="s">
        <v>67</v>
      </c>
    </row>
    <row r="369" spans="1:12" x14ac:dyDescent="0.25">
      <c r="A369">
        <v>147</v>
      </c>
      <c r="B369" s="10" t="s">
        <v>266</v>
      </c>
      <c r="C369" s="10" t="s">
        <v>66</v>
      </c>
      <c r="D369" s="10" t="s">
        <v>62</v>
      </c>
      <c r="E369" s="10" t="s">
        <v>63</v>
      </c>
      <c r="F369" s="10" t="s">
        <v>109</v>
      </c>
      <c r="G369" s="10" t="s">
        <v>105</v>
      </c>
      <c r="H369" s="10" t="s">
        <v>65</v>
      </c>
      <c r="I369" s="10" t="s">
        <v>16</v>
      </c>
      <c r="J369" s="10" t="s">
        <v>312</v>
      </c>
      <c r="K369" s="10" t="s">
        <v>313</v>
      </c>
      <c r="L369" s="10" t="s">
        <v>67</v>
      </c>
    </row>
    <row r="370" spans="1:12" x14ac:dyDescent="0.25">
      <c r="A370">
        <v>147</v>
      </c>
      <c r="B370" s="10" t="s">
        <v>266</v>
      </c>
      <c r="C370" s="10" t="s">
        <v>66</v>
      </c>
      <c r="D370" s="10" t="s">
        <v>62</v>
      </c>
      <c r="E370" s="10" t="s">
        <v>63</v>
      </c>
      <c r="F370" s="10" t="s">
        <v>110</v>
      </c>
      <c r="G370" s="10" t="s">
        <v>105</v>
      </c>
      <c r="H370" s="10" t="s">
        <v>65</v>
      </c>
      <c r="I370" s="10" t="s">
        <v>16</v>
      </c>
      <c r="J370" s="10" t="s">
        <v>79</v>
      </c>
      <c r="K370" s="10" t="s">
        <v>309</v>
      </c>
      <c r="L370" s="10" t="s">
        <v>67</v>
      </c>
    </row>
    <row r="371" spans="1:12" x14ac:dyDescent="0.25">
      <c r="A371">
        <v>147</v>
      </c>
      <c r="B371" s="10" t="s">
        <v>266</v>
      </c>
      <c r="C371" s="10" t="s">
        <v>66</v>
      </c>
      <c r="D371" s="10" t="s">
        <v>62</v>
      </c>
      <c r="E371" s="10" t="s">
        <v>63</v>
      </c>
      <c r="F371" s="10" t="s">
        <v>111</v>
      </c>
      <c r="G371" s="10" t="s">
        <v>105</v>
      </c>
      <c r="H371" s="10" t="s">
        <v>65</v>
      </c>
      <c r="I371" s="10" t="s">
        <v>16</v>
      </c>
      <c r="J371" s="10" t="s">
        <v>314</v>
      </c>
      <c r="K371" s="10" t="s">
        <v>315</v>
      </c>
      <c r="L371" s="10" t="s">
        <v>67</v>
      </c>
    </row>
    <row r="372" spans="1:12" x14ac:dyDescent="0.25">
      <c r="A372">
        <v>147</v>
      </c>
      <c r="B372" s="10" t="s">
        <v>266</v>
      </c>
      <c r="C372" s="10" t="s">
        <v>66</v>
      </c>
      <c r="D372" s="10" t="s">
        <v>62</v>
      </c>
      <c r="E372" s="10" t="s">
        <v>63</v>
      </c>
      <c r="F372" s="10" t="s">
        <v>112</v>
      </c>
      <c r="G372" s="10" t="s">
        <v>105</v>
      </c>
      <c r="H372" s="10" t="s">
        <v>65</v>
      </c>
      <c r="I372" s="10" t="s">
        <v>16</v>
      </c>
      <c r="J372" s="10" t="s">
        <v>312</v>
      </c>
      <c r="K372" s="10" t="s">
        <v>313</v>
      </c>
      <c r="L372" s="10" t="s">
        <v>67</v>
      </c>
    </row>
    <row r="373" spans="1:12" x14ac:dyDescent="0.25">
      <c r="A373">
        <v>147</v>
      </c>
      <c r="B373" s="10" t="s">
        <v>266</v>
      </c>
      <c r="C373" s="10" t="s">
        <v>66</v>
      </c>
      <c r="D373" s="10" t="s">
        <v>62</v>
      </c>
      <c r="E373" s="10" t="s">
        <v>63</v>
      </c>
      <c r="F373" s="10" t="s">
        <v>113</v>
      </c>
      <c r="G373" s="10" t="s">
        <v>105</v>
      </c>
      <c r="H373" s="10" t="s">
        <v>65</v>
      </c>
      <c r="I373" s="10" t="s">
        <v>16</v>
      </c>
      <c r="J373" s="10" t="s">
        <v>281</v>
      </c>
      <c r="K373" s="10" t="s">
        <v>282</v>
      </c>
      <c r="L373" s="10" t="s">
        <v>67</v>
      </c>
    </row>
    <row r="374" spans="1:12" x14ac:dyDescent="0.25">
      <c r="A374">
        <v>164</v>
      </c>
      <c r="B374" s="10" t="s">
        <v>525</v>
      </c>
      <c r="C374" s="10" t="s">
        <v>155</v>
      </c>
      <c r="D374" s="10" t="s">
        <v>152</v>
      </c>
      <c r="E374" s="10" t="s">
        <v>153</v>
      </c>
      <c r="F374" s="10" t="s">
        <v>71</v>
      </c>
      <c r="G374" s="10" t="s">
        <v>68</v>
      </c>
      <c r="H374" s="10" t="s">
        <v>72</v>
      </c>
      <c r="I374" s="10" t="s">
        <v>18</v>
      </c>
      <c r="J374" s="10" t="s">
        <v>54</v>
      </c>
      <c r="K374" s="10" t="s">
        <v>54</v>
      </c>
      <c r="L374" s="10" t="s">
        <v>54</v>
      </c>
    </row>
    <row r="375" spans="1:12" x14ac:dyDescent="0.25">
      <c r="A375">
        <v>164</v>
      </c>
      <c r="B375" s="10" t="s">
        <v>525</v>
      </c>
      <c r="C375" s="10" t="s">
        <v>155</v>
      </c>
      <c r="D375" s="10" t="s">
        <v>152</v>
      </c>
      <c r="E375" s="10" t="s">
        <v>153</v>
      </c>
      <c r="F375" s="10" t="s">
        <v>73</v>
      </c>
      <c r="G375" s="10" t="s">
        <v>68</v>
      </c>
      <c r="H375" s="10" t="s">
        <v>65</v>
      </c>
      <c r="I375" s="10" t="s">
        <v>16</v>
      </c>
      <c r="J375" s="10" t="s">
        <v>526</v>
      </c>
      <c r="K375" s="10" t="s">
        <v>527</v>
      </c>
      <c r="L375" s="10" t="s">
        <v>67</v>
      </c>
    </row>
    <row r="376" spans="1:12" x14ac:dyDescent="0.25">
      <c r="A376">
        <v>164</v>
      </c>
      <c r="B376" s="10" t="s">
        <v>525</v>
      </c>
      <c r="C376" s="10" t="s">
        <v>155</v>
      </c>
      <c r="D376" s="10" t="s">
        <v>152</v>
      </c>
      <c r="E376" s="10" t="s">
        <v>153</v>
      </c>
      <c r="F376" s="10" t="s">
        <v>74</v>
      </c>
      <c r="G376" s="10" t="s">
        <v>68</v>
      </c>
      <c r="H376" s="10" t="s">
        <v>65</v>
      </c>
      <c r="I376" s="10" t="s">
        <v>16</v>
      </c>
      <c r="J376" s="10" t="s">
        <v>528</v>
      </c>
      <c r="K376" s="10" t="s">
        <v>529</v>
      </c>
      <c r="L376" s="10" t="s">
        <v>67</v>
      </c>
    </row>
    <row r="377" spans="1:12" x14ac:dyDescent="0.25">
      <c r="A377">
        <v>164</v>
      </c>
      <c r="B377" s="10" t="s">
        <v>525</v>
      </c>
      <c r="C377" s="10" t="s">
        <v>155</v>
      </c>
      <c r="D377" s="10" t="s">
        <v>152</v>
      </c>
      <c r="E377" s="10" t="s">
        <v>153</v>
      </c>
      <c r="F377" s="10" t="s">
        <v>75</v>
      </c>
      <c r="G377" s="10" t="s">
        <v>68</v>
      </c>
      <c r="H377" s="10" t="s">
        <v>72</v>
      </c>
      <c r="I377" s="10" t="s">
        <v>18</v>
      </c>
      <c r="J377" s="10" t="s">
        <v>54</v>
      </c>
      <c r="K377" s="10" t="s">
        <v>54</v>
      </c>
      <c r="L377" s="10" t="s">
        <v>54</v>
      </c>
    </row>
    <row r="378" spans="1:12" x14ac:dyDescent="0.25">
      <c r="A378">
        <v>164</v>
      </c>
      <c r="B378" s="10" t="s">
        <v>525</v>
      </c>
      <c r="C378" s="10" t="s">
        <v>155</v>
      </c>
      <c r="D378" s="10" t="s">
        <v>152</v>
      </c>
      <c r="E378" s="10" t="s">
        <v>153</v>
      </c>
      <c r="F378" s="10" t="s">
        <v>76</v>
      </c>
      <c r="G378" s="10" t="s">
        <v>77</v>
      </c>
      <c r="H378" s="10" t="s">
        <v>65</v>
      </c>
      <c r="I378" s="10" t="s">
        <v>16</v>
      </c>
      <c r="J378" s="10" t="s">
        <v>530</v>
      </c>
      <c r="K378" s="10" t="s">
        <v>531</v>
      </c>
      <c r="L378" s="10" t="s">
        <v>67</v>
      </c>
    </row>
    <row r="379" spans="1:12" x14ac:dyDescent="0.25">
      <c r="A379">
        <v>164</v>
      </c>
      <c r="B379" s="10" t="s">
        <v>525</v>
      </c>
      <c r="C379" s="10" t="s">
        <v>155</v>
      </c>
      <c r="D379" s="10" t="s">
        <v>152</v>
      </c>
      <c r="E379" s="10" t="s">
        <v>153</v>
      </c>
      <c r="F379" s="10" t="s">
        <v>80</v>
      </c>
      <c r="G379" s="10" t="s">
        <v>77</v>
      </c>
      <c r="H379" s="10" t="s">
        <v>65</v>
      </c>
      <c r="I379" s="10" t="s">
        <v>16</v>
      </c>
      <c r="J379" s="10" t="s">
        <v>79</v>
      </c>
      <c r="K379" s="10" t="s">
        <v>532</v>
      </c>
      <c r="L379" s="10" t="s">
        <v>67</v>
      </c>
    </row>
    <row r="380" spans="1:12" x14ac:dyDescent="0.25">
      <c r="A380">
        <v>164</v>
      </c>
      <c r="B380" s="10" t="s">
        <v>525</v>
      </c>
      <c r="C380" s="10" t="s">
        <v>155</v>
      </c>
      <c r="D380" s="10" t="s">
        <v>152</v>
      </c>
      <c r="E380" s="10" t="s">
        <v>153</v>
      </c>
      <c r="F380" s="10" t="s">
        <v>84</v>
      </c>
      <c r="G380" s="10" t="s">
        <v>83</v>
      </c>
      <c r="H380" s="10" t="s">
        <v>65</v>
      </c>
      <c r="I380" s="10" t="s">
        <v>16</v>
      </c>
      <c r="J380" s="10" t="s">
        <v>279</v>
      </c>
      <c r="K380" s="10" t="s">
        <v>280</v>
      </c>
      <c r="L380" s="10" t="s">
        <v>67</v>
      </c>
    </row>
    <row r="381" spans="1:12" x14ac:dyDescent="0.25">
      <c r="A381">
        <v>164</v>
      </c>
      <c r="B381" s="10" t="s">
        <v>525</v>
      </c>
      <c r="C381" s="10" t="s">
        <v>155</v>
      </c>
      <c r="D381" s="10" t="s">
        <v>152</v>
      </c>
      <c r="E381" s="10" t="s">
        <v>153</v>
      </c>
      <c r="F381" s="10" t="s">
        <v>93</v>
      </c>
      <c r="G381" s="10" t="s">
        <v>94</v>
      </c>
      <c r="H381" s="10" t="s">
        <v>65</v>
      </c>
      <c r="I381" s="10" t="s">
        <v>16</v>
      </c>
      <c r="J381" s="10" t="s">
        <v>533</v>
      </c>
      <c r="K381" s="10" t="s">
        <v>534</v>
      </c>
      <c r="L381" s="10" t="s">
        <v>67</v>
      </c>
    </row>
    <row r="382" spans="1:12" x14ac:dyDescent="0.25">
      <c r="A382">
        <v>164</v>
      </c>
      <c r="B382" s="10" t="s">
        <v>525</v>
      </c>
      <c r="C382" s="10" t="s">
        <v>155</v>
      </c>
      <c r="D382" s="10" t="s">
        <v>152</v>
      </c>
      <c r="E382" s="10" t="s">
        <v>153</v>
      </c>
      <c r="F382" s="10" t="s">
        <v>95</v>
      </c>
      <c r="G382" s="10" t="s">
        <v>94</v>
      </c>
      <c r="H382" s="10" t="s">
        <v>65</v>
      </c>
      <c r="I382" s="10" t="s">
        <v>16</v>
      </c>
      <c r="J382" s="10" t="s">
        <v>533</v>
      </c>
      <c r="K382" s="10" t="s">
        <v>534</v>
      </c>
      <c r="L382" s="10" t="s">
        <v>67</v>
      </c>
    </row>
    <row r="383" spans="1:12" x14ac:dyDescent="0.25">
      <c r="A383">
        <v>164</v>
      </c>
      <c r="B383" s="10" t="s">
        <v>525</v>
      </c>
      <c r="C383" s="10" t="s">
        <v>155</v>
      </c>
      <c r="D383" s="10" t="s">
        <v>152</v>
      </c>
      <c r="E383" s="10" t="s">
        <v>153</v>
      </c>
      <c r="F383" s="10" t="s">
        <v>97</v>
      </c>
      <c r="G383" s="10" t="s">
        <v>98</v>
      </c>
      <c r="H383" s="10" t="s">
        <v>65</v>
      </c>
      <c r="I383" s="10" t="s">
        <v>16</v>
      </c>
      <c r="J383" s="10" t="s">
        <v>535</v>
      </c>
      <c r="K383" s="10" t="s">
        <v>536</v>
      </c>
      <c r="L383" s="10" t="s">
        <v>67</v>
      </c>
    </row>
    <row r="384" spans="1:12" x14ac:dyDescent="0.25">
      <c r="A384">
        <v>164</v>
      </c>
      <c r="B384" s="10" t="s">
        <v>525</v>
      </c>
      <c r="C384" s="10" t="s">
        <v>155</v>
      </c>
      <c r="D384" s="10" t="s">
        <v>152</v>
      </c>
      <c r="E384" s="10" t="s">
        <v>153</v>
      </c>
      <c r="F384" s="10" t="s">
        <v>100</v>
      </c>
      <c r="G384" s="10" t="s">
        <v>98</v>
      </c>
      <c r="H384" s="10" t="s">
        <v>65</v>
      </c>
      <c r="I384" s="10" t="s">
        <v>16</v>
      </c>
      <c r="J384" s="10" t="s">
        <v>537</v>
      </c>
      <c r="K384" s="10" t="s">
        <v>538</v>
      </c>
      <c r="L384" s="10" t="s">
        <v>67</v>
      </c>
    </row>
    <row r="385" spans="1:12" x14ac:dyDescent="0.25">
      <c r="A385">
        <v>164</v>
      </c>
      <c r="B385" s="10" t="s">
        <v>525</v>
      </c>
      <c r="C385" s="10" t="s">
        <v>155</v>
      </c>
      <c r="D385" s="10" t="s">
        <v>152</v>
      </c>
      <c r="E385" s="10" t="s">
        <v>153</v>
      </c>
      <c r="F385" s="10" t="s">
        <v>101</v>
      </c>
      <c r="G385" s="10" t="s">
        <v>102</v>
      </c>
      <c r="H385" s="10" t="s">
        <v>65</v>
      </c>
      <c r="I385" s="10" t="s">
        <v>16</v>
      </c>
      <c r="J385" s="10" t="s">
        <v>79</v>
      </c>
      <c r="K385" s="10" t="s">
        <v>539</v>
      </c>
      <c r="L385" s="10" t="s">
        <v>67</v>
      </c>
    </row>
    <row r="386" spans="1:12" x14ac:dyDescent="0.25">
      <c r="A386">
        <v>164</v>
      </c>
      <c r="B386" s="10" t="s">
        <v>525</v>
      </c>
      <c r="C386" s="10" t="s">
        <v>155</v>
      </c>
      <c r="D386" s="10" t="s">
        <v>152</v>
      </c>
      <c r="E386" s="10" t="s">
        <v>153</v>
      </c>
      <c r="F386" s="10" t="s">
        <v>103</v>
      </c>
      <c r="G386" s="10" t="s">
        <v>102</v>
      </c>
      <c r="H386" s="10" t="s">
        <v>65</v>
      </c>
      <c r="I386" s="10" t="s">
        <v>16</v>
      </c>
      <c r="J386" s="10" t="s">
        <v>416</v>
      </c>
      <c r="K386" s="10" t="s">
        <v>417</v>
      </c>
      <c r="L386" s="10" t="s">
        <v>67</v>
      </c>
    </row>
    <row r="387" spans="1:12" x14ac:dyDescent="0.25">
      <c r="A387">
        <v>164</v>
      </c>
      <c r="B387" s="10" t="s">
        <v>525</v>
      </c>
      <c r="C387" s="10" t="s">
        <v>155</v>
      </c>
      <c r="D387" s="10" t="s">
        <v>152</v>
      </c>
      <c r="E387" s="10" t="s">
        <v>153</v>
      </c>
      <c r="F387" s="10" t="s">
        <v>104</v>
      </c>
      <c r="G387" s="10" t="s">
        <v>105</v>
      </c>
      <c r="H387" s="10" t="s">
        <v>65</v>
      </c>
      <c r="I387" s="10" t="s">
        <v>16</v>
      </c>
      <c r="J387" s="10" t="s">
        <v>528</v>
      </c>
      <c r="K387" s="10" t="s">
        <v>540</v>
      </c>
      <c r="L387" s="10" t="s">
        <v>67</v>
      </c>
    </row>
    <row r="388" spans="1:12" x14ac:dyDescent="0.25">
      <c r="A388">
        <v>164</v>
      </c>
      <c r="B388" s="10" t="s">
        <v>525</v>
      </c>
      <c r="C388" s="10" t="s">
        <v>155</v>
      </c>
      <c r="D388" s="10" t="s">
        <v>152</v>
      </c>
      <c r="E388" s="10" t="s">
        <v>153</v>
      </c>
      <c r="F388" s="10" t="s">
        <v>106</v>
      </c>
      <c r="G388" s="10" t="s">
        <v>105</v>
      </c>
      <c r="H388" s="10" t="s">
        <v>65</v>
      </c>
      <c r="I388" s="10" t="s">
        <v>16</v>
      </c>
      <c r="J388" s="10" t="s">
        <v>541</v>
      </c>
      <c r="K388" s="10" t="s">
        <v>542</v>
      </c>
      <c r="L388" s="10" t="s">
        <v>67</v>
      </c>
    </row>
    <row r="389" spans="1:12" x14ac:dyDescent="0.25">
      <c r="A389">
        <v>164</v>
      </c>
      <c r="B389" s="10" t="s">
        <v>525</v>
      </c>
      <c r="C389" s="10" t="s">
        <v>155</v>
      </c>
      <c r="D389" s="10" t="s">
        <v>152</v>
      </c>
      <c r="E389" s="10" t="s">
        <v>153</v>
      </c>
      <c r="F389" s="10" t="s">
        <v>107</v>
      </c>
      <c r="G389" s="10" t="s">
        <v>105</v>
      </c>
      <c r="H389" s="10" t="s">
        <v>65</v>
      </c>
      <c r="I389" s="10" t="s">
        <v>16</v>
      </c>
      <c r="J389" s="10" t="s">
        <v>543</v>
      </c>
      <c r="K389" s="10" t="s">
        <v>542</v>
      </c>
      <c r="L389" s="10" t="s">
        <v>67</v>
      </c>
    </row>
    <row r="390" spans="1:12" x14ac:dyDescent="0.25">
      <c r="A390">
        <v>164</v>
      </c>
      <c r="B390" s="10" t="s">
        <v>525</v>
      </c>
      <c r="C390" s="10" t="s">
        <v>155</v>
      </c>
      <c r="D390" s="10" t="s">
        <v>152</v>
      </c>
      <c r="E390" s="10" t="s">
        <v>153</v>
      </c>
      <c r="F390" s="10" t="s">
        <v>108</v>
      </c>
      <c r="G390" s="10" t="s">
        <v>105</v>
      </c>
      <c r="H390" s="10" t="s">
        <v>65</v>
      </c>
      <c r="I390" s="10" t="s">
        <v>16</v>
      </c>
      <c r="J390" s="10" t="s">
        <v>497</v>
      </c>
      <c r="K390" s="10" t="s">
        <v>498</v>
      </c>
      <c r="L390" s="10" t="s">
        <v>67</v>
      </c>
    </row>
    <row r="391" spans="1:12" x14ac:dyDescent="0.25">
      <c r="A391">
        <v>164</v>
      </c>
      <c r="B391" s="10" t="s">
        <v>525</v>
      </c>
      <c r="C391" s="10" t="s">
        <v>155</v>
      </c>
      <c r="D391" s="10" t="s">
        <v>152</v>
      </c>
      <c r="E391" s="10" t="s">
        <v>153</v>
      </c>
      <c r="F391" s="10" t="s">
        <v>109</v>
      </c>
      <c r="G391" s="10" t="s">
        <v>105</v>
      </c>
      <c r="H391" s="10" t="s">
        <v>65</v>
      </c>
      <c r="I391" s="10" t="s">
        <v>16</v>
      </c>
      <c r="J391" s="10" t="s">
        <v>528</v>
      </c>
      <c r="K391" s="10" t="s">
        <v>540</v>
      </c>
      <c r="L391" s="10" t="s">
        <v>67</v>
      </c>
    </row>
    <row r="392" spans="1:12" x14ac:dyDescent="0.25">
      <c r="A392">
        <v>164</v>
      </c>
      <c r="B392" s="10" t="s">
        <v>525</v>
      </c>
      <c r="C392" s="10" t="s">
        <v>155</v>
      </c>
      <c r="D392" s="10" t="s">
        <v>152</v>
      </c>
      <c r="E392" s="10" t="s">
        <v>153</v>
      </c>
      <c r="F392" s="10" t="s">
        <v>110</v>
      </c>
      <c r="G392" s="10" t="s">
        <v>105</v>
      </c>
      <c r="H392" s="10" t="s">
        <v>65</v>
      </c>
      <c r="I392" s="10" t="s">
        <v>16</v>
      </c>
      <c r="J392" s="10" t="s">
        <v>79</v>
      </c>
      <c r="K392" s="10" t="s">
        <v>544</v>
      </c>
      <c r="L392" s="10" t="s">
        <v>67</v>
      </c>
    </row>
    <row r="393" spans="1:12" x14ac:dyDescent="0.25">
      <c r="A393">
        <v>164</v>
      </c>
      <c r="B393" s="10" t="s">
        <v>525</v>
      </c>
      <c r="C393" s="10" t="s">
        <v>155</v>
      </c>
      <c r="D393" s="10" t="s">
        <v>152</v>
      </c>
      <c r="E393" s="10" t="s">
        <v>153</v>
      </c>
      <c r="F393" s="10" t="s">
        <v>111</v>
      </c>
      <c r="G393" s="10" t="s">
        <v>105</v>
      </c>
      <c r="H393" s="10" t="s">
        <v>65</v>
      </c>
      <c r="I393" s="10" t="s">
        <v>16</v>
      </c>
      <c r="J393" s="10" t="s">
        <v>528</v>
      </c>
      <c r="K393" s="10" t="s">
        <v>540</v>
      </c>
      <c r="L393" s="10" t="s">
        <v>67</v>
      </c>
    </row>
    <row r="394" spans="1:12" x14ac:dyDescent="0.25">
      <c r="A394">
        <v>164</v>
      </c>
      <c r="B394" s="10" t="s">
        <v>525</v>
      </c>
      <c r="C394" s="10" t="s">
        <v>155</v>
      </c>
      <c r="D394" s="10" t="s">
        <v>152</v>
      </c>
      <c r="E394" s="10" t="s">
        <v>153</v>
      </c>
      <c r="F394" s="10" t="s">
        <v>112</v>
      </c>
      <c r="G394" s="10" t="s">
        <v>105</v>
      </c>
      <c r="H394" s="10" t="s">
        <v>65</v>
      </c>
      <c r="I394" s="10" t="s">
        <v>16</v>
      </c>
      <c r="J394" s="10" t="s">
        <v>314</v>
      </c>
      <c r="K394" s="10" t="s">
        <v>315</v>
      </c>
      <c r="L394" s="10" t="s">
        <v>67</v>
      </c>
    </row>
    <row r="395" spans="1:12" x14ac:dyDescent="0.25">
      <c r="A395">
        <v>164</v>
      </c>
      <c r="B395" s="10" t="s">
        <v>525</v>
      </c>
      <c r="C395" s="10" t="s">
        <v>155</v>
      </c>
      <c r="D395" s="10" t="s">
        <v>152</v>
      </c>
      <c r="E395" s="10" t="s">
        <v>153</v>
      </c>
      <c r="F395" s="10" t="s">
        <v>113</v>
      </c>
      <c r="G395" s="10" t="s">
        <v>105</v>
      </c>
      <c r="H395" s="10" t="s">
        <v>65</v>
      </c>
      <c r="I395" s="10" t="s">
        <v>16</v>
      </c>
      <c r="J395" s="10" t="s">
        <v>279</v>
      </c>
      <c r="K395" s="10" t="s">
        <v>280</v>
      </c>
      <c r="L395" s="10" t="s">
        <v>67</v>
      </c>
    </row>
    <row r="396" spans="1:12" x14ac:dyDescent="0.25">
      <c r="A396">
        <v>164</v>
      </c>
      <c r="B396" s="10" t="s">
        <v>525</v>
      </c>
      <c r="C396" s="10" t="s">
        <v>155</v>
      </c>
      <c r="D396" s="10" t="s">
        <v>152</v>
      </c>
      <c r="E396" s="10" t="s">
        <v>153</v>
      </c>
      <c r="F396" s="10" t="s">
        <v>124</v>
      </c>
      <c r="G396" s="10" t="s">
        <v>125</v>
      </c>
      <c r="H396" s="10" t="s">
        <v>72</v>
      </c>
      <c r="I396" s="10" t="s">
        <v>16</v>
      </c>
      <c r="J396" s="10" t="s">
        <v>545</v>
      </c>
      <c r="K396" s="10" t="s">
        <v>539</v>
      </c>
      <c r="L396" s="10" t="s">
        <v>54</v>
      </c>
    </row>
    <row r="397" spans="1:12" x14ac:dyDescent="0.25">
      <c r="A397">
        <v>164</v>
      </c>
      <c r="B397" s="10" t="s">
        <v>525</v>
      </c>
      <c r="C397" s="10" t="s">
        <v>155</v>
      </c>
      <c r="D397" s="10" t="s">
        <v>152</v>
      </c>
      <c r="E397" s="10" t="s">
        <v>153</v>
      </c>
      <c r="F397" s="10" t="s">
        <v>131</v>
      </c>
      <c r="G397" s="10" t="s">
        <v>68</v>
      </c>
      <c r="H397" s="10" t="s">
        <v>65</v>
      </c>
      <c r="I397" s="10" t="s">
        <v>16</v>
      </c>
      <c r="J397" s="10" t="s">
        <v>546</v>
      </c>
      <c r="K397" s="10" t="s">
        <v>547</v>
      </c>
      <c r="L397" s="10" t="s">
        <v>54</v>
      </c>
    </row>
    <row r="398" spans="1:12" x14ac:dyDescent="0.25">
      <c r="A398">
        <v>164</v>
      </c>
      <c r="B398" s="10" t="s">
        <v>525</v>
      </c>
      <c r="C398" s="10" t="s">
        <v>155</v>
      </c>
      <c r="D398" s="10" t="s">
        <v>152</v>
      </c>
      <c r="E398" s="10" t="s">
        <v>153</v>
      </c>
      <c r="F398" s="10" t="s">
        <v>154</v>
      </c>
      <c r="G398" s="10" t="s">
        <v>68</v>
      </c>
      <c r="H398" s="10" t="s">
        <v>65</v>
      </c>
      <c r="I398" s="10" t="s">
        <v>16</v>
      </c>
      <c r="J398" s="10" t="s">
        <v>546</v>
      </c>
      <c r="K398" s="10" t="s">
        <v>547</v>
      </c>
      <c r="L398" s="10" t="s">
        <v>54</v>
      </c>
    </row>
    <row r="399" spans="1:12" x14ac:dyDescent="0.25">
      <c r="A399">
        <v>164</v>
      </c>
      <c r="B399" s="10" t="s">
        <v>525</v>
      </c>
      <c r="C399" s="10" t="s">
        <v>155</v>
      </c>
      <c r="D399" s="10" t="s">
        <v>152</v>
      </c>
      <c r="E399" s="10" t="s">
        <v>153</v>
      </c>
      <c r="F399" s="10" t="s">
        <v>156</v>
      </c>
      <c r="G399" s="10" t="s">
        <v>125</v>
      </c>
      <c r="H399" s="10" t="s">
        <v>65</v>
      </c>
      <c r="I399" s="10" t="s">
        <v>16</v>
      </c>
      <c r="J399" s="10" t="s">
        <v>545</v>
      </c>
      <c r="K399" s="10" t="s">
        <v>539</v>
      </c>
      <c r="L399" s="10" t="s">
        <v>67</v>
      </c>
    </row>
    <row r="400" spans="1:12" x14ac:dyDescent="0.25">
      <c r="A400">
        <v>157</v>
      </c>
      <c r="B400" s="10" t="s">
        <v>431</v>
      </c>
      <c r="C400" s="10" t="s">
        <v>137</v>
      </c>
      <c r="D400" s="10" t="s">
        <v>134</v>
      </c>
      <c r="E400" s="10" t="s">
        <v>135</v>
      </c>
      <c r="F400" s="10" t="s">
        <v>69</v>
      </c>
      <c r="G400" s="10" t="s">
        <v>68</v>
      </c>
      <c r="H400" s="10" t="s">
        <v>65</v>
      </c>
      <c r="I400" s="10" t="s">
        <v>16</v>
      </c>
      <c r="J400" s="10" t="s">
        <v>432</v>
      </c>
      <c r="K400" s="10" t="s">
        <v>433</v>
      </c>
      <c r="L400" s="10" t="s">
        <v>67</v>
      </c>
    </row>
    <row r="401" spans="1:12" x14ac:dyDescent="0.25">
      <c r="A401">
        <v>157</v>
      </c>
      <c r="B401" s="10" t="s">
        <v>431</v>
      </c>
      <c r="C401" s="10" t="s">
        <v>137</v>
      </c>
      <c r="D401" s="10" t="s">
        <v>134</v>
      </c>
      <c r="E401" s="10" t="s">
        <v>135</v>
      </c>
      <c r="F401" s="10" t="s">
        <v>71</v>
      </c>
      <c r="G401" s="10" t="s">
        <v>68</v>
      </c>
      <c r="H401" s="10" t="s">
        <v>72</v>
      </c>
      <c r="I401" s="10" t="s">
        <v>18</v>
      </c>
      <c r="J401" s="10" t="s">
        <v>54</v>
      </c>
      <c r="K401" s="10" t="s">
        <v>54</v>
      </c>
      <c r="L401" s="10" t="s">
        <v>54</v>
      </c>
    </row>
    <row r="402" spans="1:12" x14ac:dyDescent="0.25">
      <c r="A402">
        <v>157</v>
      </c>
      <c r="B402" s="10" t="s">
        <v>431</v>
      </c>
      <c r="C402" s="10" t="s">
        <v>137</v>
      </c>
      <c r="D402" s="10" t="s">
        <v>134</v>
      </c>
      <c r="E402" s="10" t="s">
        <v>135</v>
      </c>
      <c r="F402" s="10" t="s">
        <v>73</v>
      </c>
      <c r="G402" s="10" t="s">
        <v>68</v>
      </c>
      <c r="H402" s="10" t="s">
        <v>65</v>
      </c>
      <c r="I402" s="10" t="s">
        <v>16</v>
      </c>
      <c r="J402" s="10" t="s">
        <v>434</v>
      </c>
      <c r="K402" s="10" t="s">
        <v>435</v>
      </c>
      <c r="L402" s="10" t="s">
        <v>67</v>
      </c>
    </row>
    <row r="403" spans="1:12" x14ac:dyDescent="0.25">
      <c r="A403">
        <v>157</v>
      </c>
      <c r="B403" s="10" t="s">
        <v>431</v>
      </c>
      <c r="C403" s="10" t="s">
        <v>137</v>
      </c>
      <c r="D403" s="10" t="s">
        <v>134</v>
      </c>
      <c r="E403" s="10" t="s">
        <v>135</v>
      </c>
      <c r="F403" s="10" t="s">
        <v>74</v>
      </c>
      <c r="G403" s="10" t="s">
        <v>68</v>
      </c>
      <c r="H403" s="10" t="s">
        <v>65</v>
      </c>
      <c r="I403" s="10" t="s">
        <v>16</v>
      </c>
      <c r="J403" s="10" t="s">
        <v>436</v>
      </c>
      <c r="K403" s="10" t="s">
        <v>437</v>
      </c>
      <c r="L403" s="10" t="s">
        <v>67</v>
      </c>
    </row>
    <row r="404" spans="1:12" x14ac:dyDescent="0.25">
      <c r="A404">
        <v>157</v>
      </c>
      <c r="B404" s="10" t="s">
        <v>431</v>
      </c>
      <c r="C404" s="10" t="s">
        <v>137</v>
      </c>
      <c r="D404" s="10" t="s">
        <v>134</v>
      </c>
      <c r="E404" s="10" t="s">
        <v>135</v>
      </c>
      <c r="F404" s="10" t="s">
        <v>75</v>
      </c>
      <c r="G404" s="10" t="s">
        <v>68</v>
      </c>
      <c r="H404" s="10" t="s">
        <v>72</v>
      </c>
      <c r="I404" s="10" t="s">
        <v>24</v>
      </c>
      <c r="J404" s="10" t="s">
        <v>326</v>
      </c>
      <c r="K404" s="10" t="s">
        <v>438</v>
      </c>
      <c r="L404" s="10" t="s">
        <v>67</v>
      </c>
    </row>
    <row r="405" spans="1:12" x14ac:dyDescent="0.25">
      <c r="A405">
        <v>157</v>
      </c>
      <c r="B405" s="10" t="s">
        <v>431</v>
      </c>
      <c r="C405" s="10" t="s">
        <v>137</v>
      </c>
      <c r="D405" s="10" t="s">
        <v>134</v>
      </c>
      <c r="E405" s="10" t="s">
        <v>135</v>
      </c>
      <c r="F405" s="10" t="s">
        <v>76</v>
      </c>
      <c r="G405" s="10" t="s">
        <v>77</v>
      </c>
      <c r="H405" s="10" t="s">
        <v>65</v>
      </c>
      <c r="I405" s="10" t="s">
        <v>16</v>
      </c>
      <c r="J405" s="10" t="s">
        <v>439</v>
      </c>
      <c r="K405" s="10" t="s">
        <v>440</v>
      </c>
      <c r="L405" s="10" t="s">
        <v>67</v>
      </c>
    </row>
    <row r="406" spans="1:12" x14ac:dyDescent="0.25">
      <c r="A406">
        <v>157</v>
      </c>
      <c r="B406" s="10" t="s">
        <v>431</v>
      </c>
      <c r="C406" s="10" t="s">
        <v>137</v>
      </c>
      <c r="D406" s="10" t="s">
        <v>134</v>
      </c>
      <c r="E406" s="10" t="s">
        <v>135</v>
      </c>
      <c r="F406" s="10" t="s">
        <v>78</v>
      </c>
      <c r="G406" s="10" t="s">
        <v>77</v>
      </c>
      <c r="H406" s="10" t="s">
        <v>65</v>
      </c>
      <c r="I406" s="10" t="s">
        <v>16</v>
      </c>
      <c r="J406" s="10" t="s">
        <v>79</v>
      </c>
      <c r="K406" s="10" t="s">
        <v>441</v>
      </c>
      <c r="L406" s="10" t="s">
        <v>67</v>
      </c>
    </row>
    <row r="407" spans="1:12" x14ac:dyDescent="0.25">
      <c r="A407">
        <v>157</v>
      </c>
      <c r="B407" s="10" t="s">
        <v>431</v>
      </c>
      <c r="C407" s="10" t="s">
        <v>137</v>
      </c>
      <c r="D407" s="10" t="s">
        <v>134</v>
      </c>
      <c r="E407" s="10" t="s">
        <v>135</v>
      </c>
      <c r="F407" s="10" t="s">
        <v>80</v>
      </c>
      <c r="G407" s="10" t="s">
        <v>77</v>
      </c>
      <c r="H407" s="10" t="s">
        <v>65</v>
      </c>
      <c r="I407" s="10" t="s">
        <v>16</v>
      </c>
      <c r="J407" s="10" t="s">
        <v>79</v>
      </c>
      <c r="K407" s="10" t="s">
        <v>442</v>
      </c>
      <c r="L407" s="10" t="s">
        <v>67</v>
      </c>
    </row>
    <row r="408" spans="1:12" x14ac:dyDescent="0.25">
      <c r="A408">
        <v>157</v>
      </c>
      <c r="B408" s="10" t="s">
        <v>431</v>
      </c>
      <c r="C408" s="10" t="s">
        <v>137</v>
      </c>
      <c r="D408" s="10" t="s">
        <v>134</v>
      </c>
      <c r="E408" s="10" t="s">
        <v>135</v>
      </c>
      <c r="F408" s="10" t="s">
        <v>81</v>
      </c>
      <c r="G408" s="10" t="s">
        <v>77</v>
      </c>
      <c r="H408" s="10" t="s">
        <v>65</v>
      </c>
      <c r="I408" s="10" t="s">
        <v>16</v>
      </c>
      <c r="J408" s="10" t="s">
        <v>443</v>
      </c>
      <c r="K408" s="10" t="s">
        <v>444</v>
      </c>
      <c r="L408" s="10" t="s">
        <v>67</v>
      </c>
    </row>
    <row r="409" spans="1:12" x14ac:dyDescent="0.25">
      <c r="A409">
        <v>157</v>
      </c>
      <c r="B409" s="10" t="s">
        <v>431</v>
      </c>
      <c r="C409" s="10" t="s">
        <v>137</v>
      </c>
      <c r="D409" s="10" t="s">
        <v>134</v>
      </c>
      <c r="E409" s="10" t="s">
        <v>135</v>
      </c>
      <c r="F409" s="10" t="s">
        <v>82</v>
      </c>
      <c r="G409" s="10" t="s">
        <v>83</v>
      </c>
      <c r="H409" s="10" t="s">
        <v>65</v>
      </c>
      <c r="I409" s="10" t="s">
        <v>16</v>
      </c>
      <c r="J409" s="10" t="s">
        <v>281</v>
      </c>
      <c r="K409" s="10" t="s">
        <v>282</v>
      </c>
      <c r="L409" s="10" t="s">
        <v>67</v>
      </c>
    </row>
    <row r="410" spans="1:12" x14ac:dyDescent="0.25">
      <c r="A410">
        <v>157</v>
      </c>
      <c r="B410" s="10" t="s">
        <v>431</v>
      </c>
      <c r="C410" s="10" t="s">
        <v>137</v>
      </c>
      <c r="D410" s="10" t="s">
        <v>134</v>
      </c>
      <c r="E410" s="10" t="s">
        <v>135</v>
      </c>
      <c r="F410" s="10" t="s">
        <v>84</v>
      </c>
      <c r="G410" s="10" t="s">
        <v>83</v>
      </c>
      <c r="H410" s="10" t="s">
        <v>65</v>
      </c>
      <c r="I410" s="10" t="s">
        <v>16</v>
      </c>
      <c r="J410" s="10" t="s">
        <v>410</v>
      </c>
      <c r="K410" s="10" t="s">
        <v>411</v>
      </c>
      <c r="L410" s="10" t="s">
        <v>67</v>
      </c>
    </row>
    <row r="411" spans="1:12" x14ac:dyDescent="0.25">
      <c r="A411">
        <v>157</v>
      </c>
      <c r="B411" s="10" t="s">
        <v>431</v>
      </c>
      <c r="C411" s="10" t="s">
        <v>137</v>
      </c>
      <c r="D411" s="10" t="s">
        <v>134</v>
      </c>
      <c r="E411" s="10" t="s">
        <v>135</v>
      </c>
      <c r="F411" s="10" t="s">
        <v>93</v>
      </c>
      <c r="G411" s="10" t="s">
        <v>94</v>
      </c>
      <c r="H411" s="10" t="s">
        <v>65</v>
      </c>
      <c r="I411" s="10" t="s">
        <v>16</v>
      </c>
      <c r="J411" s="10" t="s">
        <v>445</v>
      </c>
      <c r="K411" s="10" t="s">
        <v>446</v>
      </c>
      <c r="L411" s="10" t="s">
        <v>67</v>
      </c>
    </row>
    <row r="412" spans="1:12" x14ac:dyDescent="0.25">
      <c r="A412">
        <v>157</v>
      </c>
      <c r="B412" s="10" t="s">
        <v>431</v>
      </c>
      <c r="C412" s="10" t="s">
        <v>137</v>
      </c>
      <c r="D412" s="10" t="s">
        <v>134</v>
      </c>
      <c r="E412" s="10" t="s">
        <v>135</v>
      </c>
      <c r="F412" s="10" t="s">
        <v>95</v>
      </c>
      <c r="G412" s="10" t="s">
        <v>94</v>
      </c>
      <c r="H412" s="10" t="s">
        <v>65</v>
      </c>
      <c r="I412" s="10" t="s">
        <v>16</v>
      </c>
      <c r="J412" s="10" t="s">
        <v>410</v>
      </c>
      <c r="K412" s="10" t="s">
        <v>411</v>
      </c>
      <c r="L412" s="10" t="s">
        <v>67</v>
      </c>
    </row>
    <row r="413" spans="1:12" x14ac:dyDescent="0.25">
      <c r="A413">
        <v>157</v>
      </c>
      <c r="B413" s="10" t="s">
        <v>431</v>
      </c>
      <c r="C413" s="10" t="s">
        <v>137</v>
      </c>
      <c r="D413" s="10" t="s">
        <v>134</v>
      </c>
      <c r="E413" s="10" t="s">
        <v>135</v>
      </c>
      <c r="F413" s="10" t="s">
        <v>96</v>
      </c>
      <c r="G413" s="10" t="s">
        <v>94</v>
      </c>
      <c r="H413" s="10" t="s">
        <v>65</v>
      </c>
      <c r="I413" s="10" t="s">
        <v>16</v>
      </c>
      <c r="J413" s="10" t="s">
        <v>79</v>
      </c>
      <c r="K413" s="10" t="s">
        <v>297</v>
      </c>
      <c r="L413" s="10" t="s">
        <v>67</v>
      </c>
    </row>
    <row r="414" spans="1:12" x14ac:dyDescent="0.25">
      <c r="A414">
        <v>157</v>
      </c>
      <c r="B414" s="10" t="s">
        <v>431</v>
      </c>
      <c r="C414" s="10" t="s">
        <v>137</v>
      </c>
      <c r="D414" s="10" t="s">
        <v>134</v>
      </c>
      <c r="E414" s="10" t="s">
        <v>135</v>
      </c>
      <c r="F414" s="10" t="s">
        <v>97</v>
      </c>
      <c r="G414" s="10" t="s">
        <v>98</v>
      </c>
      <c r="H414" s="10" t="s">
        <v>65</v>
      </c>
      <c r="I414" s="10" t="s">
        <v>16</v>
      </c>
      <c r="J414" s="10" t="s">
        <v>447</v>
      </c>
      <c r="K414" s="10" t="s">
        <v>391</v>
      </c>
      <c r="L414" s="10" t="s">
        <v>67</v>
      </c>
    </row>
    <row r="415" spans="1:12" x14ac:dyDescent="0.25">
      <c r="A415">
        <v>157</v>
      </c>
      <c r="B415" s="10" t="s">
        <v>431</v>
      </c>
      <c r="C415" s="10" t="s">
        <v>137</v>
      </c>
      <c r="D415" s="10" t="s">
        <v>134</v>
      </c>
      <c r="E415" s="10" t="s">
        <v>135</v>
      </c>
      <c r="F415" s="10" t="s">
        <v>101</v>
      </c>
      <c r="G415" s="10" t="s">
        <v>102</v>
      </c>
      <c r="H415" s="10" t="s">
        <v>65</v>
      </c>
      <c r="I415" s="10" t="s">
        <v>16</v>
      </c>
      <c r="J415" s="10" t="s">
        <v>79</v>
      </c>
      <c r="K415" s="10" t="s">
        <v>383</v>
      </c>
      <c r="L415" s="10" t="s">
        <v>67</v>
      </c>
    </row>
    <row r="416" spans="1:12" x14ac:dyDescent="0.25">
      <c r="A416">
        <v>157</v>
      </c>
      <c r="B416" s="10" t="s">
        <v>431</v>
      </c>
      <c r="C416" s="10" t="s">
        <v>137</v>
      </c>
      <c r="D416" s="10" t="s">
        <v>134</v>
      </c>
      <c r="E416" s="10" t="s">
        <v>135</v>
      </c>
      <c r="F416" s="10" t="s">
        <v>103</v>
      </c>
      <c r="G416" s="10" t="s">
        <v>102</v>
      </c>
      <c r="H416" s="10" t="s">
        <v>65</v>
      </c>
      <c r="I416" s="10" t="s">
        <v>16</v>
      </c>
      <c r="J416" s="10" t="s">
        <v>302</v>
      </c>
      <c r="K416" s="10" t="s">
        <v>303</v>
      </c>
      <c r="L416" s="10" t="s">
        <v>67</v>
      </c>
    </row>
    <row r="417" spans="1:12" x14ac:dyDescent="0.25">
      <c r="A417">
        <v>157</v>
      </c>
      <c r="B417" s="10" t="s">
        <v>431</v>
      </c>
      <c r="C417" s="10" t="s">
        <v>137</v>
      </c>
      <c r="D417" s="10" t="s">
        <v>134</v>
      </c>
      <c r="E417" s="10" t="s">
        <v>135</v>
      </c>
      <c r="F417" s="10" t="s">
        <v>104</v>
      </c>
      <c r="G417" s="10" t="s">
        <v>105</v>
      </c>
      <c r="H417" s="10" t="s">
        <v>65</v>
      </c>
      <c r="I417" s="10" t="s">
        <v>16</v>
      </c>
      <c r="J417" s="10" t="s">
        <v>448</v>
      </c>
      <c r="K417" s="10" t="s">
        <v>449</v>
      </c>
      <c r="L417" s="10" t="s">
        <v>67</v>
      </c>
    </row>
    <row r="418" spans="1:12" x14ac:dyDescent="0.25">
      <c r="A418">
        <v>157</v>
      </c>
      <c r="B418" s="10" t="s">
        <v>431</v>
      </c>
      <c r="C418" s="10" t="s">
        <v>137</v>
      </c>
      <c r="D418" s="10" t="s">
        <v>134</v>
      </c>
      <c r="E418" s="10" t="s">
        <v>135</v>
      </c>
      <c r="F418" s="10" t="s">
        <v>106</v>
      </c>
      <c r="G418" s="10" t="s">
        <v>105</v>
      </c>
      <c r="H418" s="10" t="s">
        <v>65</v>
      </c>
      <c r="I418" s="10" t="s">
        <v>16</v>
      </c>
      <c r="J418" s="10" t="s">
        <v>382</v>
      </c>
      <c r="K418" s="10" t="s">
        <v>360</v>
      </c>
      <c r="L418" s="10" t="s">
        <v>67</v>
      </c>
    </row>
    <row r="419" spans="1:12" x14ac:dyDescent="0.25">
      <c r="A419">
        <v>157</v>
      </c>
      <c r="B419" s="10" t="s">
        <v>431</v>
      </c>
      <c r="C419" s="10" t="s">
        <v>137</v>
      </c>
      <c r="D419" s="10" t="s">
        <v>134</v>
      </c>
      <c r="E419" s="10" t="s">
        <v>135</v>
      </c>
      <c r="F419" s="10" t="s">
        <v>107</v>
      </c>
      <c r="G419" s="10" t="s">
        <v>105</v>
      </c>
      <c r="H419" s="10" t="s">
        <v>65</v>
      </c>
      <c r="I419" s="10" t="s">
        <v>16</v>
      </c>
      <c r="J419" s="10" t="s">
        <v>450</v>
      </c>
      <c r="K419" s="10" t="s">
        <v>391</v>
      </c>
      <c r="L419" s="10" t="s">
        <v>67</v>
      </c>
    </row>
    <row r="420" spans="1:12" x14ac:dyDescent="0.25">
      <c r="A420">
        <v>157</v>
      </c>
      <c r="B420" s="10" t="s">
        <v>431</v>
      </c>
      <c r="C420" s="10" t="s">
        <v>137</v>
      </c>
      <c r="D420" s="10" t="s">
        <v>134</v>
      </c>
      <c r="E420" s="10" t="s">
        <v>135</v>
      </c>
      <c r="F420" s="10" t="s">
        <v>108</v>
      </c>
      <c r="G420" s="10" t="s">
        <v>105</v>
      </c>
      <c r="H420" s="10" t="s">
        <v>65</v>
      </c>
      <c r="I420" s="10" t="s">
        <v>16</v>
      </c>
      <c r="J420" s="10" t="s">
        <v>451</v>
      </c>
      <c r="K420" s="10" t="s">
        <v>452</v>
      </c>
      <c r="L420" s="10" t="s">
        <v>67</v>
      </c>
    </row>
    <row r="421" spans="1:12" x14ac:dyDescent="0.25">
      <c r="A421">
        <v>157</v>
      </c>
      <c r="B421" s="10" t="s">
        <v>431</v>
      </c>
      <c r="C421" s="10" t="s">
        <v>137</v>
      </c>
      <c r="D421" s="10" t="s">
        <v>134</v>
      </c>
      <c r="E421" s="10" t="s">
        <v>135</v>
      </c>
      <c r="F421" s="10" t="s">
        <v>109</v>
      </c>
      <c r="G421" s="10" t="s">
        <v>105</v>
      </c>
      <c r="H421" s="10" t="s">
        <v>65</v>
      </c>
      <c r="I421" s="10" t="s">
        <v>16</v>
      </c>
      <c r="J421" s="10" t="s">
        <v>448</v>
      </c>
      <c r="K421" s="10" t="s">
        <v>449</v>
      </c>
      <c r="L421" s="10" t="s">
        <v>67</v>
      </c>
    </row>
    <row r="422" spans="1:12" x14ac:dyDescent="0.25">
      <c r="A422">
        <v>157</v>
      </c>
      <c r="B422" s="10" t="s">
        <v>431</v>
      </c>
      <c r="C422" s="10" t="s">
        <v>137</v>
      </c>
      <c r="D422" s="10" t="s">
        <v>134</v>
      </c>
      <c r="E422" s="10" t="s">
        <v>135</v>
      </c>
      <c r="F422" s="10" t="s">
        <v>110</v>
      </c>
      <c r="G422" s="10" t="s">
        <v>105</v>
      </c>
      <c r="H422" s="10" t="s">
        <v>65</v>
      </c>
      <c r="I422" s="10" t="s">
        <v>16</v>
      </c>
      <c r="J422" s="10" t="s">
        <v>79</v>
      </c>
      <c r="K422" s="10" t="s">
        <v>391</v>
      </c>
      <c r="L422" s="10" t="s">
        <v>67</v>
      </c>
    </row>
    <row r="423" spans="1:12" x14ac:dyDescent="0.25">
      <c r="A423">
        <v>157</v>
      </c>
      <c r="B423" s="10" t="s">
        <v>431</v>
      </c>
      <c r="C423" s="10" t="s">
        <v>137</v>
      </c>
      <c r="D423" s="10" t="s">
        <v>134</v>
      </c>
      <c r="E423" s="10" t="s">
        <v>135</v>
      </c>
      <c r="F423" s="10" t="s">
        <v>111</v>
      </c>
      <c r="G423" s="10" t="s">
        <v>105</v>
      </c>
      <c r="H423" s="10" t="s">
        <v>65</v>
      </c>
      <c r="I423" s="10" t="s">
        <v>16</v>
      </c>
      <c r="J423" s="10" t="s">
        <v>453</v>
      </c>
      <c r="K423" s="10" t="s">
        <v>454</v>
      </c>
      <c r="L423" s="10" t="s">
        <v>67</v>
      </c>
    </row>
    <row r="424" spans="1:12" x14ac:dyDescent="0.25">
      <c r="A424">
        <v>157</v>
      </c>
      <c r="B424" s="10" t="s">
        <v>431</v>
      </c>
      <c r="C424" s="10" t="s">
        <v>137</v>
      </c>
      <c r="D424" s="10" t="s">
        <v>134</v>
      </c>
      <c r="E424" s="10" t="s">
        <v>135</v>
      </c>
      <c r="F424" s="10" t="s">
        <v>112</v>
      </c>
      <c r="G424" s="10" t="s">
        <v>105</v>
      </c>
      <c r="H424" s="10" t="s">
        <v>65</v>
      </c>
      <c r="I424" s="10" t="s">
        <v>16</v>
      </c>
      <c r="J424" s="10" t="s">
        <v>448</v>
      </c>
      <c r="K424" s="10" t="s">
        <v>449</v>
      </c>
      <c r="L424" s="10" t="s">
        <v>67</v>
      </c>
    </row>
    <row r="425" spans="1:12" x14ac:dyDescent="0.25">
      <c r="A425">
        <v>157</v>
      </c>
      <c r="B425" s="10" t="s">
        <v>431</v>
      </c>
      <c r="C425" s="10" t="s">
        <v>137</v>
      </c>
      <c r="D425" s="10" t="s">
        <v>134</v>
      </c>
      <c r="E425" s="10" t="s">
        <v>135</v>
      </c>
      <c r="F425" s="10" t="s">
        <v>113</v>
      </c>
      <c r="G425" s="10" t="s">
        <v>105</v>
      </c>
      <c r="H425" s="10" t="s">
        <v>65</v>
      </c>
      <c r="I425" s="10" t="s">
        <v>16</v>
      </c>
      <c r="J425" s="10" t="s">
        <v>362</v>
      </c>
      <c r="K425" s="10" t="s">
        <v>378</v>
      </c>
      <c r="L425" s="10" t="s">
        <v>67</v>
      </c>
    </row>
    <row r="426" spans="1:12" x14ac:dyDescent="0.25">
      <c r="A426">
        <v>157</v>
      </c>
      <c r="B426" s="10" t="s">
        <v>431</v>
      </c>
      <c r="C426" s="10" t="s">
        <v>137</v>
      </c>
      <c r="D426" s="10" t="s">
        <v>134</v>
      </c>
      <c r="E426" s="10" t="s">
        <v>135</v>
      </c>
      <c r="F426" s="10" t="s">
        <v>124</v>
      </c>
      <c r="G426" s="10" t="s">
        <v>125</v>
      </c>
      <c r="H426" s="10" t="s">
        <v>72</v>
      </c>
      <c r="I426" s="10" t="s">
        <v>18</v>
      </c>
      <c r="J426" s="10" t="s">
        <v>54</v>
      </c>
      <c r="K426" s="10" t="s">
        <v>54</v>
      </c>
      <c r="L426" s="10" t="s">
        <v>54</v>
      </c>
    </row>
    <row r="427" spans="1:12" x14ac:dyDescent="0.25">
      <c r="A427">
        <v>157</v>
      </c>
      <c r="B427" s="10" t="s">
        <v>431</v>
      </c>
      <c r="C427" s="10" t="s">
        <v>137</v>
      </c>
      <c r="D427" s="10" t="s">
        <v>134</v>
      </c>
      <c r="E427" s="10" t="s">
        <v>135</v>
      </c>
      <c r="F427" s="10" t="s">
        <v>131</v>
      </c>
      <c r="G427" s="10" t="s">
        <v>68</v>
      </c>
      <c r="H427" s="10" t="s">
        <v>65</v>
      </c>
      <c r="I427" s="10" t="s">
        <v>16</v>
      </c>
      <c r="J427" s="10" t="s">
        <v>455</v>
      </c>
      <c r="K427" s="10" t="s">
        <v>456</v>
      </c>
      <c r="L427" s="10" t="s">
        <v>54</v>
      </c>
    </row>
    <row r="428" spans="1:12" x14ac:dyDescent="0.25">
      <c r="A428">
        <v>157</v>
      </c>
      <c r="B428" s="10" t="s">
        <v>431</v>
      </c>
      <c r="C428" s="10" t="s">
        <v>137</v>
      </c>
      <c r="D428" s="10" t="s">
        <v>134</v>
      </c>
      <c r="E428" s="10" t="s">
        <v>135</v>
      </c>
      <c r="F428" s="10" t="s">
        <v>132</v>
      </c>
      <c r="G428" s="10" t="s">
        <v>68</v>
      </c>
      <c r="H428" s="10" t="s">
        <v>65</v>
      </c>
      <c r="I428" s="10" t="s">
        <v>16</v>
      </c>
      <c r="J428" s="10" t="s">
        <v>457</v>
      </c>
      <c r="K428" s="10" t="s">
        <v>458</v>
      </c>
      <c r="L428" s="10" t="s">
        <v>54</v>
      </c>
    </row>
    <row r="429" spans="1:12" x14ac:dyDescent="0.25">
      <c r="A429">
        <v>157</v>
      </c>
      <c r="B429" s="10" t="s">
        <v>431</v>
      </c>
      <c r="C429" s="10" t="s">
        <v>137</v>
      </c>
      <c r="D429" s="10" t="s">
        <v>134</v>
      </c>
      <c r="E429" s="10" t="s">
        <v>135</v>
      </c>
      <c r="F429" s="10" t="s">
        <v>136</v>
      </c>
      <c r="G429" s="10" t="s">
        <v>68</v>
      </c>
      <c r="H429" s="10" t="s">
        <v>65</v>
      </c>
      <c r="I429" s="10" t="s">
        <v>16</v>
      </c>
      <c r="J429" s="10" t="s">
        <v>455</v>
      </c>
      <c r="K429" s="10" t="s">
        <v>456</v>
      </c>
      <c r="L429" s="10" t="s">
        <v>67</v>
      </c>
    </row>
    <row r="430" spans="1:12" x14ac:dyDescent="0.25">
      <c r="A430">
        <v>176</v>
      </c>
      <c r="B430" s="10" t="s">
        <v>964</v>
      </c>
      <c r="C430" s="10" t="s">
        <v>164</v>
      </c>
      <c r="D430" s="10" t="s">
        <v>226</v>
      </c>
      <c r="E430" s="10" t="s">
        <v>227</v>
      </c>
      <c r="F430" s="10" t="s">
        <v>71</v>
      </c>
      <c r="G430" s="10" t="s">
        <v>68</v>
      </c>
      <c r="H430" s="10" t="s">
        <v>72</v>
      </c>
      <c r="I430" s="10" t="s">
        <v>16</v>
      </c>
      <c r="J430" s="10" t="s">
        <v>965</v>
      </c>
      <c r="K430" s="10" t="s">
        <v>966</v>
      </c>
      <c r="L430" s="10" t="s">
        <v>67</v>
      </c>
    </row>
    <row r="431" spans="1:12" x14ac:dyDescent="0.25">
      <c r="A431">
        <v>176</v>
      </c>
      <c r="B431" s="10" t="s">
        <v>964</v>
      </c>
      <c r="C431" s="10" t="s">
        <v>164</v>
      </c>
      <c r="D431" s="10" t="s">
        <v>226</v>
      </c>
      <c r="E431" s="10" t="s">
        <v>227</v>
      </c>
      <c r="F431" s="10" t="s">
        <v>73</v>
      </c>
      <c r="G431" s="10" t="s">
        <v>68</v>
      </c>
      <c r="H431" s="10" t="s">
        <v>65</v>
      </c>
      <c r="I431" s="10" t="s">
        <v>16</v>
      </c>
      <c r="J431" s="10" t="s">
        <v>967</v>
      </c>
      <c r="K431" s="10" t="s">
        <v>433</v>
      </c>
      <c r="L431" s="10" t="s">
        <v>67</v>
      </c>
    </row>
    <row r="432" spans="1:12" x14ac:dyDescent="0.25">
      <c r="A432">
        <v>176</v>
      </c>
      <c r="B432" s="10" t="s">
        <v>964</v>
      </c>
      <c r="C432" s="10" t="s">
        <v>164</v>
      </c>
      <c r="D432" s="10" t="s">
        <v>226</v>
      </c>
      <c r="E432" s="10" t="s">
        <v>227</v>
      </c>
      <c r="F432" s="10" t="s">
        <v>74</v>
      </c>
      <c r="G432" s="10" t="s">
        <v>68</v>
      </c>
      <c r="H432" s="10" t="s">
        <v>65</v>
      </c>
      <c r="I432" s="10" t="s">
        <v>16</v>
      </c>
      <c r="J432" s="10" t="s">
        <v>387</v>
      </c>
      <c r="K432" s="10" t="s">
        <v>388</v>
      </c>
      <c r="L432" s="10" t="s">
        <v>67</v>
      </c>
    </row>
    <row r="433" spans="1:12" x14ac:dyDescent="0.25">
      <c r="A433">
        <v>176</v>
      </c>
      <c r="B433" s="10" t="s">
        <v>964</v>
      </c>
      <c r="C433" s="10" t="s">
        <v>164</v>
      </c>
      <c r="D433" s="10" t="s">
        <v>226</v>
      </c>
      <c r="E433" s="10" t="s">
        <v>227</v>
      </c>
      <c r="F433" s="10" t="s">
        <v>75</v>
      </c>
      <c r="G433" s="10" t="s">
        <v>68</v>
      </c>
      <c r="H433" s="10" t="s">
        <v>72</v>
      </c>
      <c r="I433" s="10" t="s">
        <v>16</v>
      </c>
      <c r="J433" s="10" t="s">
        <v>968</v>
      </c>
      <c r="K433" s="10" t="s">
        <v>388</v>
      </c>
      <c r="L433" s="10" t="s">
        <v>67</v>
      </c>
    </row>
    <row r="434" spans="1:12" x14ac:dyDescent="0.25">
      <c r="A434">
        <v>176</v>
      </c>
      <c r="B434" s="10" t="s">
        <v>964</v>
      </c>
      <c r="C434" s="10" t="s">
        <v>164</v>
      </c>
      <c r="D434" s="10" t="s">
        <v>226</v>
      </c>
      <c r="E434" s="10" t="s">
        <v>227</v>
      </c>
      <c r="F434" s="10" t="s">
        <v>76</v>
      </c>
      <c r="G434" s="10" t="s">
        <v>77</v>
      </c>
      <c r="H434" s="10" t="s">
        <v>65</v>
      </c>
      <c r="I434" s="10" t="s">
        <v>16</v>
      </c>
      <c r="J434" s="10" t="s">
        <v>328</v>
      </c>
      <c r="K434" s="10" t="s">
        <v>329</v>
      </c>
      <c r="L434" s="10" t="s">
        <v>67</v>
      </c>
    </row>
    <row r="435" spans="1:12" x14ac:dyDescent="0.25">
      <c r="A435">
        <v>176</v>
      </c>
      <c r="B435" s="10" t="s">
        <v>964</v>
      </c>
      <c r="C435" s="10" t="s">
        <v>164</v>
      </c>
      <c r="D435" s="10" t="s">
        <v>226</v>
      </c>
      <c r="E435" s="10" t="s">
        <v>227</v>
      </c>
      <c r="F435" s="10" t="s">
        <v>80</v>
      </c>
      <c r="G435" s="10" t="s">
        <v>77</v>
      </c>
      <c r="H435" s="10" t="s">
        <v>65</v>
      </c>
      <c r="I435" s="10" t="s">
        <v>16</v>
      </c>
      <c r="J435" s="10" t="s">
        <v>79</v>
      </c>
      <c r="K435" s="10" t="s">
        <v>442</v>
      </c>
      <c r="L435" s="10" t="s">
        <v>67</v>
      </c>
    </row>
    <row r="436" spans="1:12" x14ac:dyDescent="0.25">
      <c r="A436">
        <v>176</v>
      </c>
      <c r="B436" s="10" t="s">
        <v>964</v>
      </c>
      <c r="C436" s="10" t="s">
        <v>164</v>
      </c>
      <c r="D436" s="10" t="s">
        <v>226</v>
      </c>
      <c r="E436" s="10" t="s">
        <v>227</v>
      </c>
      <c r="F436" s="10" t="s">
        <v>84</v>
      </c>
      <c r="G436" s="10" t="s">
        <v>83</v>
      </c>
      <c r="H436" s="10" t="s">
        <v>65</v>
      </c>
      <c r="I436" s="10" t="s">
        <v>16</v>
      </c>
      <c r="J436" s="10" t="s">
        <v>763</v>
      </c>
      <c r="K436" s="10" t="s">
        <v>764</v>
      </c>
      <c r="L436" s="10" t="s">
        <v>67</v>
      </c>
    </row>
    <row r="437" spans="1:12" x14ac:dyDescent="0.25">
      <c r="A437">
        <v>176</v>
      </c>
      <c r="B437" s="10" t="s">
        <v>964</v>
      </c>
      <c r="C437" s="10" t="s">
        <v>164</v>
      </c>
      <c r="D437" s="10" t="s">
        <v>226</v>
      </c>
      <c r="E437" s="10" t="s">
        <v>227</v>
      </c>
      <c r="F437" s="10" t="s">
        <v>93</v>
      </c>
      <c r="G437" s="10" t="s">
        <v>94</v>
      </c>
      <c r="H437" s="10" t="s">
        <v>65</v>
      </c>
      <c r="I437" s="10" t="s">
        <v>16</v>
      </c>
      <c r="J437" s="10" t="s">
        <v>729</v>
      </c>
      <c r="K437" s="10" t="s">
        <v>730</v>
      </c>
      <c r="L437" s="10" t="s">
        <v>67</v>
      </c>
    </row>
    <row r="438" spans="1:12" x14ac:dyDescent="0.25">
      <c r="A438">
        <v>176</v>
      </c>
      <c r="B438" s="10" t="s">
        <v>964</v>
      </c>
      <c r="C438" s="10" t="s">
        <v>164</v>
      </c>
      <c r="D438" s="10" t="s">
        <v>226</v>
      </c>
      <c r="E438" s="10" t="s">
        <v>227</v>
      </c>
      <c r="F438" s="10" t="s">
        <v>95</v>
      </c>
      <c r="G438" s="10" t="s">
        <v>94</v>
      </c>
      <c r="H438" s="10" t="s">
        <v>65</v>
      </c>
      <c r="I438" s="10" t="s">
        <v>16</v>
      </c>
      <c r="J438" s="10" t="s">
        <v>969</v>
      </c>
      <c r="K438" s="10" t="s">
        <v>970</v>
      </c>
      <c r="L438" s="10" t="s">
        <v>67</v>
      </c>
    </row>
    <row r="439" spans="1:12" x14ac:dyDescent="0.25">
      <c r="A439">
        <v>176</v>
      </c>
      <c r="B439" s="10" t="s">
        <v>964</v>
      </c>
      <c r="C439" s="10" t="s">
        <v>164</v>
      </c>
      <c r="D439" s="10" t="s">
        <v>226</v>
      </c>
      <c r="E439" s="10" t="s">
        <v>227</v>
      </c>
      <c r="F439" s="10" t="s">
        <v>97</v>
      </c>
      <c r="G439" s="10" t="s">
        <v>98</v>
      </c>
      <c r="H439" s="10" t="s">
        <v>65</v>
      </c>
      <c r="I439" s="10" t="s">
        <v>16</v>
      </c>
      <c r="J439" s="10" t="s">
        <v>382</v>
      </c>
      <c r="K439" s="10" t="s">
        <v>360</v>
      </c>
      <c r="L439" s="10" t="s">
        <v>67</v>
      </c>
    </row>
    <row r="440" spans="1:12" x14ac:dyDescent="0.25">
      <c r="A440">
        <v>176</v>
      </c>
      <c r="B440" s="10" t="s">
        <v>964</v>
      </c>
      <c r="C440" s="10" t="s">
        <v>164</v>
      </c>
      <c r="D440" s="10" t="s">
        <v>226</v>
      </c>
      <c r="E440" s="10" t="s">
        <v>227</v>
      </c>
      <c r="F440" s="10" t="s">
        <v>100</v>
      </c>
      <c r="G440" s="10" t="s">
        <v>98</v>
      </c>
      <c r="H440" s="10" t="s">
        <v>72</v>
      </c>
      <c r="I440" s="10" t="s">
        <v>16</v>
      </c>
      <c r="J440" s="10" t="s">
        <v>881</v>
      </c>
      <c r="K440" s="10" t="s">
        <v>478</v>
      </c>
      <c r="L440" s="10" t="s">
        <v>67</v>
      </c>
    </row>
    <row r="441" spans="1:12" x14ac:dyDescent="0.25">
      <c r="A441">
        <v>176</v>
      </c>
      <c r="B441" s="10" t="s">
        <v>964</v>
      </c>
      <c r="C441" s="10" t="s">
        <v>164</v>
      </c>
      <c r="D441" s="10" t="s">
        <v>226</v>
      </c>
      <c r="E441" s="10" t="s">
        <v>227</v>
      </c>
      <c r="F441" s="10" t="s">
        <v>101</v>
      </c>
      <c r="G441" s="10" t="s">
        <v>102</v>
      </c>
      <c r="H441" s="10" t="s">
        <v>65</v>
      </c>
      <c r="I441" s="10" t="s">
        <v>16</v>
      </c>
      <c r="J441" s="10" t="s">
        <v>79</v>
      </c>
      <c r="K441" s="10" t="s">
        <v>465</v>
      </c>
      <c r="L441" s="10" t="s">
        <v>67</v>
      </c>
    </row>
    <row r="442" spans="1:12" x14ac:dyDescent="0.25">
      <c r="A442">
        <v>176</v>
      </c>
      <c r="B442" s="10" t="s">
        <v>964</v>
      </c>
      <c r="C442" s="10" t="s">
        <v>164</v>
      </c>
      <c r="D442" s="10" t="s">
        <v>226</v>
      </c>
      <c r="E442" s="10" t="s">
        <v>227</v>
      </c>
      <c r="F442" s="10" t="s">
        <v>103</v>
      </c>
      <c r="G442" s="10" t="s">
        <v>102</v>
      </c>
      <c r="H442" s="10" t="s">
        <v>65</v>
      </c>
      <c r="I442" s="10" t="s">
        <v>16</v>
      </c>
      <c r="J442" s="10" t="s">
        <v>814</v>
      </c>
      <c r="K442" s="10" t="s">
        <v>815</v>
      </c>
      <c r="L442" s="10" t="s">
        <v>67</v>
      </c>
    </row>
    <row r="443" spans="1:12" x14ac:dyDescent="0.25">
      <c r="A443">
        <v>176</v>
      </c>
      <c r="B443" s="10" t="s">
        <v>964</v>
      </c>
      <c r="C443" s="10" t="s">
        <v>164</v>
      </c>
      <c r="D443" s="10" t="s">
        <v>226</v>
      </c>
      <c r="E443" s="10" t="s">
        <v>227</v>
      </c>
      <c r="F443" s="10" t="s">
        <v>104</v>
      </c>
      <c r="G443" s="10" t="s">
        <v>105</v>
      </c>
      <c r="H443" s="10" t="s">
        <v>65</v>
      </c>
      <c r="I443" s="10" t="s">
        <v>16</v>
      </c>
      <c r="J443" s="10" t="s">
        <v>332</v>
      </c>
      <c r="K443" s="10" t="s">
        <v>333</v>
      </c>
      <c r="L443" s="10" t="s">
        <v>67</v>
      </c>
    </row>
    <row r="444" spans="1:12" x14ac:dyDescent="0.25">
      <c r="A444">
        <v>176</v>
      </c>
      <c r="B444" s="10" t="s">
        <v>964</v>
      </c>
      <c r="C444" s="10" t="s">
        <v>164</v>
      </c>
      <c r="D444" s="10" t="s">
        <v>226</v>
      </c>
      <c r="E444" s="10" t="s">
        <v>227</v>
      </c>
      <c r="F444" s="10" t="s">
        <v>106</v>
      </c>
      <c r="G444" s="10" t="s">
        <v>105</v>
      </c>
      <c r="H444" s="10" t="s">
        <v>65</v>
      </c>
      <c r="I444" s="10" t="s">
        <v>16</v>
      </c>
      <c r="J444" s="10" t="s">
        <v>382</v>
      </c>
      <c r="K444" s="10" t="s">
        <v>360</v>
      </c>
      <c r="L444" s="10" t="s">
        <v>67</v>
      </c>
    </row>
    <row r="445" spans="1:12" x14ac:dyDescent="0.25">
      <c r="A445">
        <v>176</v>
      </c>
      <c r="B445" s="10" t="s">
        <v>964</v>
      </c>
      <c r="C445" s="10" t="s">
        <v>164</v>
      </c>
      <c r="D445" s="10" t="s">
        <v>226</v>
      </c>
      <c r="E445" s="10" t="s">
        <v>227</v>
      </c>
      <c r="F445" s="10" t="s">
        <v>107</v>
      </c>
      <c r="G445" s="10" t="s">
        <v>105</v>
      </c>
      <c r="H445" s="10" t="s">
        <v>65</v>
      </c>
      <c r="I445" s="10" t="s">
        <v>16</v>
      </c>
      <c r="J445" s="10" t="s">
        <v>386</v>
      </c>
      <c r="K445" s="10" t="s">
        <v>360</v>
      </c>
      <c r="L445" s="10" t="s">
        <v>67</v>
      </c>
    </row>
    <row r="446" spans="1:12" x14ac:dyDescent="0.25">
      <c r="A446">
        <v>176</v>
      </c>
      <c r="B446" s="10" t="s">
        <v>964</v>
      </c>
      <c r="C446" s="10" t="s">
        <v>164</v>
      </c>
      <c r="D446" s="10" t="s">
        <v>226</v>
      </c>
      <c r="E446" s="10" t="s">
        <v>227</v>
      </c>
      <c r="F446" s="10" t="s">
        <v>108</v>
      </c>
      <c r="G446" s="10" t="s">
        <v>105</v>
      </c>
      <c r="H446" s="10" t="s">
        <v>65</v>
      </c>
      <c r="I446" s="10" t="s">
        <v>16</v>
      </c>
      <c r="J446" s="10" t="s">
        <v>932</v>
      </c>
      <c r="K446" s="10" t="s">
        <v>910</v>
      </c>
      <c r="L446" s="10" t="s">
        <v>67</v>
      </c>
    </row>
    <row r="447" spans="1:12" x14ac:dyDescent="0.25">
      <c r="A447">
        <v>176</v>
      </c>
      <c r="B447" s="10" t="s">
        <v>964</v>
      </c>
      <c r="C447" s="10" t="s">
        <v>164</v>
      </c>
      <c r="D447" s="10" t="s">
        <v>226</v>
      </c>
      <c r="E447" s="10" t="s">
        <v>227</v>
      </c>
      <c r="F447" s="10" t="s">
        <v>109</v>
      </c>
      <c r="G447" s="10" t="s">
        <v>105</v>
      </c>
      <c r="H447" s="10" t="s">
        <v>65</v>
      </c>
      <c r="I447" s="10" t="s">
        <v>16</v>
      </c>
      <c r="J447" s="10" t="s">
        <v>332</v>
      </c>
      <c r="K447" s="10" t="s">
        <v>333</v>
      </c>
      <c r="L447" s="10" t="s">
        <v>67</v>
      </c>
    </row>
    <row r="448" spans="1:12" x14ac:dyDescent="0.25">
      <c r="A448">
        <v>176</v>
      </c>
      <c r="B448" s="10" t="s">
        <v>964</v>
      </c>
      <c r="C448" s="10" t="s">
        <v>164</v>
      </c>
      <c r="D448" s="10" t="s">
        <v>226</v>
      </c>
      <c r="E448" s="10" t="s">
        <v>227</v>
      </c>
      <c r="F448" s="10" t="s">
        <v>110</v>
      </c>
      <c r="G448" s="10" t="s">
        <v>105</v>
      </c>
      <c r="H448" s="10" t="s">
        <v>65</v>
      </c>
      <c r="I448" s="10" t="s">
        <v>16</v>
      </c>
      <c r="J448" s="10" t="s">
        <v>79</v>
      </c>
      <c r="K448" s="10" t="s">
        <v>360</v>
      </c>
      <c r="L448" s="10" t="s">
        <v>67</v>
      </c>
    </row>
    <row r="449" spans="1:12" x14ac:dyDescent="0.25">
      <c r="A449">
        <v>176</v>
      </c>
      <c r="B449" s="10" t="s">
        <v>964</v>
      </c>
      <c r="C449" s="10" t="s">
        <v>164</v>
      </c>
      <c r="D449" s="10" t="s">
        <v>226</v>
      </c>
      <c r="E449" s="10" t="s">
        <v>227</v>
      </c>
      <c r="F449" s="10" t="s">
        <v>111</v>
      </c>
      <c r="G449" s="10" t="s">
        <v>105</v>
      </c>
      <c r="H449" s="10" t="s">
        <v>65</v>
      </c>
      <c r="I449" s="10" t="s">
        <v>16</v>
      </c>
      <c r="J449" s="10" t="s">
        <v>756</v>
      </c>
      <c r="K449" s="10" t="s">
        <v>757</v>
      </c>
      <c r="L449" s="10" t="s">
        <v>67</v>
      </c>
    </row>
    <row r="450" spans="1:12" x14ac:dyDescent="0.25">
      <c r="A450">
        <v>176</v>
      </c>
      <c r="B450" s="10" t="s">
        <v>964</v>
      </c>
      <c r="C450" s="10" t="s">
        <v>164</v>
      </c>
      <c r="D450" s="10" t="s">
        <v>226</v>
      </c>
      <c r="E450" s="10" t="s">
        <v>227</v>
      </c>
      <c r="F450" s="10" t="s">
        <v>112</v>
      </c>
      <c r="G450" s="10" t="s">
        <v>105</v>
      </c>
      <c r="H450" s="10" t="s">
        <v>65</v>
      </c>
      <c r="I450" s="10" t="s">
        <v>16</v>
      </c>
      <c r="J450" s="10" t="s">
        <v>729</v>
      </c>
      <c r="K450" s="10" t="s">
        <v>730</v>
      </c>
      <c r="L450" s="10" t="s">
        <v>67</v>
      </c>
    </row>
    <row r="451" spans="1:12" x14ac:dyDescent="0.25">
      <c r="A451">
        <v>176</v>
      </c>
      <c r="B451" s="10" t="s">
        <v>964</v>
      </c>
      <c r="C451" s="10" t="s">
        <v>164</v>
      </c>
      <c r="D451" s="10" t="s">
        <v>226</v>
      </c>
      <c r="E451" s="10" t="s">
        <v>227</v>
      </c>
      <c r="F451" s="10" t="s">
        <v>113</v>
      </c>
      <c r="G451" s="10" t="s">
        <v>105</v>
      </c>
      <c r="H451" s="10" t="s">
        <v>65</v>
      </c>
      <c r="I451" s="10" t="s">
        <v>16</v>
      </c>
      <c r="J451" s="10" t="s">
        <v>314</v>
      </c>
      <c r="K451" s="10" t="s">
        <v>315</v>
      </c>
      <c r="L451" s="10" t="s">
        <v>67</v>
      </c>
    </row>
    <row r="452" spans="1:12" x14ac:dyDescent="0.25">
      <c r="A452">
        <v>176</v>
      </c>
      <c r="B452" s="10" t="s">
        <v>964</v>
      </c>
      <c r="C452" s="10" t="s">
        <v>164</v>
      </c>
      <c r="D452" s="10" t="s">
        <v>226</v>
      </c>
      <c r="E452" s="10" t="s">
        <v>227</v>
      </c>
      <c r="F452" s="10" t="s">
        <v>124</v>
      </c>
      <c r="G452" s="10" t="s">
        <v>125</v>
      </c>
      <c r="H452" s="10" t="s">
        <v>72</v>
      </c>
      <c r="I452" s="10" t="s">
        <v>16</v>
      </c>
      <c r="J452" s="10" t="s">
        <v>971</v>
      </c>
      <c r="K452" s="10" t="s">
        <v>972</v>
      </c>
      <c r="L452" s="10" t="s">
        <v>54</v>
      </c>
    </row>
    <row r="453" spans="1:12" x14ac:dyDescent="0.25">
      <c r="A453">
        <v>176</v>
      </c>
      <c r="B453" s="10" t="s">
        <v>964</v>
      </c>
      <c r="C453" s="10" t="s">
        <v>164</v>
      </c>
      <c r="D453" s="10" t="s">
        <v>226</v>
      </c>
      <c r="E453" s="10" t="s">
        <v>227</v>
      </c>
      <c r="F453" s="10" t="s">
        <v>131</v>
      </c>
      <c r="G453" s="10" t="s">
        <v>68</v>
      </c>
      <c r="H453" s="10" t="s">
        <v>72</v>
      </c>
      <c r="I453" s="10" t="s">
        <v>16</v>
      </c>
      <c r="J453" s="10" t="s">
        <v>973</v>
      </c>
      <c r="K453" s="10" t="s">
        <v>974</v>
      </c>
      <c r="L453" s="10" t="s">
        <v>67</v>
      </c>
    </row>
    <row r="454" spans="1:12" x14ac:dyDescent="0.25">
      <c r="A454">
        <v>176</v>
      </c>
      <c r="B454" s="10" t="s">
        <v>964</v>
      </c>
      <c r="C454" s="10" t="s">
        <v>164</v>
      </c>
      <c r="D454" s="10" t="s">
        <v>226</v>
      </c>
      <c r="E454" s="10" t="s">
        <v>227</v>
      </c>
      <c r="F454" s="10" t="s">
        <v>156</v>
      </c>
      <c r="G454" s="10" t="s">
        <v>125</v>
      </c>
      <c r="H454" s="10" t="s">
        <v>65</v>
      </c>
      <c r="I454" s="10" t="s">
        <v>16</v>
      </c>
      <c r="J454" s="10" t="s">
        <v>971</v>
      </c>
      <c r="K454" s="10" t="s">
        <v>972</v>
      </c>
      <c r="L454" s="10" t="s">
        <v>54</v>
      </c>
    </row>
    <row r="455" spans="1:12" x14ac:dyDescent="0.25">
      <c r="A455">
        <v>176</v>
      </c>
      <c r="B455" s="10" t="s">
        <v>964</v>
      </c>
      <c r="C455" s="10" t="s">
        <v>164</v>
      </c>
      <c r="D455" s="10" t="s">
        <v>226</v>
      </c>
      <c r="E455" s="10" t="s">
        <v>227</v>
      </c>
      <c r="F455" s="10" t="s">
        <v>163</v>
      </c>
      <c r="G455" s="10" t="s">
        <v>68</v>
      </c>
      <c r="H455" s="10" t="s">
        <v>65</v>
      </c>
      <c r="I455" s="10" t="s">
        <v>16</v>
      </c>
      <c r="J455" s="10" t="s">
        <v>975</v>
      </c>
      <c r="K455" s="10" t="s">
        <v>976</v>
      </c>
      <c r="L455" s="10" t="s">
        <v>54</v>
      </c>
    </row>
    <row r="456" spans="1:12" x14ac:dyDescent="0.25">
      <c r="A456">
        <v>176</v>
      </c>
      <c r="B456" s="10" t="s">
        <v>964</v>
      </c>
      <c r="C456" s="10" t="s">
        <v>164</v>
      </c>
      <c r="D456" s="10" t="s">
        <v>226</v>
      </c>
      <c r="E456" s="10" t="s">
        <v>227</v>
      </c>
      <c r="F456" s="10" t="s">
        <v>165</v>
      </c>
      <c r="G456" s="10" t="s">
        <v>68</v>
      </c>
      <c r="H456" s="10" t="s">
        <v>72</v>
      </c>
      <c r="I456" s="10" t="s">
        <v>16</v>
      </c>
      <c r="J456" s="10" t="s">
        <v>79</v>
      </c>
      <c r="K456" s="10" t="s">
        <v>507</v>
      </c>
      <c r="L456" s="10" t="s">
        <v>67</v>
      </c>
    </row>
    <row r="457" spans="1:12" x14ac:dyDescent="0.25">
      <c r="A457">
        <v>165</v>
      </c>
      <c r="B457" s="10" t="s">
        <v>548</v>
      </c>
      <c r="C457" s="10" t="s">
        <v>155</v>
      </c>
      <c r="D457" s="10" t="s">
        <v>158</v>
      </c>
      <c r="E457" s="10" t="s">
        <v>159</v>
      </c>
      <c r="F457" s="10" t="s">
        <v>71</v>
      </c>
      <c r="G457" s="10" t="s">
        <v>68</v>
      </c>
      <c r="H457" s="10" t="s">
        <v>72</v>
      </c>
      <c r="I457" s="10" t="s">
        <v>18</v>
      </c>
      <c r="J457" s="10" t="s">
        <v>54</v>
      </c>
      <c r="K457" s="10" t="s">
        <v>54</v>
      </c>
      <c r="L457" s="10" t="s">
        <v>54</v>
      </c>
    </row>
    <row r="458" spans="1:12" x14ac:dyDescent="0.25">
      <c r="A458">
        <v>165</v>
      </c>
      <c r="B458" s="10" t="s">
        <v>548</v>
      </c>
      <c r="C458" s="10" t="s">
        <v>155</v>
      </c>
      <c r="D458" s="10" t="s">
        <v>158</v>
      </c>
      <c r="E458" s="10" t="s">
        <v>159</v>
      </c>
      <c r="F458" s="10" t="s">
        <v>73</v>
      </c>
      <c r="G458" s="10" t="s">
        <v>68</v>
      </c>
      <c r="H458" s="10" t="s">
        <v>65</v>
      </c>
      <c r="I458" s="10" t="s">
        <v>16</v>
      </c>
      <c r="J458" s="10" t="s">
        <v>549</v>
      </c>
      <c r="K458" s="10" t="s">
        <v>550</v>
      </c>
      <c r="L458" s="10" t="s">
        <v>67</v>
      </c>
    </row>
    <row r="459" spans="1:12" x14ac:dyDescent="0.25">
      <c r="A459">
        <v>165</v>
      </c>
      <c r="B459" s="10" t="s">
        <v>548</v>
      </c>
      <c r="C459" s="10" t="s">
        <v>155</v>
      </c>
      <c r="D459" s="10" t="s">
        <v>158</v>
      </c>
      <c r="E459" s="10" t="s">
        <v>159</v>
      </c>
      <c r="F459" s="10" t="s">
        <v>74</v>
      </c>
      <c r="G459" s="10" t="s">
        <v>68</v>
      </c>
      <c r="H459" s="10" t="s">
        <v>65</v>
      </c>
      <c r="I459" s="10" t="s">
        <v>16</v>
      </c>
      <c r="J459" s="10" t="s">
        <v>551</v>
      </c>
      <c r="K459" s="10" t="s">
        <v>552</v>
      </c>
      <c r="L459" s="10" t="s">
        <v>67</v>
      </c>
    </row>
    <row r="460" spans="1:12" x14ac:dyDescent="0.25">
      <c r="A460">
        <v>165</v>
      </c>
      <c r="B460" s="10" t="s">
        <v>548</v>
      </c>
      <c r="C460" s="10" t="s">
        <v>155</v>
      </c>
      <c r="D460" s="10" t="s">
        <v>158</v>
      </c>
      <c r="E460" s="10" t="s">
        <v>159</v>
      </c>
      <c r="F460" s="10" t="s">
        <v>75</v>
      </c>
      <c r="G460" s="10" t="s">
        <v>68</v>
      </c>
      <c r="H460" s="10" t="s">
        <v>72</v>
      </c>
      <c r="I460" s="10" t="s">
        <v>24</v>
      </c>
      <c r="J460" s="10" t="s">
        <v>553</v>
      </c>
      <c r="K460" s="10" t="s">
        <v>554</v>
      </c>
      <c r="L460" s="10" t="s">
        <v>67</v>
      </c>
    </row>
    <row r="461" spans="1:12" x14ac:dyDescent="0.25">
      <c r="A461">
        <v>165</v>
      </c>
      <c r="B461" s="10" t="s">
        <v>548</v>
      </c>
      <c r="C461" s="10" t="s">
        <v>155</v>
      </c>
      <c r="D461" s="10" t="s">
        <v>158</v>
      </c>
      <c r="E461" s="10" t="s">
        <v>159</v>
      </c>
      <c r="F461" s="10" t="s">
        <v>76</v>
      </c>
      <c r="G461" s="10" t="s">
        <v>77</v>
      </c>
      <c r="H461" s="10" t="s">
        <v>65</v>
      </c>
      <c r="I461" s="10" t="s">
        <v>16</v>
      </c>
      <c r="J461" s="10" t="s">
        <v>555</v>
      </c>
      <c r="K461" s="10" t="s">
        <v>313</v>
      </c>
      <c r="L461" s="10" t="s">
        <v>67</v>
      </c>
    </row>
    <row r="462" spans="1:12" x14ac:dyDescent="0.25">
      <c r="A462">
        <v>165</v>
      </c>
      <c r="B462" s="10" t="s">
        <v>548</v>
      </c>
      <c r="C462" s="10" t="s">
        <v>155</v>
      </c>
      <c r="D462" s="10" t="s">
        <v>158</v>
      </c>
      <c r="E462" s="10" t="s">
        <v>159</v>
      </c>
      <c r="F462" s="10" t="s">
        <v>80</v>
      </c>
      <c r="G462" s="10" t="s">
        <v>77</v>
      </c>
      <c r="H462" s="10" t="s">
        <v>65</v>
      </c>
      <c r="I462" s="10" t="s">
        <v>16</v>
      </c>
      <c r="J462" s="10" t="s">
        <v>79</v>
      </c>
      <c r="K462" s="10" t="s">
        <v>331</v>
      </c>
      <c r="L462" s="10" t="s">
        <v>67</v>
      </c>
    </row>
    <row r="463" spans="1:12" x14ac:dyDescent="0.25">
      <c r="A463">
        <v>165</v>
      </c>
      <c r="B463" s="10" t="s">
        <v>548</v>
      </c>
      <c r="C463" s="10" t="s">
        <v>155</v>
      </c>
      <c r="D463" s="10" t="s">
        <v>158</v>
      </c>
      <c r="E463" s="10" t="s">
        <v>159</v>
      </c>
      <c r="F463" s="10" t="s">
        <v>84</v>
      </c>
      <c r="G463" s="10" t="s">
        <v>83</v>
      </c>
      <c r="H463" s="10" t="s">
        <v>65</v>
      </c>
      <c r="I463" s="10" t="s">
        <v>16</v>
      </c>
      <c r="J463" s="10" t="s">
        <v>423</v>
      </c>
      <c r="K463" s="10" t="s">
        <v>424</v>
      </c>
      <c r="L463" s="10" t="s">
        <v>67</v>
      </c>
    </row>
    <row r="464" spans="1:12" x14ac:dyDescent="0.25">
      <c r="A464">
        <v>165</v>
      </c>
      <c r="B464" s="10" t="s">
        <v>548</v>
      </c>
      <c r="C464" s="10" t="s">
        <v>155</v>
      </c>
      <c r="D464" s="10" t="s">
        <v>158</v>
      </c>
      <c r="E464" s="10" t="s">
        <v>159</v>
      </c>
      <c r="F464" s="10" t="s">
        <v>93</v>
      </c>
      <c r="G464" s="10" t="s">
        <v>94</v>
      </c>
      <c r="H464" s="10" t="s">
        <v>65</v>
      </c>
      <c r="I464" s="10" t="s">
        <v>16</v>
      </c>
      <c r="J464" s="10" t="s">
        <v>528</v>
      </c>
      <c r="K464" s="10" t="s">
        <v>540</v>
      </c>
      <c r="L464" s="10" t="s">
        <v>67</v>
      </c>
    </row>
    <row r="465" spans="1:12" x14ac:dyDescent="0.25">
      <c r="A465">
        <v>165</v>
      </c>
      <c r="B465" s="10" t="s">
        <v>548</v>
      </c>
      <c r="C465" s="10" t="s">
        <v>155</v>
      </c>
      <c r="D465" s="10" t="s">
        <v>158</v>
      </c>
      <c r="E465" s="10" t="s">
        <v>159</v>
      </c>
      <c r="F465" s="10" t="s">
        <v>95</v>
      </c>
      <c r="G465" s="10" t="s">
        <v>94</v>
      </c>
      <c r="H465" s="10" t="s">
        <v>65</v>
      </c>
      <c r="I465" s="10" t="s">
        <v>16</v>
      </c>
      <c r="J465" s="10" t="s">
        <v>528</v>
      </c>
      <c r="K465" s="10" t="s">
        <v>540</v>
      </c>
      <c r="L465" s="10" t="s">
        <v>67</v>
      </c>
    </row>
    <row r="466" spans="1:12" x14ac:dyDescent="0.25">
      <c r="A466">
        <v>165</v>
      </c>
      <c r="B466" s="10" t="s">
        <v>548</v>
      </c>
      <c r="C466" s="10" t="s">
        <v>155</v>
      </c>
      <c r="D466" s="10" t="s">
        <v>158</v>
      </c>
      <c r="E466" s="10" t="s">
        <v>159</v>
      </c>
      <c r="F466" s="10" t="s">
        <v>97</v>
      </c>
      <c r="G466" s="10" t="s">
        <v>98</v>
      </c>
      <c r="H466" s="10" t="s">
        <v>65</v>
      </c>
      <c r="I466" s="10" t="s">
        <v>16</v>
      </c>
      <c r="J466" s="10" t="s">
        <v>556</v>
      </c>
      <c r="K466" s="10" t="s">
        <v>557</v>
      </c>
      <c r="L466" s="10" t="s">
        <v>67</v>
      </c>
    </row>
    <row r="467" spans="1:12" x14ac:dyDescent="0.25">
      <c r="A467">
        <v>165</v>
      </c>
      <c r="B467" s="10" t="s">
        <v>548</v>
      </c>
      <c r="C467" s="10" t="s">
        <v>155</v>
      </c>
      <c r="D467" s="10" t="s">
        <v>158</v>
      </c>
      <c r="E467" s="10" t="s">
        <v>159</v>
      </c>
      <c r="F467" s="10" t="s">
        <v>100</v>
      </c>
      <c r="G467" s="10" t="s">
        <v>98</v>
      </c>
      <c r="H467" s="10" t="s">
        <v>65</v>
      </c>
      <c r="I467" s="10" t="s">
        <v>18</v>
      </c>
      <c r="J467" s="10" t="s">
        <v>54</v>
      </c>
      <c r="K467" s="10" t="s">
        <v>54</v>
      </c>
      <c r="L467" s="10" t="s">
        <v>54</v>
      </c>
    </row>
    <row r="468" spans="1:12" x14ac:dyDescent="0.25">
      <c r="A468">
        <v>165</v>
      </c>
      <c r="B468" s="10" t="s">
        <v>548</v>
      </c>
      <c r="C468" s="10" t="s">
        <v>155</v>
      </c>
      <c r="D468" s="10" t="s">
        <v>158</v>
      </c>
      <c r="E468" s="10" t="s">
        <v>159</v>
      </c>
      <c r="F468" s="10" t="s">
        <v>101</v>
      </c>
      <c r="G468" s="10" t="s">
        <v>102</v>
      </c>
      <c r="H468" s="10" t="s">
        <v>65</v>
      </c>
      <c r="I468" s="10" t="s">
        <v>16</v>
      </c>
      <c r="J468" s="10" t="s">
        <v>79</v>
      </c>
      <c r="K468" s="10" t="s">
        <v>473</v>
      </c>
      <c r="L468" s="10" t="s">
        <v>67</v>
      </c>
    </row>
    <row r="469" spans="1:12" x14ac:dyDescent="0.25">
      <c r="A469">
        <v>165</v>
      </c>
      <c r="B469" s="10" t="s">
        <v>548</v>
      </c>
      <c r="C469" s="10" t="s">
        <v>155</v>
      </c>
      <c r="D469" s="10" t="s">
        <v>158</v>
      </c>
      <c r="E469" s="10" t="s">
        <v>159</v>
      </c>
      <c r="F469" s="10" t="s">
        <v>103</v>
      </c>
      <c r="G469" s="10" t="s">
        <v>102</v>
      </c>
      <c r="H469" s="10" t="s">
        <v>65</v>
      </c>
      <c r="I469" s="10" t="s">
        <v>16</v>
      </c>
      <c r="J469" s="10" t="s">
        <v>495</v>
      </c>
      <c r="K469" s="10" t="s">
        <v>496</v>
      </c>
      <c r="L469" s="10" t="s">
        <v>67</v>
      </c>
    </row>
    <row r="470" spans="1:12" x14ac:dyDescent="0.25">
      <c r="A470">
        <v>165</v>
      </c>
      <c r="B470" s="10" t="s">
        <v>548</v>
      </c>
      <c r="C470" s="10" t="s">
        <v>155</v>
      </c>
      <c r="D470" s="10" t="s">
        <v>158</v>
      </c>
      <c r="E470" s="10" t="s">
        <v>159</v>
      </c>
      <c r="F470" s="10" t="s">
        <v>104</v>
      </c>
      <c r="G470" s="10" t="s">
        <v>105</v>
      </c>
      <c r="H470" s="10" t="s">
        <v>65</v>
      </c>
      <c r="I470" s="10" t="s">
        <v>16</v>
      </c>
      <c r="J470" s="10" t="s">
        <v>558</v>
      </c>
      <c r="K470" s="10" t="s">
        <v>559</v>
      </c>
      <c r="L470" s="10" t="s">
        <v>67</v>
      </c>
    </row>
    <row r="471" spans="1:12" x14ac:dyDescent="0.25">
      <c r="A471">
        <v>165</v>
      </c>
      <c r="B471" s="10" t="s">
        <v>548</v>
      </c>
      <c r="C471" s="10" t="s">
        <v>155</v>
      </c>
      <c r="D471" s="10" t="s">
        <v>158</v>
      </c>
      <c r="E471" s="10" t="s">
        <v>159</v>
      </c>
      <c r="F471" s="10" t="s">
        <v>106</v>
      </c>
      <c r="G471" s="10" t="s">
        <v>105</v>
      </c>
      <c r="H471" s="10" t="s">
        <v>65</v>
      </c>
      <c r="I471" s="10" t="s">
        <v>16</v>
      </c>
      <c r="J471" s="10" t="s">
        <v>560</v>
      </c>
      <c r="K471" s="10" t="s">
        <v>561</v>
      </c>
      <c r="L471" s="10" t="s">
        <v>67</v>
      </c>
    </row>
    <row r="472" spans="1:12" x14ac:dyDescent="0.25">
      <c r="A472">
        <v>165</v>
      </c>
      <c r="B472" s="10" t="s">
        <v>548</v>
      </c>
      <c r="C472" s="10" t="s">
        <v>155</v>
      </c>
      <c r="D472" s="10" t="s">
        <v>158</v>
      </c>
      <c r="E472" s="10" t="s">
        <v>159</v>
      </c>
      <c r="F472" s="10" t="s">
        <v>107</v>
      </c>
      <c r="G472" s="10" t="s">
        <v>105</v>
      </c>
      <c r="H472" s="10" t="s">
        <v>65</v>
      </c>
      <c r="I472" s="10" t="s">
        <v>16</v>
      </c>
      <c r="J472" s="10" t="s">
        <v>562</v>
      </c>
      <c r="K472" s="10" t="s">
        <v>557</v>
      </c>
      <c r="L472" s="10" t="s">
        <v>67</v>
      </c>
    </row>
    <row r="473" spans="1:12" x14ac:dyDescent="0.25">
      <c r="A473">
        <v>165</v>
      </c>
      <c r="B473" s="10" t="s">
        <v>548</v>
      </c>
      <c r="C473" s="10" t="s">
        <v>155</v>
      </c>
      <c r="D473" s="10" t="s">
        <v>158</v>
      </c>
      <c r="E473" s="10" t="s">
        <v>159</v>
      </c>
      <c r="F473" s="10" t="s">
        <v>108</v>
      </c>
      <c r="G473" s="10" t="s">
        <v>105</v>
      </c>
      <c r="H473" s="10" t="s">
        <v>65</v>
      </c>
      <c r="I473" s="10" t="s">
        <v>16</v>
      </c>
      <c r="J473" s="10" t="s">
        <v>563</v>
      </c>
      <c r="K473" s="10" t="s">
        <v>564</v>
      </c>
      <c r="L473" s="10" t="s">
        <v>67</v>
      </c>
    </row>
    <row r="474" spans="1:12" x14ac:dyDescent="0.25">
      <c r="A474">
        <v>165</v>
      </c>
      <c r="B474" s="10" t="s">
        <v>548</v>
      </c>
      <c r="C474" s="10" t="s">
        <v>155</v>
      </c>
      <c r="D474" s="10" t="s">
        <v>158</v>
      </c>
      <c r="E474" s="10" t="s">
        <v>159</v>
      </c>
      <c r="F474" s="10" t="s">
        <v>109</v>
      </c>
      <c r="G474" s="10" t="s">
        <v>105</v>
      </c>
      <c r="H474" s="10" t="s">
        <v>65</v>
      </c>
      <c r="I474" s="10" t="s">
        <v>16</v>
      </c>
      <c r="J474" s="10" t="s">
        <v>558</v>
      </c>
      <c r="K474" s="10" t="s">
        <v>559</v>
      </c>
      <c r="L474" s="10" t="s">
        <v>67</v>
      </c>
    </row>
    <row r="475" spans="1:12" x14ac:dyDescent="0.25">
      <c r="A475">
        <v>165</v>
      </c>
      <c r="B475" s="10" t="s">
        <v>548</v>
      </c>
      <c r="C475" s="10" t="s">
        <v>155</v>
      </c>
      <c r="D475" s="10" t="s">
        <v>158</v>
      </c>
      <c r="E475" s="10" t="s">
        <v>159</v>
      </c>
      <c r="F475" s="10" t="s">
        <v>110</v>
      </c>
      <c r="G475" s="10" t="s">
        <v>105</v>
      </c>
      <c r="H475" s="10" t="s">
        <v>65</v>
      </c>
      <c r="I475" s="10" t="s">
        <v>16</v>
      </c>
      <c r="J475" s="10" t="s">
        <v>79</v>
      </c>
      <c r="K475" s="10" t="s">
        <v>557</v>
      </c>
      <c r="L475" s="10" t="s">
        <v>67</v>
      </c>
    </row>
    <row r="476" spans="1:12" x14ac:dyDescent="0.25">
      <c r="A476">
        <v>165</v>
      </c>
      <c r="B476" s="10" t="s">
        <v>548</v>
      </c>
      <c r="C476" s="10" t="s">
        <v>155</v>
      </c>
      <c r="D476" s="10" t="s">
        <v>158</v>
      </c>
      <c r="E476" s="10" t="s">
        <v>159</v>
      </c>
      <c r="F476" s="10" t="s">
        <v>111</v>
      </c>
      <c r="G476" s="10" t="s">
        <v>105</v>
      </c>
      <c r="H476" s="10" t="s">
        <v>65</v>
      </c>
      <c r="I476" s="10" t="s">
        <v>16</v>
      </c>
      <c r="J476" s="10" t="s">
        <v>565</v>
      </c>
      <c r="K476" s="10" t="s">
        <v>566</v>
      </c>
      <c r="L476" s="10" t="s">
        <v>67</v>
      </c>
    </row>
    <row r="477" spans="1:12" x14ac:dyDescent="0.25">
      <c r="A477">
        <v>165</v>
      </c>
      <c r="B477" s="10" t="s">
        <v>548</v>
      </c>
      <c r="C477" s="10" t="s">
        <v>155</v>
      </c>
      <c r="D477" s="10" t="s">
        <v>158</v>
      </c>
      <c r="E477" s="10" t="s">
        <v>159</v>
      </c>
      <c r="F477" s="10" t="s">
        <v>112</v>
      </c>
      <c r="G477" s="10" t="s">
        <v>105</v>
      </c>
      <c r="H477" s="10" t="s">
        <v>65</v>
      </c>
      <c r="I477" s="10" t="s">
        <v>16</v>
      </c>
      <c r="J477" s="10" t="s">
        <v>565</v>
      </c>
      <c r="K477" s="10" t="s">
        <v>566</v>
      </c>
      <c r="L477" s="10" t="s">
        <v>67</v>
      </c>
    </row>
    <row r="478" spans="1:12" x14ac:dyDescent="0.25">
      <c r="A478">
        <v>165</v>
      </c>
      <c r="B478" s="10" t="s">
        <v>548</v>
      </c>
      <c r="C478" s="10" t="s">
        <v>155</v>
      </c>
      <c r="D478" s="10" t="s">
        <v>158</v>
      </c>
      <c r="E478" s="10" t="s">
        <v>159</v>
      </c>
      <c r="F478" s="10" t="s">
        <v>113</v>
      </c>
      <c r="G478" s="10" t="s">
        <v>105</v>
      </c>
      <c r="H478" s="10" t="s">
        <v>65</v>
      </c>
      <c r="I478" s="10" t="s">
        <v>16</v>
      </c>
      <c r="J478" s="10" t="s">
        <v>567</v>
      </c>
      <c r="K478" s="10" t="s">
        <v>568</v>
      </c>
      <c r="L478" s="10" t="s">
        <v>67</v>
      </c>
    </row>
    <row r="479" spans="1:12" x14ac:dyDescent="0.25">
      <c r="A479">
        <v>165</v>
      </c>
      <c r="B479" s="10" t="s">
        <v>548</v>
      </c>
      <c r="C479" s="10" t="s">
        <v>155</v>
      </c>
      <c r="D479" s="10" t="s">
        <v>158</v>
      </c>
      <c r="E479" s="10" t="s">
        <v>159</v>
      </c>
      <c r="F479" s="10" t="s">
        <v>124</v>
      </c>
      <c r="G479" s="10" t="s">
        <v>125</v>
      </c>
      <c r="H479" s="10" t="s">
        <v>72</v>
      </c>
      <c r="I479" s="10" t="s">
        <v>18</v>
      </c>
      <c r="J479" s="10" t="s">
        <v>54</v>
      </c>
      <c r="K479" s="10" t="s">
        <v>54</v>
      </c>
      <c r="L479" s="10" t="s">
        <v>54</v>
      </c>
    </row>
    <row r="480" spans="1:12" x14ac:dyDescent="0.25">
      <c r="A480">
        <v>165</v>
      </c>
      <c r="B480" s="10" t="s">
        <v>548</v>
      </c>
      <c r="C480" s="10" t="s">
        <v>155</v>
      </c>
      <c r="D480" s="10" t="s">
        <v>158</v>
      </c>
      <c r="E480" s="10" t="s">
        <v>159</v>
      </c>
      <c r="F480" s="10" t="s">
        <v>131</v>
      </c>
      <c r="G480" s="10" t="s">
        <v>68</v>
      </c>
      <c r="H480" s="10" t="s">
        <v>65</v>
      </c>
      <c r="I480" s="10" t="s">
        <v>24</v>
      </c>
      <c r="J480" s="10" t="s">
        <v>569</v>
      </c>
      <c r="K480" s="10" t="s">
        <v>570</v>
      </c>
      <c r="L480" s="10" t="s">
        <v>67</v>
      </c>
    </row>
    <row r="481" spans="1:12" x14ac:dyDescent="0.25">
      <c r="A481">
        <v>165</v>
      </c>
      <c r="B481" s="10" t="s">
        <v>548</v>
      </c>
      <c r="C481" s="10" t="s">
        <v>155</v>
      </c>
      <c r="D481" s="10" t="s">
        <v>158</v>
      </c>
      <c r="E481" s="10" t="s">
        <v>159</v>
      </c>
      <c r="F481" s="10" t="s">
        <v>154</v>
      </c>
      <c r="G481" s="10" t="s">
        <v>68</v>
      </c>
      <c r="H481" s="10" t="s">
        <v>65</v>
      </c>
      <c r="I481" s="10" t="s">
        <v>16</v>
      </c>
      <c r="J481" s="10" t="s">
        <v>571</v>
      </c>
      <c r="K481" s="10" t="s">
        <v>572</v>
      </c>
      <c r="L481" s="10" t="s">
        <v>67</v>
      </c>
    </row>
    <row r="482" spans="1:12" x14ac:dyDescent="0.25">
      <c r="A482">
        <v>165</v>
      </c>
      <c r="B482" s="10" t="s">
        <v>548</v>
      </c>
      <c r="C482" s="10" t="s">
        <v>155</v>
      </c>
      <c r="D482" s="10" t="s">
        <v>158</v>
      </c>
      <c r="E482" s="10" t="s">
        <v>159</v>
      </c>
      <c r="F482" s="10" t="s">
        <v>156</v>
      </c>
      <c r="G482" s="10" t="s">
        <v>125</v>
      </c>
      <c r="H482" s="10" t="s">
        <v>65</v>
      </c>
      <c r="I482" s="10" t="s">
        <v>16</v>
      </c>
      <c r="J482" s="10" t="s">
        <v>573</v>
      </c>
      <c r="K482" s="10" t="s">
        <v>574</v>
      </c>
      <c r="L482" s="10" t="s">
        <v>54</v>
      </c>
    </row>
    <row r="483" spans="1:12" x14ac:dyDescent="0.25">
      <c r="A483">
        <v>158</v>
      </c>
      <c r="B483" s="10" t="s">
        <v>823</v>
      </c>
      <c r="C483" s="10" t="s">
        <v>137</v>
      </c>
      <c r="D483" s="10" t="s">
        <v>199</v>
      </c>
      <c r="E483" s="10" t="s">
        <v>200</v>
      </c>
      <c r="F483" s="10" t="s">
        <v>69</v>
      </c>
      <c r="G483" s="10" t="s">
        <v>68</v>
      </c>
      <c r="H483" s="10" t="s">
        <v>65</v>
      </c>
      <c r="I483" s="10" t="s">
        <v>16</v>
      </c>
      <c r="J483" s="10" t="s">
        <v>824</v>
      </c>
      <c r="K483" s="10" t="s">
        <v>825</v>
      </c>
      <c r="L483" s="10" t="s">
        <v>67</v>
      </c>
    </row>
    <row r="484" spans="1:12" x14ac:dyDescent="0.25">
      <c r="A484">
        <v>158</v>
      </c>
      <c r="B484" s="10" t="s">
        <v>823</v>
      </c>
      <c r="C484" s="10" t="s">
        <v>137</v>
      </c>
      <c r="D484" s="10" t="s">
        <v>199</v>
      </c>
      <c r="E484" s="10" t="s">
        <v>200</v>
      </c>
      <c r="F484" s="10" t="s">
        <v>71</v>
      </c>
      <c r="G484" s="10" t="s">
        <v>68</v>
      </c>
      <c r="H484" s="10" t="s">
        <v>72</v>
      </c>
      <c r="I484" s="10" t="s">
        <v>18</v>
      </c>
      <c r="J484" s="10" t="s">
        <v>54</v>
      </c>
      <c r="K484" s="10" t="s">
        <v>54</v>
      </c>
      <c r="L484" s="10" t="s">
        <v>54</v>
      </c>
    </row>
    <row r="485" spans="1:12" x14ac:dyDescent="0.25">
      <c r="A485">
        <v>158</v>
      </c>
      <c r="B485" s="10" t="s">
        <v>823</v>
      </c>
      <c r="C485" s="10" t="s">
        <v>137</v>
      </c>
      <c r="D485" s="10" t="s">
        <v>199</v>
      </c>
      <c r="E485" s="10" t="s">
        <v>200</v>
      </c>
      <c r="F485" s="10" t="s">
        <v>73</v>
      </c>
      <c r="G485" s="10" t="s">
        <v>68</v>
      </c>
      <c r="H485" s="10" t="s">
        <v>65</v>
      </c>
      <c r="I485" s="10" t="s">
        <v>16</v>
      </c>
      <c r="J485" s="10" t="s">
        <v>826</v>
      </c>
      <c r="K485" s="10" t="s">
        <v>827</v>
      </c>
      <c r="L485" s="10" t="s">
        <v>67</v>
      </c>
    </row>
    <row r="486" spans="1:12" x14ac:dyDescent="0.25">
      <c r="A486">
        <v>158</v>
      </c>
      <c r="B486" s="10" t="s">
        <v>823</v>
      </c>
      <c r="C486" s="10" t="s">
        <v>137</v>
      </c>
      <c r="D486" s="10" t="s">
        <v>199</v>
      </c>
      <c r="E486" s="10" t="s">
        <v>200</v>
      </c>
      <c r="F486" s="10" t="s">
        <v>74</v>
      </c>
      <c r="G486" s="10" t="s">
        <v>68</v>
      </c>
      <c r="H486" s="10" t="s">
        <v>65</v>
      </c>
      <c r="I486" s="10" t="s">
        <v>16</v>
      </c>
      <c r="J486" s="10" t="s">
        <v>828</v>
      </c>
      <c r="K486" s="10" t="s">
        <v>829</v>
      </c>
      <c r="L486" s="10" t="s">
        <v>67</v>
      </c>
    </row>
    <row r="487" spans="1:12" x14ac:dyDescent="0.25">
      <c r="A487">
        <v>158</v>
      </c>
      <c r="B487" s="10" t="s">
        <v>823</v>
      </c>
      <c r="C487" s="10" t="s">
        <v>137</v>
      </c>
      <c r="D487" s="10" t="s">
        <v>199</v>
      </c>
      <c r="E487" s="10" t="s">
        <v>200</v>
      </c>
      <c r="F487" s="10" t="s">
        <v>75</v>
      </c>
      <c r="G487" s="10" t="s">
        <v>68</v>
      </c>
      <c r="H487" s="10" t="s">
        <v>72</v>
      </c>
      <c r="I487" s="10" t="s">
        <v>18</v>
      </c>
      <c r="J487" s="10" t="s">
        <v>54</v>
      </c>
      <c r="K487" s="10" t="s">
        <v>54</v>
      </c>
      <c r="L487" s="10" t="s">
        <v>54</v>
      </c>
    </row>
    <row r="488" spans="1:12" x14ac:dyDescent="0.25">
      <c r="A488">
        <v>158</v>
      </c>
      <c r="B488" s="10" t="s">
        <v>823</v>
      </c>
      <c r="C488" s="10" t="s">
        <v>137</v>
      </c>
      <c r="D488" s="10" t="s">
        <v>199</v>
      </c>
      <c r="E488" s="10" t="s">
        <v>200</v>
      </c>
      <c r="F488" s="10" t="s">
        <v>76</v>
      </c>
      <c r="G488" s="10" t="s">
        <v>77</v>
      </c>
      <c r="H488" s="10" t="s">
        <v>65</v>
      </c>
      <c r="I488" s="10" t="s">
        <v>16</v>
      </c>
      <c r="J488" s="10" t="s">
        <v>530</v>
      </c>
      <c r="K488" s="10" t="s">
        <v>531</v>
      </c>
      <c r="L488" s="10" t="s">
        <v>67</v>
      </c>
    </row>
    <row r="489" spans="1:12" x14ac:dyDescent="0.25">
      <c r="A489">
        <v>158</v>
      </c>
      <c r="B489" s="10" t="s">
        <v>823</v>
      </c>
      <c r="C489" s="10" t="s">
        <v>137</v>
      </c>
      <c r="D489" s="10" t="s">
        <v>199</v>
      </c>
      <c r="E489" s="10" t="s">
        <v>200</v>
      </c>
      <c r="F489" s="10" t="s">
        <v>78</v>
      </c>
      <c r="G489" s="10" t="s">
        <v>77</v>
      </c>
      <c r="H489" s="10" t="s">
        <v>65</v>
      </c>
      <c r="I489" s="10" t="s">
        <v>16</v>
      </c>
      <c r="J489" s="10" t="s">
        <v>79</v>
      </c>
      <c r="K489" s="10" t="s">
        <v>830</v>
      </c>
      <c r="L489" s="10" t="s">
        <v>67</v>
      </c>
    </row>
    <row r="490" spans="1:12" x14ac:dyDescent="0.25">
      <c r="A490">
        <v>158</v>
      </c>
      <c r="B490" s="10" t="s">
        <v>823</v>
      </c>
      <c r="C490" s="10" t="s">
        <v>137</v>
      </c>
      <c r="D490" s="10" t="s">
        <v>199</v>
      </c>
      <c r="E490" s="10" t="s">
        <v>200</v>
      </c>
      <c r="F490" s="10" t="s">
        <v>80</v>
      </c>
      <c r="G490" s="10" t="s">
        <v>77</v>
      </c>
      <c r="H490" s="10" t="s">
        <v>65</v>
      </c>
      <c r="I490" s="10" t="s">
        <v>16</v>
      </c>
      <c r="J490" s="10" t="s">
        <v>79</v>
      </c>
      <c r="K490" s="10" t="s">
        <v>831</v>
      </c>
      <c r="L490" s="10" t="s">
        <v>67</v>
      </c>
    </row>
    <row r="491" spans="1:12" x14ac:dyDescent="0.25">
      <c r="A491">
        <v>158</v>
      </c>
      <c r="B491" s="10" t="s">
        <v>823</v>
      </c>
      <c r="C491" s="10" t="s">
        <v>137</v>
      </c>
      <c r="D491" s="10" t="s">
        <v>199</v>
      </c>
      <c r="E491" s="10" t="s">
        <v>200</v>
      </c>
      <c r="F491" s="10" t="s">
        <v>81</v>
      </c>
      <c r="G491" s="10" t="s">
        <v>77</v>
      </c>
      <c r="H491" s="10" t="s">
        <v>65</v>
      </c>
      <c r="I491" s="10" t="s">
        <v>16</v>
      </c>
      <c r="J491" s="10" t="s">
        <v>314</v>
      </c>
      <c r="K491" s="10" t="s">
        <v>315</v>
      </c>
      <c r="L491" s="10" t="s">
        <v>67</v>
      </c>
    </row>
    <row r="492" spans="1:12" x14ac:dyDescent="0.25">
      <c r="A492">
        <v>158</v>
      </c>
      <c r="B492" s="10" t="s">
        <v>823</v>
      </c>
      <c r="C492" s="10" t="s">
        <v>137</v>
      </c>
      <c r="D492" s="10" t="s">
        <v>199</v>
      </c>
      <c r="E492" s="10" t="s">
        <v>200</v>
      </c>
      <c r="F492" s="10" t="s">
        <v>82</v>
      </c>
      <c r="G492" s="10" t="s">
        <v>83</v>
      </c>
      <c r="H492" s="10" t="s">
        <v>65</v>
      </c>
      <c r="I492" s="10" t="s">
        <v>16</v>
      </c>
      <c r="J492" s="10" t="s">
        <v>334</v>
      </c>
      <c r="K492" s="10" t="s">
        <v>335</v>
      </c>
      <c r="L492" s="10" t="s">
        <v>67</v>
      </c>
    </row>
    <row r="493" spans="1:12" x14ac:dyDescent="0.25">
      <c r="A493">
        <v>158</v>
      </c>
      <c r="B493" s="10" t="s">
        <v>823</v>
      </c>
      <c r="C493" s="10" t="s">
        <v>137</v>
      </c>
      <c r="D493" s="10" t="s">
        <v>199</v>
      </c>
      <c r="E493" s="10" t="s">
        <v>200</v>
      </c>
      <c r="F493" s="10" t="s">
        <v>84</v>
      </c>
      <c r="G493" s="10" t="s">
        <v>83</v>
      </c>
      <c r="H493" s="10" t="s">
        <v>65</v>
      </c>
      <c r="I493" s="10" t="s">
        <v>16</v>
      </c>
      <c r="J493" s="10" t="s">
        <v>832</v>
      </c>
      <c r="K493" s="10" t="s">
        <v>833</v>
      </c>
      <c r="L493" s="10" t="s">
        <v>67</v>
      </c>
    </row>
    <row r="494" spans="1:12" x14ac:dyDescent="0.25">
      <c r="A494">
        <v>158</v>
      </c>
      <c r="B494" s="10" t="s">
        <v>823</v>
      </c>
      <c r="C494" s="10" t="s">
        <v>137</v>
      </c>
      <c r="D494" s="10" t="s">
        <v>199</v>
      </c>
      <c r="E494" s="10" t="s">
        <v>200</v>
      </c>
      <c r="F494" s="10" t="s">
        <v>93</v>
      </c>
      <c r="G494" s="10" t="s">
        <v>94</v>
      </c>
      <c r="H494" s="10" t="s">
        <v>65</v>
      </c>
      <c r="I494" s="10" t="s">
        <v>16</v>
      </c>
      <c r="J494" s="10" t="s">
        <v>834</v>
      </c>
      <c r="K494" s="10" t="s">
        <v>835</v>
      </c>
      <c r="L494" s="10" t="s">
        <v>67</v>
      </c>
    </row>
    <row r="495" spans="1:12" x14ac:dyDescent="0.25">
      <c r="A495">
        <v>158</v>
      </c>
      <c r="B495" s="10" t="s">
        <v>823</v>
      </c>
      <c r="C495" s="10" t="s">
        <v>137</v>
      </c>
      <c r="D495" s="10" t="s">
        <v>199</v>
      </c>
      <c r="E495" s="10" t="s">
        <v>200</v>
      </c>
      <c r="F495" s="10" t="s">
        <v>95</v>
      </c>
      <c r="G495" s="10" t="s">
        <v>94</v>
      </c>
      <c r="H495" s="10" t="s">
        <v>65</v>
      </c>
      <c r="I495" s="10" t="s">
        <v>16</v>
      </c>
      <c r="J495" s="10" t="s">
        <v>836</v>
      </c>
      <c r="K495" s="10" t="s">
        <v>760</v>
      </c>
      <c r="L495" s="10" t="s">
        <v>67</v>
      </c>
    </row>
    <row r="496" spans="1:12" x14ac:dyDescent="0.25">
      <c r="A496">
        <v>158</v>
      </c>
      <c r="B496" s="10" t="s">
        <v>823</v>
      </c>
      <c r="C496" s="10" t="s">
        <v>137</v>
      </c>
      <c r="D496" s="10" t="s">
        <v>199</v>
      </c>
      <c r="E496" s="10" t="s">
        <v>200</v>
      </c>
      <c r="F496" s="10" t="s">
        <v>96</v>
      </c>
      <c r="G496" s="10" t="s">
        <v>94</v>
      </c>
      <c r="H496" s="10" t="s">
        <v>65</v>
      </c>
      <c r="I496" s="10" t="s">
        <v>16</v>
      </c>
      <c r="J496" s="10" t="s">
        <v>79</v>
      </c>
      <c r="K496" s="10" t="s">
        <v>444</v>
      </c>
      <c r="L496" s="10" t="s">
        <v>67</v>
      </c>
    </row>
    <row r="497" spans="1:12" x14ac:dyDescent="0.25">
      <c r="A497">
        <v>158</v>
      </c>
      <c r="B497" s="10" t="s">
        <v>823</v>
      </c>
      <c r="C497" s="10" t="s">
        <v>137</v>
      </c>
      <c r="D497" s="10" t="s">
        <v>199</v>
      </c>
      <c r="E497" s="10" t="s">
        <v>200</v>
      </c>
      <c r="F497" s="10" t="s">
        <v>97</v>
      </c>
      <c r="G497" s="10" t="s">
        <v>98</v>
      </c>
      <c r="H497" s="10" t="s">
        <v>65</v>
      </c>
      <c r="I497" s="10" t="s">
        <v>16</v>
      </c>
      <c r="J497" s="10" t="s">
        <v>837</v>
      </c>
      <c r="K497" s="10" t="s">
        <v>838</v>
      </c>
      <c r="L497" s="10" t="s">
        <v>67</v>
      </c>
    </row>
    <row r="498" spans="1:12" x14ac:dyDescent="0.25">
      <c r="A498">
        <v>158</v>
      </c>
      <c r="B498" s="10" t="s">
        <v>823</v>
      </c>
      <c r="C498" s="10" t="s">
        <v>137</v>
      </c>
      <c r="D498" s="10" t="s">
        <v>199</v>
      </c>
      <c r="E498" s="10" t="s">
        <v>200</v>
      </c>
      <c r="F498" s="10" t="s">
        <v>101</v>
      </c>
      <c r="G498" s="10" t="s">
        <v>102</v>
      </c>
      <c r="H498" s="10" t="s">
        <v>65</v>
      </c>
      <c r="I498" s="10" t="s">
        <v>16</v>
      </c>
      <c r="J498" s="10" t="s">
        <v>79</v>
      </c>
      <c r="K498" s="10" t="s">
        <v>839</v>
      </c>
      <c r="L498" s="10" t="s">
        <v>67</v>
      </c>
    </row>
    <row r="499" spans="1:12" x14ac:dyDescent="0.25">
      <c r="A499">
        <v>158</v>
      </c>
      <c r="B499" s="10" t="s">
        <v>823</v>
      </c>
      <c r="C499" s="10" t="s">
        <v>137</v>
      </c>
      <c r="D499" s="10" t="s">
        <v>199</v>
      </c>
      <c r="E499" s="10" t="s">
        <v>200</v>
      </c>
      <c r="F499" s="10" t="s">
        <v>103</v>
      </c>
      <c r="G499" s="10" t="s">
        <v>102</v>
      </c>
      <c r="H499" s="10" t="s">
        <v>65</v>
      </c>
      <c r="I499" s="10" t="s">
        <v>16</v>
      </c>
      <c r="J499" s="10" t="s">
        <v>840</v>
      </c>
      <c r="K499" s="10" t="s">
        <v>735</v>
      </c>
      <c r="L499" s="10" t="s">
        <v>67</v>
      </c>
    </row>
    <row r="500" spans="1:12" x14ac:dyDescent="0.25">
      <c r="A500">
        <v>158</v>
      </c>
      <c r="B500" s="10" t="s">
        <v>823</v>
      </c>
      <c r="C500" s="10" t="s">
        <v>137</v>
      </c>
      <c r="D500" s="10" t="s">
        <v>199</v>
      </c>
      <c r="E500" s="10" t="s">
        <v>200</v>
      </c>
      <c r="F500" s="10" t="s">
        <v>104</v>
      </c>
      <c r="G500" s="10" t="s">
        <v>105</v>
      </c>
      <c r="H500" s="10" t="s">
        <v>65</v>
      </c>
      <c r="I500" s="10" t="s">
        <v>16</v>
      </c>
      <c r="J500" s="10" t="s">
        <v>314</v>
      </c>
      <c r="K500" s="10" t="s">
        <v>315</v>
      </c>
      <c r="L500" s="10" t="s">
        <v>67</v>
      </c>
    </row>
    <row r="501" spans="1:12" x14ac:dyDescent="0.25">
      <c r="A501">
        <v>158</v>
      </c>
      <c r="B501" s="10" t="s">
        <v>823</v>
      </c>
      <c r="C501" s="10" t="s">
        <v>137</v>
      </c>
      <c r="D501" s="10" t="s">
        <v>199</v>
      </c>
      <c r="E501" s="10" t="s">
        <v>200</v>
      </c>
      <c r="F501" s="10" t="s">
        <v>106</v>
      </c>
      <c r="G501" s="10" t="s">
        <v>105</v>
      </c>
      <c r="H501" s="10" t="s">
        <v>65</v>
      </c>
      <c r="I501" s="10" t="s">
        <v>16</v>
      </c>
      <c r="J501" s="10" t="s">
        <v>837</v>
      </c>
      <c r="K501" s="10" t="s">
        <v>838</v>
      </c>
      <c r="L501" s="10" t="s">
        <v>67</v>
      </c>
    </row>
    <row r="502" spans="1:12" x14ac:dyDescent="0.25">
      <c r="A502">
        <v>158</v>
      </c>
      <c r="B502" s="10" t="s">
        <v>823</v>
      </c>
      <c r="C502" s="10" t="s">
        <v>137</v>
      </c>
      <c r="D502" s="10" t="s">
        <v>199</v>
      </c>
      <c r="E502" s="10" t="s">
        <v>200</v>
      </c>
      <c r="F502" s="10" t="s">
        <v>107</v>
      </c>
      <c r="G502" s="10" t="s">
        <v>105</v>
      </c>
      <c r="H502" s="10" t="s">
        <v>65</v>
      </c>
      <c r="I502" s="10" t="s">
        <v>16</v>
      </c>
      <c r="J502" s="10" t="s">
        <v>434</v>
      </c>
      <c r="K502" s="10" t="s">
        <v>838</v>
      </c>
      <c r="L502" s="10" t="s">
        <v>67</v>
      </c>
    </row>
    <row r="503" spans="1:12" x14ac:dyDescent="0.25">
      <c r="A503">
        <v>158</v>
      </c>
      <c r="B503" s="10" t="s">
        <v>823</v>
      </c>
      <c r="C503" s="10" t="s">
        <v>137</v>
      </c>
      <c r="D503" s="10" t="s">
        <v>199</v>
      </c>
      <c r="E503" s="10" t="s">
        <v>200</v>
      </c>
      <c r="F503" s="10" t="s">
        <v>108</v>
      </c>
      <c r="G503" s="10" t="s">
        <v>105</v>
      </c>
      <c r="H503" s="10" t="s">
        <v>65</v>
      </c>
      <c r="I503" s="10" t="s">
        <v>16</v>
      </c>
      <c r="J503" s="10" t="s">
        <v>841</v>
      </c>
      <c r="K503" s="10" t="s">
        <v>842</v>
      </c>
      <c r="L503" s="10" t="s">
        <v>67</v>
      </c>
    </row>
    <row r="504" spans="1:12" x14ac:dyDescent="0.25">
      <c r="A504">
        <v>158</v>
      </c>
      <c r="B504" s="10" t="s">
        <v>823</v>
      </c>
      <c r="C504" s="10" t="s">
        <v>137</v>
      </c>
      <c r="D504" s="10" t="s">
        <v>199</v>
      </c>
      <c r="E504" s="10" t="s">
        <v>200</v>
      </c>
      <c r="F504" s="10" t="s">
        <v>109</v>
      </c>
      <c r="G504" s="10" t="s">
        <v>105</v>
      </c>
      <c r="H504" s="10" t="s">
        <v>65</v>
      </c>
      <c r="I504" s="10" t="s">
        <v>16</v>
      </c>
      <c r="J504" s="10" t="s">
        <v>314</v>
      </c>
      <c r="K504" s="10" t="s">
        <v>315</v>
      </c>
      <c r="L504" s="10" t="s">
        <v>67</v>
      </c>
    </row>
    <row r="505" spans="1:12" x14ac:dyDescent="0.25">
      <c r="A505">
        <v>158</v>
      </c>
      <c r="B505" s="10" t="s">
        <v>823</v>
      </c>
      <c r="C505" s="10" t="s">
        <v>137</v>
      </c>
      <c r="D505" s="10" t="s">
        <v>199</v>
      </c>
      <c r="E505" s="10" t="s">
        <v>200</v>
      </c>
      <c r="F505" s="10" t="s">
        <v>110</v>
      </c>
      <c r="G505" s="10" t="s">
        <v>105</v>
      </c>
      <c r="H505" s="10" t="s">
        <v>65</v>
      </c>
      <c r="I505" s="10" t="s">
        <v>16</v>
      </c>
      <c r="J505" s="10" t="s">
        <v>79</v>
      </c>
      <c r="K505" s="10" t="s">
        <v>838</v>
      </c>
      <c r="L505" s="10" t="s">
        <v>67</v>
      </c>
    </row>
    <row r="506" spans="1:12" x14ac:dyDescent="0.25">
      <c r="A506">
        <v>158</v>
      </c>
      <c r="B506" s="10" t="s">
        <v>823</v>
      </c>
      <c r="C506" s="10" t="s">
        <v>137</v>
      </c>
      <c r="D506" s="10" t="s">
        <v>199</v>
      </c>
      <c r="E506" s="10" t="s">
        <v>200</v>
      </c>
      <c r="F506" s="10" t="s">
        <v>111</v>
      </c>
      <c r="G506" s="10" t="s">
        <v>105</v>
      </c>
      <c r="H506" s="10" t="s">
        <v>65</v>
      </c>
      <c r="I506" s="10" t="s">
        <v>16</v>
      </c>
      <c r="J506" s="10" t="s">
        <v>332</v>
      </c>
      <c r="K506" s="10" t="s">
        <v>333</v>
      </c>
      <c r="L506" s="10" t="s">
        <v>67</v>
      </c>
    </row>
    <row r="507" spans="1:12" x14ac:dyDescent="0.25">
      <c r="A507">
        <v>158</v>
      </c>
      <c r="B507" s="10" t="s">
        <v>823</v>
      </c>
      <c r="C507" s="10" t="s">
        <v>137</v>
      </c>
      <c r="D507" s="10" t="s">
        <v>199</v>
      </c>
      <c r="E507" s="10" t="s">
        <v>200</v>
      </c>
      <c r="F507" s="10" t="s">
        <v>112</v>
      </c>
      <c r="G507" s="10" t="s">
        <v>105</v>
      </c>
      <c r="H507" s="10" t="s">
        <v>65</v>
      </c>
      <c r="I507" s="10" t="s">
        <v>16</v>
      </c>
      <c r="J507" s="10" t="s">
        <v>332</v>
      </c>
      <c r="K507" s="10" t="s">
        <v>333</v>
      </c>
      <c r="L507" s="10" t="s">
        <v>67</v>
      </c>
    </row>
    <row r="508" spans="1:12" x14ac:dyDescent="0.25">
      <c r="A508">
        <v>158</v>
      </c>
      <c r="B508" s="10" t="s">
        <v>823</v>
      </c>
      <c r="C508" s="10" t="s">
        <v>137</v>
      </c>
      <c r="D508" s="10" t="s">
        <v>199</v>
      </c>
      <c r="E508" s="10" t="s">
        <v>200</v>
      </c>
      <c r="F508" s="10" t="s">
        <v>113</v>
      </c>
      <c r="G508" s="10" t="s">
        <v>105</v>
      </c>
      <c r="H508" s="10" t="s">
        <v>65</v>
      </c>
      <c r="I508" s="10" t="s">
        <v>16</v>
      </c>
      <c r="J508" s="10" t="s">
        <v>314</v>
      </c>
      <c r="K508" s="10" t="s">
        <v>315</v>
      </c>
      <c r="L508" s="10" t="s">
        <v>67</v>
      </c>
    </row>
    <row r="509" spans="1:12" x14ac:dyDescent="0.25">
      <c r="A509">
        <v>158</v>
      </c>
      <c r="B509" s="10" t="s">
        <v>823</v>
      </c>
      <c r="C509" s="10" t="s">
        <v>137</v>
      </c>
      <c r="D509" s="10" t="s">
        <v>199</v>
      </c>
      <c r="E509" s="10" t="s">
        <v>200</v>
      </c>
      <c r="F509" s="10" t="s">
        <v>124</v>
      </c>
      <c r="G509" s="10" t="s">
        <v>125</v>
      </c>
      <c r="H509" s="10" t="s">
        <v>72</v>
      </c>
      <c r="I509" s="10" t="s">
        <v>18</v>
      </c>
      <c r="J509" s="10" t="s">
        <v>54</v>
      </c>
      <c r="K509" s="10" t="s">
        <v>54</v>
      </c>
      <c r="L509" s="10" t="s">
        <v>54</v>
      </c>
    </row>
    <row r="510" spans="1:12" x14ac:dyDescent="0.25">
      <c r="A510">
        <v>158</v>
      </c>
      <c r="B510" s="10" t="s">
        <v>823</v>
      </c>
      <c r="C510" s="10" t="s">
        <v>137</v>
      </c>
      <c r="D510" s="10" t="s">
        <v>199</v>
      </c>
      <c r="E510" s="10" t="s">
        <v>200</v>
      </c>
      <c r="F510" s="10" t="s">
        <v>131</v>
      </c>
      <c r="G510" s="10" t="s">
        <v>68</v>
      </c>
      <c r="H510" s="10" t="s">
        <v>65</v>
      </c>
      <c r="I510" s="10" t="s">
        <v>16</v>
      </c>
      <c r="J510" s="10" t="s">
        <v>824</v>
      </c>
      <c r="K510" s="10" t="s">
        <v>825</v>
      </c>
      <c r="L510" s="10" t="s">
        <v>54</v>
      </c>
    </row>
    <row r="511" spans="1:12" x14ac:dyDescent="0.25">
      <c r="A511">
        <v>158</v>
      </c>
      <c r="B511" s="10" t="s">
        <v>823</v>
      </c>
      <c r="C511" s="10" t="s">
        <v>137</v>
      </c>
      <c r="D511" s="10" t="s">
        <v>199</v>
      </c>
      <c r="E511" s="10" t="s">
        <v>200</v>
      </c>
      <c r="F511" s="10" t="s">
        <v>132</v>
      </c>
      <c r="G511" s="10" t="s">
        <v>68</v>
      </c>
      <c r="H511" s="10" t="s">
        <v>65</v>
      </c>
      <c r="I511" s="10" t="s">
        <v>16</v>
      </c>
      <c r="J511" s="10" t="s">
        <v>824</v>
      </c>
      <c r="K511" s="10" t="s">
        <v>825</v>
      </c>
      <c r="L511" s="10" t="s">
        <v>54</v>
      </c>
    </row>
    <row r="512" spans="1:12" x14ac:dyDescent="0.25">
      <c r="A512">
        <v>158</v>
      </c>
      <c r="B512" s="10" t="s">
        <v>823</v>
      </c>
      <c r="C512" s="10" t="s">
        <v>137</v>
      </c>
      <c r="D512" s="10" t="s">
        <v>199</v>
      </c>
      <c r="E512" s="10" t="s">
        <v>200</v>
      </c>
      <c r="F512" s="10" t="s">
        <v>136</v>
      </c>
      <c r="G512" s="10" t="s">
        <v>68</v>
      </c>
      <c r="H512" s="10" t="s">
        <v>65</v>
      </c>
      <c r="I512" s="10" t="s">
        <v>16</v>
      </c>
      <c r="J512" s="10" t="s">
        <v>824</v>
      </c>
      <c r="K512" s="10" t="s">
        <v>825</v>
      </c>
      <c r="L512" s="10" t="s">
        <v>54</v>
      </c>
    </row>
    <row r="513" spans="1:12" x14ac:dyDescent="0.25">
      <c r="A513">
        <v>247</v>
      </c>
      <c r="B513" s="10" t="s">
        <v>1099</v>
      </c>
      <c r="C513" s="10" t="s">
        <v>164</v>
      </c>
      <c r="D513" s="10" t="s">
        <v>254</v>
      </c>
      <c r="E513" s="10" t="s">
        <v>255</v>
      </c>
      <c r="F513" s="10" t="s">
        <v>71</v>
      </c>
      <c r="G513" s="10" t="s">
        <v>68</v>
      </c>
      <c r="H513" s="10" t="s">
        <v>72</v>
      </c>
      <c r="I513" s="10" t="s">
        <v>16</v>
      </c>
      <c r="J513" s="10" t="s">
        <v>1100</v>
      </c>
      <c r="K513" s="10" t="s">
        <v>651</v>
      </c>
      <c r="L513" s="10" t="s">
        <v>67</v>
      </c>
    </row>
    <row r="514" spans="1:12" x14ac:dyDescent="0.25">
      <c r="A514">
        <v>247</v>
      </c>
      <c r="B514" s="10" t="s">
        <v>1099</v>
      </c>
      <c r="C514" s="10" t="s">
        <v>164</v>
      </c>
      <c r="D514" s="10" t="s">
        <v>254</v>
      </c>
      <c r="E514" s="10" t="s">
        <v>255</v>
      </c>
      <c r="F514" s="10" t="s">
        <v>73</v>
      </c>
      <c r="G514" s="10" t="s">
        <v>68</v>
      </c>
      <c r="H514" s="10" t="s">
        <v>65</v>
      </c>
      <c r="I514" s="10" t="s">
        <v>16</v>
      </c>
      <c r="J514" s="10" t="s">
        <v>336</v>
      </c>
      <c r="K514" s="10" t="s">
        <v>337</v>
      </c>
      <c r="L514" s="10" t="s">
        <v>67</v>
      </c>
    </row>
    <row r="515" spans="1:12" x14ac:dyDescent="0.25">
      <c r="A515">
        <v>247</v>
      </c>
      <c r="B515" s="10" t="s">
        <v>1099</v>
      </c>
      <c r="C515" s="10" t="s">
        <v>164</v>
      </c>
      <c r="D515" s="10" t="s">
        <v>254</v>
      </c>
      <c r="E515" s="10" t="s">
        <v>255</v>
      </c>
      <c r="F515" s="10" t="s">
        <v>74</v>
      </c>
      <c r="G515" s="10" t="s">
        <v>68</v>
      </c>
      <c r="H515" s="10" t="s">
        <v>65</v>
      </c>
      <c r="I515" s="10" t="s">
        <v>16</v>
      </c>
      <c r="J515" s="10" t="s">
        <v>1101</v>
      </c>
      <c r="K515" s="10" t="s">
        <v>1102</v>
      </c>
      <c r="L515" s="10" t="s">
        <v>67</v>
      </c>
    </row>
    <row r="516" spans="1:12" x14ac:dyDescent="0.25">
      <c r="A516">
        <v>247</v>
      </c>
      <c r="B516" s="10" t="s">
        <v>1099</v>
      </c>
      <c r="C516" s="10" t="s">
        <v>164</v>
      </c>
      <c r="D516" s="10" t="s">
        <v>254</v>
      </c>
      <c r="E516" s="10" t="s">
        <v>255</v>
      </c>
      <c r="F516" s="10" t="s">
        <v>75</v>
      </c>
      <c r="G516" s="10" t="s">
        <v>68</v>
      </c>
      <c r="H516" s="10" t="s">
        <v>72</v>
      </c>
      <c r="I516" s="10" t="s">
        <v>24</v>
      </c>
      <c r="J516" s="10" t="s">
        <v>326</v>
      </c>
      <c r="K516" s="10" t="s">
        <v>511</v>
      </c>
      <c r="L516" s="10" t="s">
        <v>67</v>
      </c>
    </row>
    <row r="517" spans="1:12" x14ac:dyDescent="0.25">
      <c r="A517">
        <v>247</v>
      </c>
      <c r="B517" s="10" t="s">
        <v>1099</v>
      </c>
      <c r="C517" s="10" t="s">
        <v>164</v>
      </c>
      <c r="D517" s="10" t="s">
        <v>254</v>
      </c>
      <c r="E517" s="10" t="s">
        <v>255</v>
      </c>
      <c r="F517" s="10" t="s">
        <v>76</v>
      </c>
      <c r="G517" s="10" t="s">
        <v>77</v>
      </c>
      <c r="H517" s="10" t="s">
        <v>65</v>
      </c>
      <c r="I517" s="10" t="s">
        <v>16</v>
      </c>
      <c r="J517" s="10" t="s">
        <v>410</v>
      </c>
      <c r="K517" s="10" t="s">
        <v>508</v>
      </c>
      <c r="L517" s="10" t="s">
        <v>67</v>
      </c>
    </row>
    <row r="518" spans="1:12" x14ac:dyDescent="0.25">
      <c r="A518">
        <v>247</v>
      </c>
      <c r="B518" s="10" t="s">
        <v>1099</v>
      </c>
      <c r="C518" s="10" t="s">
        <v>164</v>
      </c>
      <c r="D518" s="10" t="s">
        <v>254</v>
      </c>
      <c r="E518" s="10" t="s">
        <v>255</v>
      </c>
      <c r="F518" s="10" t="s">
        <v>80</v>
      </c>
      <c r="G518" s="10" t="s">
        <v>77</v>
      </c>
      <c r="H518" s="10" t="s">
        <v>65</v>
      </c>
      <c r="I518" s="10" t="s">
        <v>16</v>
      </c>
      <c r="J518" s="10" t="s">
        <v>79</v>
      </c>
      <c r="K518" s="10" t="s">
        <v>1103</v>
      </c>
      <c r="L518" s="10" t="s">
        <v>67</v>
      </c>
    </row>
    <row r="519" spans="1:12" x14ac:dyDescent="0.25">
      <c r="A519">
        <v>247</v>
      </c>
      <c r="B519" s="10" t="s">
        <v>1099</v>
      </c>
      <c r="C519" s="10" t="s">
        <v>164</v>
      </c>
      <c r="D519" s="10" t="s">
        <v>254</v>
      </c>
      <c r="E519" s="10" t="s">
        <v>255</v>
      </c>
      <c r="F519" s="10" t="s">
        <v>84</v>
      </c>
      <c r="G519" s="10" t="s">
        <v>83</v>
      </c>
      <c r="H519" s="10" t="s">
        <v>65</v>
      </c>
      <c r="I519" s="10" t="s">
        <v>16</v>
      </c>
      <c r="J519" s="10" t="s">
        <v>1104</v>
      </c>
      <c r="K519" s="10" t="s">
        <v>1105</v>
      </c>
      <c r="L519" s="10" t="s">
        <v>67</v>
      </c>
    </row>
    <row r="520" spans="1:12" x14ac:dyDescent="0.25">
      <c r="A520">
        <v>247</v>
      </c>
      <c r="B520" s="10" t="s">
        <v>1099</v>
      </c>
      <c r="C520" s="10" t="s">
        <v>164</v>
      </c>
      <c r="D520" s="10" t="s">
        <v>254</v>
      </c>
      <c r="E520" s="10" t="s">
        <v>255</v>
      </c>
      <c r="F520" s="10" t="s">
        <v>93</v>
      </c>
      <c r="G520" s="10" t="s">
        <v>94</v>
      </c>
      <c r="H520" s="10" t="s">
        <v>65</v>
      </c>
      <c r="I520" s="10" t="s">
        <v>16</v>
      </c>
      <c r="J520" s="10" t="s">
        <v>1106</v>
      </c>
      <c r="K520" s="10" t="s">
        <v>1103</v>
      </c>
      <c r="L520" s="10" t="s">
        <v>67</v>
      </c>
    </row>
    <row r="521" spans="1:12" x14ac:dyDescent="0.25">
      <c r="A521">
        <v>247</v>
      </c>
      <c r="B521" s="10" t="s">
        <v>1099</v>
      </c>
      <c r="C521" s="10" t="s">
        <v>164</v>
      </c>
      <c r="D521" s="10" t="s">
        <v>254</v>
      </c>
      <c r="E521" s="10" t="s">
        <v>255</v>
      </c>
      <c r="F521" s="10" t="s">
        <v>95</v>
      </c>
      <c r="G521" s="10" t="s">
        <v>94</v>
      </c>
      <c r="H521" s="10" t="s">
        <v>65</v>
      </c>
      <c r="I521" s="10" t="s">
        <v>16</v>
      </c>
      <c r="J521" s="10" t="s">
        <v>1106</v>
      </c>
      <c r="K521" s="10" t="s">
        <v>1103</v>
      </c>
      <c r="L521" s="10" t="s">
        <v>67</v>
      </c>
    </row>
    <row r="522" spans="1:12" x14ac:dyDescent="0.25">
      <c r="A522">
        <v>247</v>
      </c>
      <c r="B522" s="10" t="s">
        <v>1099</v>
      </c>
      <c r="C522" s="10" t="s">
        <v>164</v>
      </c>
      <c r="D522" s="10" t="s">
        <v>254</v>
      </c>
      <c r="E522" s="10" t="s">
        <v>255</v>
      </c>
      <c r="F522" s="10" t="s">
        <v>97</v>
      </c>
      <c r="G522" s="10" t="s">
        <v>98</v>
      </c>
      <c r="H522" s="10" t="s">
        <v>65</v>
      </c>
      <c r="I522" s="10" t="s">
        <v>16</v>
      </c>
      <c r="J522" s="10" t="s">
        <v>1107</v>
      </c>
      <c r="K522" s="10" t="s">
        <v>917</v>
      </c>
      <c r="L522" s="10" t="s">
        <v>67</v>
      </c>
    </row>
    <row r="523" spans="1:12" x14ac:dyDescent="0.25">
      <c r="A523">
        <v>247</v>
      </c>
      <c r="B523" s="10" t="s">
        <v>1099</v>
      </c>
      <c r="C523" s="10" t="s">
        <v>164</v>
      </c>
      <c r="D523" s="10" t="s">
        <v>254</v>
      </c>
      <c r="E523" s="10" t="s">
        <v>255</v>
      </c>
      <c r="F523" s="10" t="s">
        <v>100</v>
      </c>
      <c r="G523" s="10" t="s">
        <v>98</v>
      </c>
      <c r="H523" s="10" t="s">
        <v>72</v>
      </c>
      <c r="I523" s="10" t="s">
        <v>18</v>
      </c>
      <c r="J523" s="10" t="s">
        <v>54</v>
      </c>
      <c r="K523" s="10" t="s">
        <v>54</v>
      </c>
      <c r="L523" s="10" t="s">
        <v>54</v>
      </c>
    </row>
    <row r="524" spans="1:12" x14ac:dyDescent="0.25">
      <c r="A524">
        <v>247</v>
      </c>
      <c r="B524" s="10" t="s">
        <v>1099</v>
      </c>
      <c r="C524" s="10" t="s">
        <v>164</v>
      </c>
      <c r="D524" s="10" t="s">
        <v>254</v>
      </c>
      <c r="E524" s="10" t="s">
        <v>255</v>
      </c>
      <c r="F524" s="10" t="s">
        <v>101</v>
      </c>
      <c r="G524" s="10" t="s">
        <v>102</v>
      </c>
      <c r="H524" s="10" t="s">
        <v>65</v>
      </c>
      <c r="I524" s="10" t="s">
        <v>16</v>
      </c>
      <c r="J524" s="10" t="s">
        <v>79</v>
      </c>
      <c r="K524" s="10" t="s">
        <v>552</v>
      </c>
      <c r="L524" s="10" t="s">
        <v>67</v>
      </c>
    </row>
    <row r="525" spans="1:12" x14ac:dyDescent="0.25">
      <c r="A525">
        <v>247</v>
      </c>
      <c r="B525" s="10" t="s">
        <v>1099</v>
      </c>
      <c r="C525" s="10" t="s">
        <v>164</v>
      </c>
      <c r="D525" s="10" t="s">
        <v>254</v>
      </c>
      <c r="E525" s="10" t="s">
        <v>255</v>
      </c>
      <c r="F525" s="10" t="s">
        <v>103</v>
      </c>
      <c r="G525" s="10" t="s">
        <v>102</v>
      </c>
      <c r="H525" s="10" t="s">
        <v>65</v>
      </c>
      <c r="I525" s="10" t="s">
        <v>16</v>
      </c>
      <c r="J525" s="10" t="s">
        <v>1104</v>
      </c>
      <c r="K525" s="10" t="s">
        <v>1105</v>
      </c>
      <c r="L525" s="10" t="s">
        <v>67</v>
      </c>
    </row>
    <row r="526" spans="1:12" x14ac:dyDescent="0.25">
      <c r="A526">
        <v>247</v>
      </c>
      <c r="B526" s="10" t="s">
        <v>1099</v>
      </c>
      <c r="C526" s="10" t="s">
        <v>164</v>
      </c>
      <c r="D526" s="10" t="s">
        <v>254</v>
      </c>
      <c r="E526" s="10" t="s">
        <v>255</v>
      </c>
      <c r="F526" s="10" t="s">
        <v>104</v>
      </c>
      <c r="G526" s="10" t="s">
        <v>105</v>
      </c>
      <c r="H526" s="10" t="s">
        <v>65</v>
      </c>
      <c r="I526" s="10" t="s">
        <v>16</v>
      </c>
      <c r="J526" s="10" t="s">
        <v>925</v>
      </c>
      <c r="K526" s="10" t="s">
        <v>926</v>
      </c>
      <c r="L526" s="10" t="s">
        <v>67</v>
      </c>
    </row>
    <row r="527" spans="1:12" x14ac:dyDescent="0.25">
      <c r="A527">
        <v>247</v>
      </c>
      <c r="B527" s="10" t="s">
        <v>1099</v>
      </c>
      <c r="C527" s="10" t="s">
        <v>164</v>
      </c>
      <c r="D527" s="10" t="s">
        <v>254</v>
      </c>
      <c r="E527" s="10" t="s">
        <v>255</v>
      </c>
      <c r="F527" s="10" t="s">
        <v>106</v>
      </c>
      <c r="G527" s="10" t="s">
        <v>105</v>
      </c>
      <c r="H527" s="10" t="s">
        <v>65</v>
      </c>
      <c r="I527" s="10" t="s">
        <v>16</v>
      </c>
      <c r="J527" s="10" t="s">
        <v>1107</v>
      </c>
      <c r="K527" s="10" t="s">
        <v>917</v>
      </c>
      <c r="L527" s="10" t="s">
        <v>67</v>
      </c>
    </row>
    <row r="528" spans="1:12" x14ac:dyDescent="0.25">
      <c r="A528">
        <v>247</v>
      </c>
      <c r="B528" s="10" t="s">
        <v>1099</v>
      </c>
      <c r="C528" s="10" t="s">
        <v>164</v>
      </c>
      <c r="D528" s="10" t="s">
        <v>254</v>
      </c>
      <c r="E528" s="10" t="s">
        <v>255</v>
      </c>
      <c r="F528" s="10" t="s">
        <v>107</v>
      </c>
      <c r="G528" s="10" t="s">
        <v>105</v>
      </c>
      <c r="H528" s="10" t="s">
        <v>65</v>
      </c>
      <c r="I528" s="10" t="s">
        <v>16</v>
      </c>
      <c r="J528" s="10" t="s">
        <v>1108</v>
      </c>
      <c r="K528" s="10" t="s">
        <v>917</v>
      </c>
      <c r="L528" s="10" t="s">
        <v>67</v>
      </c>
    </row>
    <row r="529" spans="1:12" x14ac:dyDescent="0.25">
      <c r="A529">
        <v>247</v>
      </c>
      <c r="B529" s="10" t="s">
        <v>1099</v>
      </c>
      <c r="C529" s="10" t="s">
        <v>164</v>
      </c>
      <c r="D529" s="10" t="s">
        <v>254</v>
      </c>
      <c r="E529" s="10" t="s">
        <v>255</v>
      </c>
      <c r="F529" s="10" t="s">
        <v>108</v>
      </c>
      <c r="G529" s="10" t="s">
        <v>105</v>
      </c>
      <c r="H529" s="10" t="s">
        <v>65</v>
      </c>
      <c r="I529" s="10" t="s">
        <v>16</v>
      </c>
      <c r="J529" s="10" t="s">
        <v>477</v>
      </c>
      <c r="K529" s="10" t="s">
        <v>478</v>
      </c>
      <c r="L529" s="10" t="s">
        <v>67</v>
      </c>
    </row>
    <row r="530" spans="1:12" x14ac:dyDescent="0.25">
      <c r="A530">
        <v>247</v>
      </c>
      <c r="B530" s="10" t="s">
        <v>1099</v>
      </c>
      <c r="C530" s="10" t="s">
        <v>164</v>
      </c>
      <c r="D530" s="10" t="s">
        <v>254</v>
      </c>
      <c r="E530" s="10" t="s">
        <v>255</v>
      </c>
      <c r="F530" s="10" t="s">
        <v>109</v>
      </c>
      <c r="G530" s="10" t="s">
        <v>105</v>
      </c>
      <c r="H530" s="10" t="s">
        <v>65</v>
      </c>
      <c r="I530" s="10" t="s">
        <v>16</v>
      </c>
      <c r="J530" s="10" t="s">
        <v>925</v>
      </c>
      <c r="K530" s="10" t="s">
        <v>926</v>
      </c>
      <c r="L530" s="10" t="s">
        <v>67</v>
      </c>
    </row>
    <row r="531" spans="1:12" x14ac:dyDescent="0.25">
      <c r="A531">
        <v>247</v>
      </c>
      <c r="B531" s="10" t="s">
        <v>1099</v>
      </c>
      <c r="C531" s="10" t="s">
        <v>164</v>
      </c>
      <c r="D531" s="10" t="s">
        <v>254</v>
      </c>
      <c r="E531" s="10" t="s">
        <v>255</v>
      </c>
      <c r="F531" s="10" t="s">
        <v>110</v>
      </c>
      <c r="G531" s="10" t="s">
        <v>105</v>
      </c>
      <c r="H531" s="10" t="s">
        <v>65</v>
      </c>
      <c r="I531" s="10" t="s">
        <v>16</v>
      </c>
      <c r="J531" s="10" t="s">
        <v>79</v>
      </c>
      <c r="K531" s="10" t="s">
        <v>926</v>
      </c>
      <c r="L531" s="10" t="s">
        <v>67</v>
      </c>
    </row>
    <row r="532" spans="1:12" x14ac:dyDescent="0.25">
      <c r="A532">
        <v>247</v>
      </c>
      <c r="B532" s="10" t="s">
        <v>1099</v>
      </c>
      <c r="C532" s="10" t="s">
        <v>164</v>
      </c>
      <c r="D532" s="10" t="s">
        <v>254</v>
      </c>
      <c r="E532" s="10" t="s">
        <v>255</v>
      </c>
      <c r="F532" s="10" t="s">
        <v>111</v>
      </c>
      <c r="G532" s="10" t="s">
        <v>105</v>
      </c>
      <c r="H532" s="10" t="s">
        <v>65</v>
      </c>
      <c r="I532" s="10" t="s">
        <v>16</v>
      </c>
      <c r="J532" s="10" t="s">
        <v>1104</v>
      </c>
      <c r="K532" s="10" t="s">
        <v>1105</v>
      </c>
      <c r="L532" s="10" t="s">
        <v>67</v>
      </c>
    </row>
    <row r="533" spans="1:12" x14ac:dyDescent="0.25">
      <c r="A533">
        <v>247</v>
      </c>
      <c r="B533" s="10" t="s">
        <v>1099</v>
      </c>
      <c r="C533" s="10" t="s">
        <v>164</v>
      </c>
      <c r="D533" s="10" t="s">
        <v>254</v>
      </c>
      <c r="E533" s="10" t="s">
        <v>255</v>
      </c>
      <c r="F533" s="10" t="s">
        <v>112</v>
      </c>
      <c r="G533" s="10" t="s">
        <v>105</v>
      </c>
      <c r="H533" s="10" t="s">
        <v>65</v>
      </c>
      <c r="I533" s="10" t="s">
        <v>16</v>
      </c>
      <c r="J533" s="10" t="s">
        <v>996</v>
      </c>
      <c r="K533" s="10" t="s">
        <v>917</v>
      </c>
      <c r="L533" s="10" t="s">
        <v>67</v>
      </c>
    </row>
    <row r="534" spans="1:12" x14ac:dyDescent="0.25">
      <c r="A534">
        <v>247</v>
      </c>
      <c r="B534" s="10" t="s">
        <v>1099</v>
      </c>
      <c r="C534" s="10" t="s">
        <v>164</v>
      </c>
      <c r="D534" s="10" t="s">
        <v>254</v>
      </c>
      <c r="E534" s="10" t="s">
        <v>255</v>
      </c>
      <c r="F534" s="10" t="s">
        <v>113</v>
      </c>
      <c r="G534" s="10" t="s">
        <v>105</v>
      </c>
      <c r="H534" s="10" t="s">
        <v>65</v>
      </c>
      <c r="I534" s="10" t="s">
        <v>16</v>
      </c>
      <c r="J534" s="10" t="s">
        <v>1109</v>
      </c>
      <c r="K534" s="10" t="s">
        <v>786</v>
      </c>
      <c r="L534" s="10" t="s">
        <v>67</v>
      </c>
    </row>
    <row r="535" spans="1:12" x14ac:dyDescent="0.25">
      <c r="A535">
        <v>247</v>
      </c>
      <c r="B535" s="10" t="s">
        <v>1099</v>
      </c>
      <c r="C535" s="10" t="s">
        <v>164</v>
      </c>
      <c r="D535" s="10" t="s">
        <v>254</v>
      </c>
      <c r="E535" s="10" t="s">
        <v>255</v>
      </c>
      <c r="F535" s="10" t="s">
        <v>124</v>
      </c>
      <c r="G535" s="10" t="s">
        <v>125</v>
      </c>
      <c r="H535" s="10" t="s">
        <v>72</v>
      </c>
      <c r="I535" s="10" t="s">
        <v>16</v>
      </c>
      <c r="J535" s="10" t="s">
        <v>1110</v>
      </c>
      <c r="K535" s="10" t="s">
        <v>789</v>
      </c>
      <c r="L535" s="10" t="s">
        <v>54</v>
      </c>
    </row>
    <row r="536" spans="1:12" x14ac:dyDescent="0.25">
      <c r="A536">
        <v>247</v>
      </c>
      <c r="B536" s="10" t="s">
        <v>1099</v>
      </c>
      <c r="C536" s="10" t="s">
        <v>164</v>
      </c>
      <c r="D536" s="10" t="s">
        <v>254</v>
      </c>
      <c r="E536" s="10" t="s">
        <v>255</v>
      </c>
      <c r="F536" s="10" t="s">
        <v>131</v>
      </c>
      <c r="G536" s="10" t="s">
        <v>68</v>
      </c>
      <c r="H536" s="10" t="s">
        <v>72</v>
      </c>
      <c r="I536" s="10" t="s">
        <v>16</v>
      </c>
      <c r="J536" s="10" t="s">
        <v>1111</v>
      </c>
      <c r="K536" s="10" t="s">
        <v>952</v>
      </c>
      <c r="L536" s="10" t="s">
        <v>67</v>
      </c>
    </row>
    <row r="537" spans="1:12" x14ac:dyDescent="0.25">
      <c r="A537">
        <v>247</v>
      </c>
      <c r="B537" s="10" t="s">
        <v>1099</v>
      </c>
      <c r="C537" s="10" t="s">
        <v>164</v>
      </c>
      <c r="D537" s="10" t="s">
        <v>254</v>
      </c>
      <c r="E537" s="10" t="s">
        <v>255</v>
      </c>
      <c r="F537" s="10" t="s">
        <v>156</v>
      </c>
      <c r="G537" s="10" t="s">
        <v>125</v>
      </c>
      <c r="H537" s="10" t="s">
        <v>65</v>
      </c>
      <c r="I537" s="10" t="s">
        <v>16</v>
      </c>
      <c r="J537" s="10" t="s">
        <v>1110</v>
      </c>
      <c r="K537" s="10" t="s">
        <v>789</v>
      </c>
      <c r="L537" s="10" t="s">
        <v>54</v>
      </c>
    </row>
    <row r="538" spans="1:12" x14ac:dyDescent="0.25">
      <c r="A538">
        <v>247</v>
      </c>
      <c r="B538" s="10" t="s">
        <v>1099</v>
      </c>
      <c r="C538" s="10" t="s">
        <v>164</v>
      </c>
      <c r="D538" s="10" t="s">
        <v>254</v>
      </c>
      <c r="E538" s="10" t="s">
        <v>255</v>
      </c>
      <c r="F538" s="10" t="s">
        <v>163</v>
      </c>
      <c r="G538" s="10" t="s">
        <v>68</v>
      </c>
      <c r="H538" s="10" t="s">
        <v>65</v>
      </c>
      <c r="I538" s="10" t="s">
        <v>16</v>
      </c>
      <c r="J538" s="10" t="s">
        <v>1112</v>
      </c>
      <c r="K538" s="10" t="s">
        <v>1113</v>
      </c>
      <c r="L538" s="10" t="s">
        <v>54</v>
      </c>
    </row>
    <row r="539" spans="1:12" x14ac:dyDescent="0.25">
      <c r="A539">
        <v>247</v>
      </c>
      <c r="B539" s="10" t="s">
        <v>1099</v>
      </c>
      <c r="C539" s="10" t="s">
        <v>164</v>
      </c>
      <c r="D539" s="10" t="s">
        <v>254</v>
      </c>
      <c r="E539" s="10" t="s">
        <v>255</v>
      </c>
      <c r="F539" s="10" t="s">
        <v>165</v>
      </c>
      <c r="G539" s="10" t="s">
        <v>68</v>
      </c>
      <c r="H539" s="10" t="s">
        <v>72</v>
      </c>
      <c r="I539" s="10" t="s">
        <v>18</v>
      </c>
      <c r="J539" s="10" t="s">
        <v>54</v>
      </c>
      <c r="K539" s="10" t="s">
        <v>54</v>
      </c>
      <c r="L539" s="10" t="s">
        <v>54</v>
      </c>
    </row>
    <row r="540" spans="1:12" x14ac:dyDescent="0.25">
      <c r="A540">
        <v>183</v>
      </c>
      <c r="B540" s="10" t="s">
        <v>1006</v>
      </c>
      <c r="C540" s="10" t="s">
        <v>185</v>
      </c>
      <c r="D540" s="10" t="s">
        <v>235</v>
      </c>
      <c r="E540" s="10" t="s">
        <v>236</v>
      </c>
      <c r="F540" s="10" t="s">
        <v>71</v>
      </c>
      <c r="G540" s="10" t="s">
        <v>68</v>
      </c>
      <c r="H540" s="10" t="s">
        <v>72</v>
      </c>
      <c r="I540" s="10" t="s">
        <v>18</v>
      </c>
      <c r="J540" s="10" t="s">
        <v>54</v>
      </c>
      <c r="K540" s="10" t="s">
        <v>54</v>
      </c>
      <c r="L540" s="10" t="s">
        <v>54</v>
      </c>
    </row>
    <row r="541" spans="1:12" x14ac:dyDescent="0.25">
      <c r="A541">
        <v>183</v>
      </c>
      <c r="B541" s="10" t="s">
        <v>1006</v>
      </c>
      <c r="C541" s="10" t="s">
        <v>185</v>
      </c>
      <c r="D541" s="10" t="s">
        <v>235</v>
      </c>
      <c r="E541" s="10" t="s">
        <v>236</v>
      </c>
      <c r="F541" s="10" t="s">
        <v>73</v>
      </c>
      <c r="G541" s="10" t="s">
        <v>68</v>
      </c>
      <c r="H541" s="10" t="s">
        <v>65</v>
      </c>
      <c r="I541" s="10" t="s">
        <v>16</v>
      </c>
      <c r="J541" s="10" t="s">
        <v>1007</v>
      </c>
      <c r="K541" s="10" t="s">
        <v>1008</v>
      </c>
      <c r="L541" s="10" t="s">
        <v>67</v>
      </c>
    </row>
    <row r="542" spans="1:12" x14ac:dyDescent="0.25">
      <c r="A542">
        <v>183</v>
      </c>
      <c r="B542" s="10" t="s">
        <v>1006</v>
      </c>
      <c r="C542" s="10" t="s">
        <v>185</v>
      </c>
      <c r="D542" s="10" t="s">
        <v>235</v>
      </c>
      <c r="E542" s="10" t="s">
        <v>236</v>
      </c>
      <c r="F542" s="10" t="s">
        <v>74</v>
      </c>
      <c r="G542" s="10" t="s">
        <v>68</v>
      </c>
      <c r="H542" s="10" t="s">
        <v>65</v>
      </c>
      <c r="I542" s="10" t="s">
        <v>16</v>
      </c>
      <c r="J542" s="10" t="s">
        <v>326</v>
      </c>
      <c r="K542" s="10" t="s">
        <v>991</v>
      </c>
      <c r="L542" s="10" t="s">
        <v>67</v>
      </c>
    </row>
    <row r="543" spans="1:12" x14ac:dyDescent="0.25">
      <c r="A543">
        <v>183</v>
      </c>
      <c r="B543" s="10" t="s">
        <v>1006</v>
      </c>
      <c r="C543" s="10" t="s">
        <v>185</v>
      </c>
      <c r="D543" s="10" t="s">
        <v>235</v>
      </c>
      <c r="E543" s="10" t="s">
        <v>236</v>
      </c>
      <c r="F543" s="10" t="s">
        <v>75</v>
      </c>
      <c r="G543" s="10" t="s">
        <v>68</v>
      </c>
      <c r="H543" s="10" t="s">
        <v>72</v>
      </c>
      <c r="I543" s="10" t="s">
        <v>18</v>
      </c>
      <c r="J543" s="10" t="s">
        <v>54</v>
      </c>
      <c r="K543" s="10" t="s">
        <v>54</v>
      </c>
      <c r="L543" s="10" t="s">
        <v>54</v>
      </c>
    </row>
    <row r="544" spans="1:12" x14ac:dyDescent="0.25">
      <c r="A544">
        <v>183</v>
      </c>
      <c r="B544" s="10" t="s">
        <v>1006</v>
      </c>
      <c r="C544" s="10" t="s">
        <v>185</v>
      </c>
      <c r="D544" s="10" t="s">
        <v>235</v>
      </c>
      <c r="E544" s="10" t="s">
        <v>236</v>
      </c>
      <c r="F544" s="10" t="s">
        <v>76</v>
      </c>
      <c r="G544" s="10" t="s">
        <v>77</v>
      </c>
      <c r="H544" s="10" t="s">
        <v>65</v>
      </c>
      <c r="I544" s="10" t="s">
        <v>16</v>
      </c>
      <c r="J544" s="10" t="s">
        <v>275</v>
      </c>
      <c r="K544" s="10" t="s">
        <v>276</v>
      </c>
      <c r="L544" s="10" t="s">
        <v>67</v>
      </c>
    </row>
    <row r="545" spans="1:12" x14ac:dyDescent="0.25">
      <c r="A545">
        <v>183</v>
      </c>
      <c r="B545" s="10" t="s">
        <v>1006</v>
      </c>
      <c r="C545" s="10" t="s">
        <v>185</v>
      </c>
      <c r="D545" s="10" t="s">
        <v>235</v>
      </c>
      <c r="E545" s="10" t="s">
        <v>236</v>
      </c>
      <c r="F545" s="10" t="s">
        <v>97</v>
      </c>
      <c r="G545" s="10" t="s">
        <v>98</v>
      </c>
      <c r="H545" s="10" t="s">
        <v>65</v>
      </c>
      <c r="I545" s="10" t="s">
        <v>16</v>
      </c>
      <c r="J545" s="10" t="s">
        <v>346</v>
      </c>
      <c r="K545" s="10" t="s">
        <v>347</v>
      </c>
      <c r="L545" s="10" t="s">
        <v>67</v>
      </c>
    </row>
    <row r="546" spans="1:12" x14ac:dyDescent="0.25">
      <c r="A546">
        <v>183</v>
      </c>
      <c r="B546" s="10" t="s">
        <v>1006</v>
      </c>
      <c r="C546" s="10" t="s">
        <v>185</v>
      </c>
      <c r="D546" s="10" t="s">
        <v>235</v>
      </c>
      <c r="E546" s="10" t="s">
        <v>236</v>
      </c>
      <c r="F546" s="10" t="s">
        <v>101</v>
      </c>
      <c r="G546" s="10" t="s">
        <v>102</v>
      </c>
      <c r="H546" s="10" t="s">
        <v>65</v>
      </c>
      <c r="I546" s="10" t="s">
        <v>16</v>
      </c>
      <c r="J546" s="10" t="s">
        <v>79</v>
      </c>
      <c r="K546" s="10" t="s">
        <v>350</v>
      </c>
      <c r="L546" s="10" t="s">
        <v>67</v>
      </c>
    </row>
    <row r="547" spans="1:12" x14ac:dyDescent="0.25">
      <c r="A547">
        <v>183</v>
      </c>
      <c r="B547" s="10" t="s">
        <v>1006</v>
      </c>
      <c r="C547" s="10" t="s">
        <v>185</v>
      </c>
      <c r="D547" s="10" t="s">
        <v>235</v>
      </c>
      <c r="E547" s="10" t="s">
        <v>236</v>
      </c>
      <c r="F547" s="10" t="s">
        <v>103</v>
      </c>
      <c r="G547" s="10" t="s">
        <v>102</v>
      </c>
      <c r="H547" s="10" t="s">
        <v>65</v>
      </c>
      <c r="I547" s="10" t="s">
        <v>16</v>
      </c>
      <c r="J547" s="10" t="s">
        <v>1009</v>
      </c>
      <c r="K547" s="10" t="s">
        <v>1010</v>
      </c>
      <c r="L547" s="10" t="s">
        <v>67</v>
      </c>
    </row>
    <row r="548" spans="1:12" x14ac:dyDescent="0.25">
      <c r="A548">
        <v>183</v>
      </c>
      <c r="B548" s="10" t="s">
        <v>1006</v>
      </c>
      <c r="C548" s="10" t="s">
        <v>185</v>
      </c>
      <c r="D548" s="10" t="s">
        <v>235</v>
      </c>
      <c r="E548" s="10" t="s">
        <v>236</v>
      </c>
      <c r="F548" s="10" t="s">
        <v>104</v>
      </c>
      <c r="G548" s="10" t="s">
        <v>105</v>
      </c>
      <c r="H548" s="10" t="s">
        <v>65</v>
      </c>
      <c r="I548" s="10" t="s">
        <v>16</v>
      </c>
      <c r="J548" s="10" t="s">
        <v>314</v>
      </c>
      <c r="K548" s="10" t="s">
        <v>315</v>
      </c>
      <c r="L548" s="10" t="s">
        <v>67</v>
      </c>
    </row>
    <row r="549" spans="1:12" x14ac:dyDescent="0.25">
      <c r="A549">
        <v>183</v>
      </c>
      <c r="B549" s="10" t="s">
        <v>1006</v>
      </c>
      <c r="C549" s="10" t="s">
        <v>185</v>
      </c>
      <c r="D549" s="10" t="s">
        <v>235</v>
      </c>
      <c r="E549" s="10" t="s">
        <v>236</v>
      </c>
      <c r="F549" s="10" t="s">
        <v>106</v>
      </c>
      <c r="G549" s="10" t="s">
        <v>105</v>
      </c>
      <c r="H549" s="10" t="s">
        <v>65</v>
      </c>
      <c r="I549" s="10" t="s">
        <v>16</v>
      </c>
      <c r="J549" s="10" t="s">
        <v>414</v>
      </c>
      <c r="K549" s="10" t="s">
        <v>415</v>
      </c>
      <c r="L549" s="10" t="s">
        <v>67</v>
      </c>
    </row>
    <row r="550" spans="1:12" x14ac:dyDescent="0.25">
      <c r="A550">
        <v>183</v>
      </c>
      <c r="B550" s="10" t="s">
        <v>1006</v>
      </c>
      <c r="C550" s="10" t="s">
        <v>185</v>
      </c>
      <c r="D550" s="10" t="s">
        <v>235</v>
      </c>
      <c r="E550" s="10" t="s">
        <v>236</v>
      </c>
      <c r="F550" s="10" t="s">
        <v>107</v>
      </c>
      <c r="G550" s="10" t="s">
        <v>105</v>
      </c>
      <c r="H550" s="10" t="s">
        <v>65</v>
      </c>
      <c r="I550" s="10" t="s">
        <v>16</v>
      </c>
      <c r="J550" s="10" t="s">
        <v>355</v>
      </c>
      <c r="K550" s="10" t="s">
        <v>347</v>
      </c>
      <c r="L550" s="10" t="s">
        <v>67</v>
      </c>
    </row>
    <row r="551" spans="1:12" x14ac:dyDescent="0.25">
      <c r="A551">
        <v>183</v>
      </c>
      <c r="B551" s="10" t="s">
        <v>1006</v>
      </c>
      <c r="C551" s="10" t="s">
        <v>185</v>
      </c>
      <c r="D551" s="10" t="s">
        <v>235</v>
      </c>
      <c r="E551" s="10" t="s">
        <v>236</v>
      </c>
      <c r="F551" s="10" t="s">
        <v>108</v>
      </c>
      <c r="G551" s="10" t="s">
        <v>105</v>
      </c>
      <c r="H551" s="10" t="s">
        <v>65</v>
      </c>
      <c r="I551" s="10" t="s">
        <v>16</v>
      </c>
      <c r="J551" s="10" t="s">
        <v>546</v>
      </c>
      <c r="K551" s="10" t="s">
        <v>1011</v>
      </c>
      <c r="L551" s="10" t="s">
        <v>67</v>
      </c>
    </row>
    <row r="552" spans="1:12" x14ac:dyDescent="0.25">
      <c r="A552">
        <v>183</v>
      </c>
      <c r="B552" s="10" t="s">
        <v>1006</v>
      </c>
      <c r="C552" s="10" t="s">
        <v>185</v>
      </c>
      <c r="D552" s="10" t="s">
        <v>235</v>
      </c>
      <c r="E552" s="10" t="s">
        <v>236</v>
      </c>
      <c r="F552" s="10" t="s">
        <v>109</v>
      </c>
      <c r="G552" s="10" t="s">
        <v>105</v>
      </c>
      <c r="H552" s="10" t="s">
        <v>65</v>
      </c>
      <c r="I552" s="10" t="s">
        <v>16</v>
      </c>
      <c r="J552" s="10" t="s">
        <v>314</v>
      </c>
      <c r="K552" s="10" t="s">
        <v>315</v>
      </c>
      <c r="L552" s="10" t="s">
        <v>67</v>
      </c>
    </row>
    <row r="553" spans="1:12" x14ac:dyDescent="0.25">
      <c r="A553">
        <v>183</v>
      </c>
      <c r="B553" s="10" t="s">
        <v>1006</v>
      </c>
      <c r="C553" s="10" t="s">
        <v>185</v>
      </c>
      <c r="D553" s="10" t="s">
        <v>235</v>
      </c>
      <c r="E553" s="10" t="s">
        <v>236</v>
      </c>
      <c r="F553" s="10" t="s">
        <v>110</v>
      </c>
      <c r="G553" s="10" t="s">
        <v>105</v>
      </c>
      <c r="H553" s="10" t="s">
        <v>65</v>
      </c>
      <c r="I553" s="10" t="s">
        <v>16</v>
      </c>
      <c r="J553" s="10" t="s">
        <v>79</v>
      </c>
      <c r="K553" s="10" t="s">
        <v>347</v>
      </c>
      <c r="L553" s="10" t="s">
        <v>67</v>
      </c>
    </row>
    <row r="554" spans="1:12" x14ac:dyDescent="0.25">
      <c r="A554">
        <v>183</v>
      </c>
      <c r="B554" s="10" t="s">
        <v>1006</v>
      </c>
      <c r="C554" s="10" t="s">
        <v>185</v>
      </c>
      <c r="D554" s="10" t="s">
        <v>235</v>
      </c>
      <c r="E554" s="10" t="s">
        <v>236</v>
      </c>
      <c r="F554" s="10" t="s">
        <v>111</v>
      </c>
      <c r="G554" s="10" t="s">
        <v>105</v>
      </c>
      <c r="H554" s="10" t="s">
        <v>65</v>
      </c>
      <c r="I554" s="10" t="s">
        <v>16</v>
      </c>
      <c r="J554" s="10" t="s">
        <v>314</v>
      </c>
      <c r="K554" s="10" t="s">
        <v>315</v>
      </c>
      <c r="L554" s="10" t="s">
        <v>67</v>
      </c>
    </row>
    <row r="555" spans="1:12" x14ac:dyDescent="0.25">
      <c r="A555">
        <v>183</v>
      </c>
      <c r="B555" s="10" t="s">
        <v>1006</v>
      </c>
      <c r="C555" s="10" t="s">
        <v>185</v>
      </c>
      <c r="D555" s="10" t="s">
        <v>235</v>
      </c>
      <c r="E555" s="10" t="s">
        <v>236</v>
      </c>
      <c r="F555" s="10" t="s">
        <v>112</v>
      </c>
      <c r="G555" s="10" t="s">
        <v>105</v>
      </c>
      <c r="H555" s="10" t="s">
        <v>65</v>
      </c>
      <c r="I555" s="10" t="s">
        <v>16</v>
      </c>
      <c r="J555" s="10" t="s">
        <v>314</v>
      </c>
      <c r="K555" s="10" t="s">
        <v>315</v>
      </c>
      <c r="L555" s="10" t="s">
        <v>67</v>
      </c>
    </row>
    <row r="556" spans="1:12" x14ac:dyDescent="0.25">
      <c r="A556">
        <v>183</v>
      </c>
      <c r="B556" s="10" t="s">
        <v>1006</v>
      </c>
      <c r="C556" s="10" t="s">
        <v>185</v>
      </c>
      <c r="D556" s="10" t="s">
        <v>235</v>
      </c>
      <c r="E556" s="10" t="s">
        <v>236</v>
      </c>
      <c r="F556" s="10" t="s">
        <v>113</v>
      </c>
      <c r="G556" s="10" t="s">
        <v>105</v>
      </c>
      <c r="H556" s="10" t="s">
        <v>65</v>
      </c>
      <c r="I556" s="10" t="s">
        <v>16</v>
      </c>
      <c r="J556" s="10" t="s">
        <v>314</v>
      </c>
      <c r="K556" s="10" t="s">
        <v>315</v>
      </c>
      <c r="L556" s="10" t="s">
        <v>67</v>
      </c>
    </row>
    <row r="557" spans="1:12" x14ac:dyDescent="0.25">
      <c r="A557">
        <v>183</v>
      </c>
      <c r="B557" s="10" t="s">
        <v>1006</v>
      </c>
      <c r="C557" s="10" t="s">
        <v>185</v>
      </c>
      <c r="D557" s="10" t="s">
        <v>235</v>
      </c>
      <c r="E557" s="10" t="s">
        <v>236</v>
      </c>
      <c r="F557" s="10" t="s">
        <v>131</v>
      </c>
      <c r="G557" s="10" t="s">
        <v>68</v>
      </c>
      <c r="H557" s="10" t="s">
        <v>65</v>
      </c>
      <c r="I557" s="10" t="s">
        <v>16</v>
      </c>
      <c r="J557" s="10" t="s">
        <v>1012</v>
      </c>
      <c r="K557" s="10" t="s">
        <v>566</v>
      </c>
      <c r="L557" s="10" t="s">
        <v>67</v>
      </c>
    </row>
    <row r="558" spans="1:12" x14ac:dyDescent="0.25">
      <c r="A558">
        <v>183</v>
      </c>
      <c r="B558" s="10" t="s">
        <v>1006</v>
      </c>
      <c r="C558" s="10" t="s">
        <v>185</v>
      </c>
      <c r="D558" s="10" t="s">
        <v>235</v>
      </c>
      <c r="E558" s="10" t="s">
        <v>236</v>
      </c>
      <c r="F558" s="10" t="s">
        <v>184</v>
      </c>
      <c r="G558" s="10" t="s">
        <v>68</v>
      </c>
      <c r="H558" s="10" t="s">
        <v>65</v>
      </c>
      <c r="I558" s="10" t="s">
        <v>16</v>
      </c>
      <c r="J558" s="10" t="s">
        <v>1012</v>
      </c>
      <c r="K558" s="10" t="s">
        <v>566</v>
      </c>
      <c r="L558" s="10" t="s">
        <v>67</v>
      </c>
    </row>
    <row r="559" spans="1:12" x14ac:dyDescent="0.25">
      <c r="A559">
        <v>178</v>
      </c>
      <c r="B559" s="10" t="s">
        <v>1131</v>
      </c>
      <c r="C559" s="10" t="s">
        <v>164</v>
      </c>
      <c r="D559" s="10" t="s">
        <v>260</v>
      </c>
      <c r="E559" s="10" t="s">
        <v>261</v>
      </c>
      <c r="F559" s="10" t="s">
        <v>71</v>
      </c>
      <c r="G559" s="10" t="s">
        <v>68</v>
      </c>
      <c r="H559" s="10" t="s">
        <v>72</v>
      </c>
      <c r="I559" s="10" t="s">
        <v>18</v>
      </c>
      <c r="J559" s="10" t="s">
        <v>54</v>
      </c>
      <c r="K559" s="10" t="s">
        <v>54</v>
      </c>
      <c r="L559" s="10" t="s">
        <v>54</v>
      </c>
    </row>
    <row r="560" spans="1:12" x14ac:dyDescent="0.25">
      <c r="A560">
        <v>178</v>
      </c>
      <c r="B560" s="10" t="s">
        <v>1131</v>
      </c>
      <c r="C560" s="10" t="s">
        <v>164</v>
      </c>
      <c r="D560" s="10" t="s">
        <v>260</v>
      </c>
      <c r="E560" s="10" t="s">
        <v>261</v>
      </c>
      <c r="F560" s="10" t="s">
        <v>73</v>
      </c>
      <c r="G560" s="10" t="s">
        <v>68</v>
      </c>
      <c r="H560" s="10" t="s">
        <v>65</v>
      </c>
      <c r="I560" s="10" t="s">
        <v>16</v>
      </c>
      <c r="J560" s="10" t="s">
        <v>1132</v>
      </c>
      <c r="K560" s="10" t="s">
        <v>1133</v>
      </c>
      <c r="L560" s="10" t="s">
        <v>67</v>
      </c>
    </row>
    <row r="561" spans="1:12" x14ac:dyDescent="0.25">
      <c r="A561">
        <v>178</v>
      </c>
      <c r="B561" s="10" t="s">
        <v>1131</v>
      </c>
      <c r="C561" s="10" t="s">
        <v>164</v>
      </c>
      <c r="D561" s="10" t="s">
        <v>260</v>
      </c>
      <c r="E561" s="10" t="s">
        <v>261</v>
      </c>
      <c r="F561" s="10" t="s">
        <v>74</v>
      </c>
      <c r="G561" s="10" t="s">
        <v>68</v>
      </c>
      <c r="H561" s="10" t="s">
        <v>65</v>
      </c>
      <c r="I561" s="10" t="s">
        <v>16</v>
      </c>
      <c r="J561" s="10" t="s">
        <v>1134</v>
      </c>
      <c r="K561" s="10" t="s">
        <v>1008</v>
      </c>
      <c r="L561" s="10" t="s">
        <v>67</v>
      </c>
    </row>
    <row r="562" spans="1:12" x14ac:dyDescent="0.25">
      <c r="A562">
        <v>178</v>
      </c>
      <c r="B562" s="10" t="s">
        <v>1131</v>
      </c>
      <c r="C562" s="10" t="s">
        <v>164</v>
      </c>
      <c r="D562" s="10" t="s">
        <v>260</v>
      </c>
      <c r="E562" s="10" t="s">
        <v>261</v>
      </c>
      <c r="F562" s="10" t="s">
        <v>75</v>
      </c>
      <c r="G562" s="10" t="s">
        <v>68</v>
      </c>
      <c r="H562" s="10" t="s">
        <v>72</v>
      </c>
      <c r="I562" s="10" t="s">
        <v>18</v>
      </c>
      <c r="J562" s="10" t="s">
        <v>54</v>
      </c>
      <c r="K562" s="10" t="s">
        <v>54</v>
      </c>
      <c r="L562" s="10" t="s">
        <v>54</v>
      </c>
    </row>
    <row r="563" spans="1:12" x14ac:dyDescent="0.25">
      <c r="A563">
        <v>178</v>
      </c>
      <c r="B563" s="10" t="s">
        <v>1131</v>
      </c>
      <c r="C563" s="10" t="s">
        <v>164</v>
      </c>
      <c r="D563" s="10" t="s">
        <v>260</v>
      </c>
      <c r="E563" s="10" t="s">
        <v>261</v>
      </c>
      <c r="F563" s="10" t="s">
        <v>76</v>
      </c>
      <c r="G563" s="10" t="s">
        <v>77</v>
      </c>
      <c r="H563" s="10" t="s">
        <v>65</v>
      </c>
      <c r="I563" s="10" t="s">
        <v>16</v>
      </c>
      <c r="J563" s="10" t="s">
        <v>1135</v>
      </c>
      <c r="K563" s="10" t="s">
        <v>1136</v>
      </c>
      <c r="L563" s="10" t="s">
        <v>67</v>
      </c>
    </row>
    <row r="564" spans="1:12" x14ac:dyDescent="0.25">
      <c r="A564">
        <v>178</v>
      </c>
      <c r="B564" s="10" t="s">
        <v>1131</v>
      </c>
      <c r="C564" s="10" t="s">
        <v>164</v>
      </c>
      <c r="D564" s="10" t="s">
        <v>260</v>
      </c>
      <c r="E564" s="10" t="s">
        <v>261</v>
      </c>
      <c r="F564" s="10" t="s">
        <v>80</v>
      </c>
      <c r="G564" s="10" t="s">
        <v>77</v>
      </c>
      <c r="H564" s="10" t="s">
        <v>65</v>
      </c>
      <c r="I564" s="10" t="s">
        <v>16</v>
      </c>
      <c r="J564" s="10" t="s">
        <v>79</v>
      </c>
      <c r="K564" s="10" t="s">
        <v>449</v>
      </c>
      <c r="L564" s="10" t="s">
        <v>67</v>
      </c>
    </row>
    <row r="565" spans="1:12" x14ac:dyDescent="0.25">
      <c r="A565">
        <v>178</v>
      </c>
      <c r="B565" s="10" t="s">
        <v>1131</v>
      </c>
      <c r="C565" s="10" t="s">
        <v>164</v>
      </c>
      <c r="D565" s="10" t="s">
        <v>260</v>
      </c>
      <c r="E565" s="10" t="s">
        <v>261</v>
      </c>
      <c r="F565" s="10" t="s">
        <v>84</v>
      </c>
      <c r="G565" s="10" t="s">
        <v>83</v>
      </c>
      <c r="H565" s="10" t="s">
        <v>65</v>
      </c>
      <c r="I565" s="10" t="s">
        <v>16</v>
      </c>
      <c r="J565" s="10" t="s">
        <v>861</v>
      </c>
      <c r="K565" s="10" t="s">
        <v>862</v>
      </c>
      <c r="L565" s="10" t="s">
        <v>67</v>
      </c>
    </row>
    <row r="566" spans="1:12" x14ac:dyDescent="0.25">
      <c r="A566">
        <v>178</v>
      </c>
      <c r="B566" s="10" t="s">
        <v>1131</v>
      </c>
      <c r="C566" s="10" t="s">
        <v>164</v>
      </c>
      <c r="D566" s="10" t="s">
        <v>260</v>
      </c>
      <c r="E566" s="10" t="s">
        <v>261</v>
      </c>
      <c r="F566" s="10" t="s">
        <v>93</v>
      </c>
      <c r="G566" s="10" t="s">
        <v>94</v>
      </c>
      <c r="H566" s="10" t="s">
        <v>65</v>
      </c>
      <c r="I566" s="10" t="s">
        <v>16</v>
      </c>
      <c r="J566" s="10" t="s">
        <v>861</v>
      </c>
      <c r="K566" s="10" t="s">
        <v>862</v>
      </c>
      <c r="L566" s="10" t="s">
        <v>67</v>
      </c>
    </row>
    <row r="567" spans="1:12" x14ac:dyDescent="0.25">
      <c r="A567">
        <v>178</v>
      </c>
      <c r="B567" s="10" t="s">
        <v>1131</v>
      </c>
      <c r="C567" s="10" t="s">
        <v>164</v>
      </c>
      <c r="D567" s="10" t="s">
        <v>260</v>
      </c>
      <c r="E567" s="10" t="s">
        <v>261</v>
      </c>
      <c r="F567" s="10" t="s">
        <v>95</v>
      </c>
      <c r="G567" s="10" t="s">
        <v>94</v>
      </c>
      <c r="H567" s="10" t="s">
        <v>65</v>
      </c>
      <c r="I567" s="10" t="s">
        <v>16</v>
      </c>
      <c r="J567" s="10" t="s">
        <v>861</v>
      </c>
      <c r="K567" s="10" t="s">
        <v>862</v>
      </c>
      <c r="L567" s="10" t="s">
        <v>67</v>
      </c>
    </row>
    <row r="568" spans="1:12" x14ac:dyDescent="0.25">
      <c r="A568">
        <v>178</v>
      </c>
      <c r="B568" s="10" t="s">
        <v>1131</v>
      </c>
      <c r="C568" s="10" t="s">
        <v>164</v>
      </c>
      <c r="D568" s="10" t="s">
        <v>260</v>
      </c>
      <c r="E568" s="10" t="s">
        <v>261</v>
      </c>
      <c r="F568" s="10" t="s">
        <v>97</v>
      </c>
      <c r="G568" s="10" t="s">
        <v>98</v>
      </c>
      <c r="H568" s="10" t="s">
        <v>65</v>
      </c>
      <c r="I568" s="10" t="s">
        <v>16</v>
      </c>
      <c r="J568" s="10" t="s">
        <v>1137</v>
      </c>
      <c r="K568" s="10" t="s">
        <v>529</v>
      </c>
      <c r="L568" s="10" t="s">
        <v>67</v>
      </c>
    </row>
    <row r="569" spans="1:12" x14ac:dyDescent="0.25">
      <c r="A569">
        <v>178</v>
      </c>
      <c r="B569" s="10" t="s">
        <v>1131</v>
      </c>
      <c r="C569" s="10" t="s">
        <v>164</v>
      </c>
      <c r="D569" s="10" t="s">
        <v>260</v>
      </c>
      <c r="E569" s="10" t="s">
        <v>261</v>
      </c>
      <c r="F569" s="10" t="s">
        <v>100</v>
      </c>
      <c r="G569" s="10" t="s">
        <v>98</v>
      </c>
      <c r="H569" s="10" t="s">
        <v>72</v>
      </c>
      <c r="I569" s="10" t="s">
        <v>18</v>
      </c>
      <c r="J569" s="10" t="s">
        <v>54</v>
      </c>
      <c r="K569" s="10" t="s">
        <v>54</v>
      </c>
      <c r="L569" s="10" t="s">
        <v>54</v>
      </c>
    </row>
    <row r="570" spans="1:12" x14ac:dyDescent="0.25">
      <c r="A570">
        <v>178</v>
      </c>
      <c r="B570" s="10" t="s">
        <v>1131</v>
      </c>
      <c r="C570" s="10" t="s">
        <v>164</v>
      </c>
      <c r="D570" s="10" t="s">
        <v>260</v>
      </c>
      <c r="E570" s="10" t="s">
        <v>261</v>
      </c>
      <c r="F570" s="10" t="s">
        <v>101</v>
      </c>
      <c r="G570" s="10" t="s">
        <v>102</v>
      </c>
      <c r="H570" s="10" t="s">
        <v>65</v>
      </c>
      <c r="I570" s="10" t="s">
        <v>16</v>
      </c>
      <c r="J570" s="10" t="s">
        <v>79</v>
      </c>
      <c r="K570" s="10" t="s">
        <v>411</v>
      </c>
      <c r="L570" s="10" t="s">
        <v>67</v>
      </c>
    </row>
    <row r="571" spans="1:12" x14ac:dyDescent="0.25">
      <c r="A571">
        <v>178</v>
      </c>
      <c r="B571" s="10" t="s">
        <v>1131</v>
      </c>
      <c r="C571" s="10" t="s">
        <v>164</v>
      </c>
      <c r="D571" s="10" t="s">
        <v>260</v>
      </c>
      <c r="E571" s="10" t="s">
        <v>261</v>
      </c>
      <c r="F571" s="10" t="s">
        <v>103</v>
      </c>
      <c r="G571" s="10" t="s">
        <v>102</v>
      </c>
      <c r="H571" s="10" t="s">
        <v>65</v>
      </c>
      <c r="I571" s="10" t="s">
        <v>16</v>
      </c>
      <c r="J571" s="10" t="s">
        <v>410</v>
      </c>
      <c r="K571" s="10" t="s">
        <v>411</v>
      </c>
      <c r="L571" s="10" t="s">
        <v>67</v>
      </c>
    </row>
    <row r="572" spans="1:12" x14ac:dyDescent="0.25">
      <c r="A572">
        <v>178</v>
      </c>
      <c r="B572" s="10" t="s">
        <v>1131</v>
      </c>
      <c r="C572" s="10" t="s">
        <v>164</v>
      </c>
      <c r="D572" s="10" t="s">
        <v>260</v>
      </c>
      <c r="E572" s="10" t="s">
        <v>261</v>
      </c>
      <c r="F572" s="10" t="s">
        <v>104</v>
      </c>
      <c r="G572" s="10" t="s">
        <v>105</v>
      </c>
      <c r="H572" s="10" t="s">
        <v>65</v>
      </c>
      <c r="I572" s="10" t="s">
        <v>16</v>
      </c>
      <c r="J572" s="10" t="s">
        <v>499</v>
      </c>
      <c r="K572" s="10" t="s">
        <v>500</v>
      </c>
      <c r="L572" s="10" t="s">
        <v>67</v>
      </c>
    </row>
    <row r="573" spans="1:12" x14ac:dyDescent="0.25">
      <c r="A573">
        <v>178</v>
      </c>
      <c r="B573" s="10" t="s">
        <v>1131</v>
      </c>
      <c r="C573" s="10" t="s">
        <v>164</v>
      </c>
      <c r="D573" s="10" t="s">
        <v>260</v>
      </c>
      <c r="E573" s="10" t="s">
        <v>261</v>
      </c>
      <c r="F573" s="10" t="s">
        <v>106</v>
      </c>
      <c r="G573" s="10" t="s">
        <v>105</v>
      </c>
      <c r="H573" s="10" t="s">
        <v>65</v>
      </c>
      <c r="I573" s="10" t="s">
        <v>16</v>
      </c>
      <c r="J573" s="10" t="s">
        <v>1137</v>
      </c>
      <c r="K573" s="10" t="s">
        <v>529</v>
      </c>
      <c r="L573" s="10" t="s">
        <v>67</v>
      </c>
    </row>
    <row r="574" spans="1:12" x14ac:dyDescent="0.25">
      <c r="A574">
        <v>178</v>
      </c>
      <c r="B574" s="10" t="s">
        <v>1131</v>
      </c>
      <c r="C574" s="10" t="s">
        <v>164</v>
      </c>
      <c r="D574" s="10" t="s">
        <v>260</v>
      </c>
      <c r="E574" s="10" t="s">
        <v>261</v>
      </c>
      <c r="F574" s="10" t="s">
        <v>107</v>
      </c>
      <c r="G574" s="10" t="s">
        <v>105</v>
      </c>
      <c r="H574" s="10" t="s">
        <v>65</v>
      </c>
      <c r="I574" s="10" t="s">
        <v>16</v>
      </c>
      <c r="J574" s="10" t="s">
        <v>528</v>
      </c>
      <c r="K574" s="10" t="s">
        <v>529</v>
      </c>
      <c r="L574" s="10" t="s">
        <v>67</v>
      </c>
    </row>
    <row r="575" spans="1:12" x14ac:dyDescent="0.25">
      <c r="A575">
        <v>178</v>
      </c>
      <c r="B575" s="10" t="s">
        <v>1131</v>
      </c>
      <c r="C575" s="10" t="s">
        <v>164</v>
      </c>
      <c r="D575" s="10" t="s">
        <v>260</v>
      </c>
      <c r="E575" s="10" t="s">
        <v>261</v>
      </c>
      <c r="F575" s="10" t="s">
        <v>108</v>
      </c>
      <c r="G575" s="10" t="s">
        <v>105</v>
      </c>
      <c r="H575" s="10" t="s">
        <v>65</v>
      </c>
      <c r="I575" s="10" t="s">
        <v>24</v>
      </c>
      <c r="J575" s="10" t="s">
        <v>323</v>
      </c>
      <c r="K575" s="10" t="s">
        <v>529</v>
      </c>
      <c r="L575" s="10" t="s">
        <v>67</v>
      </c>
    </row>
    <row r="576" spans="1:12" x14ac:dyDescent="0.25">
      <c r="A576">
        <v>178</v>
      </c>
      <c r="B576" s="10" t="s">
        <v>1131</v>
      </c>
      <c r="C576" s="10" t="s">
        <v>164</v>
      </c>
      <c r="D576" s="10" t="s">
        <v>260</v>
      </c>
      <c r="E576" s="10" t="s">
        <v>261</v>
      </c>
      <c r="F576" s="10" t="s">
        <v>109</v>
      </c>
      <c r="G576" s="10" t="s">
        <v>105</v>
      </c>
      <c r="H576" s="10" t="s">
        <v>65</v>
      </c>
      <c r="I576" s="10" t="s">
        <v>16</v>
      </c>
      <c r="J576" s="10" t="s">
        <v>499</v>
      </c>
      <c r="K576" s="10" t="s">
        <v>500</v>
      </c>
      <c r="L576" s="10" t="s">
        <v>67</v>
      </c>
    </row>
    <row r="577" spans="1:12" x14ac:dyDescent="0.25">
      <c r="A577">
        <v>178</v>
      </c>
      <c r="B577" s="10" t="s">
        <v>1131</v>
      </c>
      <c r="C577" s="10" t="s">
        <v>164</v>
      </c>
      <c r="D577" s="10" t="s">
        <v>260</v>
      </c>
      <c r="E577" s="10" t="s">
        <v>261</v>
      </c>
      <c r="F577" s="10" t="s">
        <v>110</v>
      </c>
      <c r="G577" s="10" t="s">
        <v>105</v>
      </c>
      <c r="H577" s="10" t="s">
        <v>65</v>
      </c>
      <c r="I577" s="10" t="s">
        <v>16</v>
      </c>
      <c r="J577" s="10" t="s">
        <v>79</v>
      </c>
      <c r="K577" s="10" t="s">
        <v>912</v>
      </c>
      <c r="L577" s="10" t="s">
        <v>67</v>
      </c>
    </row>
    <row r="578" spans="1:12" x14ac:dyDescent="0.25">
      <c r="A578">
        <v>178</v>
      </c>
      <c r="B578" s="10" t="s">
        <v>1131</v>
      </c>
      <c r="C578" s="10" t="s">
        <v>164</v>
      </c>
      <c r="D578" s="10" t="s">
        <v>260</v>
      </c>
      <c r="E578" s="10" t="s">
        <v>261</v>
      </c>
      <c r="F578" s="10" t="s">
        <v>111</v>
      </c>
      <c r="G578" s="10" t="s">
        <v>105</v>
      </c>
      <c r="H578" s="10" t="s">
        <v>65</v>
      </c>
      <c r="I578" s="10" t="s">
        <v>16</v>
      </c>
      <c r="J578" s="10" t="s">
        <v>314</v>
      </c>
      <c r="K578" s="10" t="s">
        <v>315</v>
      </c>
      <c r="L578" s="10" t="s">
        <v>67</v>
      </c>
    </row>
    <row r="579" spans="1:12" x14ac:dyDescent="0.25">
      <c r="A579">
        <v>178</v>
      </c>
      <c r="B579" s="10" t="s">
        <v>1131</v>
      </c>
      <c r="C579" s="10" t="s">
        <v>164</v>
      </c>
      <c r="D579" s="10" t="s">
        <v>260</v>
      </c>
      <c r="E579" s="10" t="s">
        <v>261</v>
      </c>
      <c r="F579" s="10" t="s">
        <v>112</v>
      </c>
      <c r="G579" s="10" t="s">
        <v>105</v>
      </c>
      <c r="H579" s="10" t="s">
        <v>65</v>
      </c>
      <c r="I579" s="10" t="s">
        <v>16</v>
      </c>
      <c r="J579" s="10" t="s">
        <v>499</v>
      </c>
      <c r="K579" s="10" t="s">
        <v>500</v>
      </c>
      <c r="L579" s="10" t="s">
        <v>67</v>
      </c>
    </row>
    <row r="580" spans="1:12" x14ac:dyDescent="0.25">
      <c r="A580">
        <v>178</v>
      </c>
      <c r="B580" s="10" t="s">
        <v>1131</v>
      </c>
      <c r="C580" s="10" t="s">
        <v>164</v>
      </c>
      <c r="D580" s="10" t="s">
        <v>260</v>
      </c>
      <c r="E580" s="10" t="s">
        <v>261</v>
      </c>
      <c r="F580" s="10" t="s">
        <v>113</v>
      </c>
      <c r="G580" s="10" t="s">
        <v>105</v>
      </c>
      <c r="H580" s="10" t="s">
        <v>65</v>
      </c>
      <c r="I580" s="10" t="s">
        <v>16</v>
      </c>
      <c r="J580" s="10" t="s">
        <v>783</v>
      </c>
      <c r="K580" s="10" t="s">
        <v>500</v>
      </c>
      <c r="L580" s="10" t="s">
        <v>67</v>
      </c>
    </row>
    <row r="581" spans="1:12" x14ac:dyDescent="0.25">
      <c r="A581">
        <v>178</v>
      </c>
      <c r="B581" s="10" t="s">
        <v>1131</v>
      </c>
      <c r="C581" s="10" t="s">
        <v>164</v>
      </c>
      <c r="D581" s="10" t="s">
        <v>260</v>
      </c>
      <c r="E581" s="10" t="s">
        <v>261</v>
      </c>
      <c r="F581" s="10" t="s">
        <v>124</v>
      </c>
      <c r="G581" s="10" t="s">
        <v>125</v>
      </c>
      <c r="H581" s="10" t="s">
        <v>72</v>
      </c>
      <c r="I581" s="10" t="s">
        <v>18</v>
      </c>
      <c r="J581" s="10" t="s">
        <v>54</v>
      </c>
      <c r="K581" s="10" t="s">
        <v>54</v>
      </c>
      <c r="L581" s="10" t="s">
        <v>54</v>
      </c>
    </row>
    <row r="582" spans="1:12" x14ac:dyDescent="0.25">
      <c r="A582">
        <v>178</v>
      </c>
      <c r="B582" s="10" t="s">
        <v>1131</v>
      </c>
      <c r="C582" s="10" t="s">
        <v>164</v>
      </c>
      <c r="D582" s="10" t="s">
        <v>260</v>
      </c>
      <c r="E582" s="10" t="s">
        <v>261</v>
      </c>
      <c r="F582" s="10" t="s">
        <v>131</v>
      </c>
      <c r="G582" s="10" t="s">
        <v>68</v>
      </c>
      <c r="H582" s="10" t="s">
        <v>72</v>
      </c>
      <c r="I582" s="10" t="s">
        <v>16</v>
      </c>
      <c r="J582" s="10" t="s">
        <v>1138</v>
      </c>
      <c r="K582" s="10" t="s">
        <v>1139</v>
      </c>
      <c r="L582" s="10" t="s">
        <v>67</v>
      </c>
    </row>
    <row r="583" spans="1:12" x14ac:dyDescent="0.25">
      <c r="A583">
        <v>178</v>
      </c>
      <c r="B583" s="10" t="s">
        <v>1131</v>
      </c>
      <c r="C583" s="10" t="s">
        <v>164</v>
      </c>
      <c r="D583" s="10" t="s">
        <v>260</v>
      </c>
      <c r="E583" s="10" t="s">
        <v>261</v>
      </c>
      <c r="F583" s="10" t="s">
        <v>156</v>
      </c>
      <c r="G583" s="10" t="s">
        <v>125</v>
      </c>
      <c r="H583" s="10" t="s">
        <v>65</v>
      </c>
      <c r="I583" s="10" t="s">
        <v>16</v>
      </c>
      <c r="J583" s="10" t="s">
        <v>1140</v>
      </c>
      <c r="K583" s="10" t="s">
        <v>1141</v>
      </c>
      <c r="L583" s="10" t="s">
        <v>67</v>
      </c>
    </row>
    <row r="584" spans="1:12" x14ac:dyDescent="0.25">
      <c r="A584">
        <v>178</v>
      </c>
      <c r="B584" s="10" t="s">
        <v>1131</v>
      </c>
      <c r="C584" s="10" t="s">
        <v>164</v>
      </c>
      <c r="D584" s="10" t="s">
        <v>260</v>
      </c>
      <c r="E584" s="10" t="s">
        <v>261</v>
      </c>
      <c r="F584" s="10" t="s">
        <v>163</v>
      </c>
      <c r="G584" s="10" t="s">
        <v>68</v>
      </c>
      <c r="H584" s="10" t="s">
        <v>65</v>
      </c>
      <c r="I584" s="10" t="s">
        <v>16</v>
      </c>
      <c r="J584" s="10" t="s">
        <v>1142</v>
      </c>
      <c r="K584" s="10" t="s">
        <v>1143</v>
      </c>
      <c r="L584" s="10" t="s">
        <v>54</v>
      </c>
    </row>
    <row r="585" spans="1:12" x14ac:dyDescent="0.25">
      <c r="A585">
        <v>178</v>
      </c>
      <c r="B585" s="10" t="s">
        <v>1131</v>
      </c>
      <c r="C585" s="10" t="s">
        <v>164</v>
      </c>
      <c r="D585" s="10" t="s">
        <v>260</v>
      </c>
      <c r="E585" s="10" t="s">
        <v>261</v>
      </c>
      <c r="F585" s="10" t="s">
        <v>165</v>
      </c>
      <c r="G585" s="10" t="s">
        <v>68</v>
      </c>
      <c r="H585" s="10" t="s">
        <v>72</v>
      </c>
      <c r="I585" s="10" t="s">
        <v>18</v>
      </c>
      <c r="J585" s="10" t="s">
        <v>54</v>
      </c>
      <c r="K585" s="10" t="s">
        <v>54</v>
      </c>
      <c r="L585" s="10" t="s">
        <v>54</v>
      </c>
    </row>
    <row r="586" spans="1:12" x14ac:dyDescent="0.25">
      <c r="A586">
        <v>170</v>
      </c>
      <c r="B586" s="10" t="s">
        <v>575</v>
      </c>
      <c r="C586" s="10" t="s">
        <v>164</v>
      </c>
      <c r="D586" s="10" t="s">
        <v>161</v>
      </c>
      <c r="E586" s="10" t="s">
        <v>162</v>
      </c>
      <c r="F586" s="10" t="s">
        <v>71</v>
      </c>
      <c r="G586" s="10" t="s">
        <v>68</v>
      </c>
      <c r="H586" s="10" t="s">
        <v>72</v>
      </c>
      <c r="I586" s="10" t="s">
        <v>16</v>
      </c>
      <c r="J586" s="10" t="s">
        <v>576</v>
      </c>
      <c r="K586" s="10" t="s">
        <v>577</v>
      </c>
      <c r="L586" s="10" t="s">
        <v>67</v>
      </c>
    </row>
    <row r="587" spans="1:12" x14ac:dyDescent="0.25">
      <c r="A587">
        <v>170</v>
      </c>
      <c r="B587" s="10" t="s">
        <v>575</v>
      </c>
      <c r="C587" s="10" t="s">
        <v>164</v>
      </c>
      <c r="D587" s="10" t="s">
        <v>161</v>
      </c>
      <c r="E587" s="10" t="s">
        <v>162</v>
      </c>
      <c r="F587" s="10" t="s">
        <v>73</v>
      </c>
      <c r="G587" s="10" t="s">
        <v>68</v>
      </c>
      <c r="H587" s="10" t="s">
        <v>65</v>
      </c>
      <c r="I587" s="10" t="s">
        <v>16</v>
      </c>
      <c r="J587" s="10" t="s">
        <v>578</v>
      </c>
      <c r="K587" s="10" t="s">
        <v>579</v>
      </c>
      <c r="L587" s="10" t="s">
        <v>67</v>
      </c>
    </row>
    <row r="588" spans="1:12" x14ac:dyDescent="0.25">
      <c r="A588">
        <v>170</v>
      </c>
      <c r="B588" s="10" t="s">
        <v>575</v>
      </c>
      <c r="C588" s="10" t="s">
        <v>164</v>
      </c>
      <c r="D588" s="10" t="s">
        <v>161</v>
      </c>
      <c r="E588" s="10" t="s">
        <v>162</v>
      </c>
      <c r="F588" s="10" t="s">
        <v>74</v>
      </c>
      <c r="G588" s="10" t="s">
        <v>68</v>
      </c>
      <c r="H588" s="10" t="s">
        <v>65</v>
      </c>
      <c r="I588" s="10" t="s">
        <v>16</v>
      </c>
      <c r="J588" s="10" t="s">
        <v>580</v>
      </c>
      <c r="K588" s="10" t="s">
        <v>581</v>
      </c>
      <c r="L588" s="10" t="s">
        <v>67</v>
      </c>
    </row>
    <row r="589" spans="1:12" x14ac:dyDescent="0.25">
      <c r="A589">
        <v>170</v>
      </c>
      <c r="B589" s="10" t="s">
        <v>575</v>
      </c>
      <c r="C589" s="10" t="s">
        <v>164</v>
      </c>
      <c r="D589" s="10" t="s">
        <v>161</v>
      </c>
      <c r="E589" s="10" t="s">
        <v>162</v>
      </c>
      <c r="F589" s="10" t="s">
        <v>75</v>
      </c>
      <c r="G589" s="10" t="s">
        <v>68</v>
      </c>
      <c r="H589" s="10" t="s">
        <v>72</v>
      </c>
      <c r="I589" s="10" t="s">
        <v>24</v>
      </c>
      <c r="J589" s="10" t="s">
        <v>326</v>
      </c>
      <c r="K589" s="10" t="s">
        <v>582</v>
      </c>
      <c r="L589" s="10" t="s">
        <v>67</v>
      </c>
    </row>
    <row r="590" spans="1:12" x14ac:dyDescent="0.25">
      <c r="A590">
        <v>170</v>
      </c>
      <c r="B590" s="10" t="s">
        <v>575</v>
      </c>
      <c r="C590" s="10" t="s">
        <v>164</v>
      </c>
      <c r="D590" s="10" t="s">
        <v>161</v>
      </c>
      <c r="E590" s="10" t="s">
        <v>162</v>
      </c>
      <c r="F590" s="10" t="s">
        <v>76</v>
      </c>
      <c r="G590" s="10" t="s">
        <v>77</v>
      </c>
      <c r="H590" s="10" t="s">
        <v>65</v>
      </c>
      <c r="I590" s="10" t="s">
        <v>16</v>
      </c>
      <c r="J590" s="10" t="s">
        <v>583</v>
      </c>
      <c r="K590" s="10" t="s">
        <v>584</v>
      </c>
      <c r="L590" s="10" t="s">
        <v>67</v>
      </c>
    </row>
    <row r="591" spans="1:12" x14ac:dyDescent="0.25">
      <c r="A591">
        <v>170</v>
      </c>
      <c r="B591" s="10" t="s">
        <v>575</v>
      </c>
      <c r="C591" s="10" t="s">
        <v>164</v>
      </c>
      <c r="D591" s="10" t="s">
        <v>161</v>
      </c>
      <c r="E591" s="10" t="s">
        <v>162</v>
      </c>
      <c r="F591" s="10" t="s">
        <v>80</v>
      </c>
      <c r="G591" s="10" t="s">
        <v>77</v>
      </c>
      <c r="H591" s="10" t="s">
        <v>65</v>
      </c>
      <c r="I591" s="10" t="s">
        <v>16</v>
      </c>
      <c r="J591" s="10" t="s">
        <v>79</v>
      </c>
      <c r="K591" s="10" t="s">
        <v>442</v>
      </c>
      <c r="L591" s="10" t="s">
        <v>67</v>
      </c>
    </row>
    <row r="592" spans="1:12" x14ac:dyDescent="0.25">
      <c r="A592">
        <v>170</v>
      </c>
      <c r="B592" s="10" t="s">
        <v>575</v>
      </c>
      <c r="C592" s="10" t="s">
        <v>164</v>
      </c>
      <c r="D592" s="10" t="s">
        <v>161</v>
      </c>
      <c r="E592" s="10" t="s">
        <v>162</v>
      </c>
      <c r="F592" s="10" t="s">
        <v>84</v>
      </c>
      <c r="G592" s="10" t="s">
        <v>83</v>
      </c>
      <c r="H592" s="10" t="s">
        <v>65</v>
      </c>
      <c r="I592" s="10" t="s">
        <v>16</v>
      </c>
      <c r="J592" s="10" t="s">
        <v>510</v>
      </c>
      <c r="K592" s="10" t="s">
        <v>511</v>
      </c>
      <c r="L592" s="10" t="s">
        <v>67</v>
      </c>
    </row>
    <row r="593" spans="1:12" x14ac:dyDescent="0.25">
      <c r="A593">
        <v>170</v>
      </c>
      <c r="B593" s="10" t="s">
        <v>575</v>
      </c>
      <c r="C593" s="10" t="s">
        <v>164</v>
      </c>
      <c r="D593" s="10" t="s">
        <v>161</v>
      </c>
      <c r="E593" s="10" t="s">
        <v>162</v>
      </c>
      <c r="F593" s="10" t="s">
        <v>93</v>
      </c>
      <c r="G593" s="10" t="s">
        <v>94</v>
      </c>
      <c r="H593" s="10" t="s">
        <v>65</v>
      </c>
      <c r="I593" s="10" t="s">
        <v>16</v>
      </c>
      <c r="J593" s="10" t="s">
        <v>412</v>
      </c>
      <c r="K593" s="10" t="s">
        <v>413</v>
      </c>
      <c r="L593" s="10" t="s">
        <v>67</v>
      </c>
    </row>
    <row r="594" spans="1:12" x14ac:dyDescent="0.25">
      <c r="A594">
        <v>170</v>
      </c>
      <c r="B594" s="10" t="s">
        <v>575</v>
      </c>
      <c r="C594" s="10" t="s">
        <v>164</v>
      </c>
      <c r="D594" s="10" t="s">
        <v>161</v>
      </c>
      <c r="E594" s="10" t="s">
        <v>162</v>
      </c>
      <c r="F594" s="10" t="s">
        <v>95</v>
      </c>
      <c r="G594" s="10" t="s">
        <v>94</v>
      </c>
      <c r="H594" s="10" t="s">
        <v>65</v>
      </c>
      <c r="I594" s="10" t="s">
        <v>16</v>
      </c>
      <c r="J594" s="10" t="s">
        <v>412</v>
      </c>
      <c r="K594" s="10" t="s">
        <v>413</v>
      </c>
      <c r="L594" s="10" t="s">
        <v>67</v>
      </c>
    </row>
    <row r="595" spans="1:12" x14ac:dyDescent="0.25">
      <c r="A595">
        <v>170</v>
      </c>
      <c r="B595" s="10" t="s">
        <v>575</v>
      </c>
      <c r="C595" s="10" t="s">
        <v>164</v>
      </c>
      <c r="D595" s="10" t="s">
        <v>161</v>
      </c>
      <c r="E595" s="10" t="s">
        <v>162</v>
      </c>
      <c r="F595" s="10" t="s">
        <v>97</v>
      </c>
      <c r="G595" s="10" t="s">
        <v>98</v>
      </c>
      <c r="H595" s="10" t="s">
        <v>65</v>
      </c>
      <c r="I595" s="10" t="s">
        <v>16</v>
      </c>
      <c r="J595" s="10" t="s">
        <v>585</v>
      </c>
      <c r="K595" s="10" t="s">
        <v>586</v>
      </c>
      <c r="L595" s="10" t="s">
        <v>67</v>
      </c>
    </row>
    <row r="596" spans="1:12" x14ac:dyDescent="0.25">
      <c r="A596">
        <v>170</v>
      </c>
      <c r="B596" s="10" t="s">
        <v>575</v>
      </c>
      <c r="C596" s="10" t="s">
        <v>164</v>
      </c>
      <c r="D596" s="10" t="s">
        <v>161</v>
      </c>
      <c r="E596" s="10" t="s">
        <v>162</v>
      </c>
      <c r="F596" s="10" t="s">
        <v>100</v>
      </c>
      <c r="G596" s="10" t="s">
        <v>98</v>
      </c>
      <c r="H596" s="10" t="s">
        <v>72</v>
      </c>
      <c r="I596" s="10" t="s">
        <v>16</v>
      </c>
      <c r="J596" s="10" t="s">
        <v>587</v>
      </c>
      <c r="K596" s="10" t="s">
        <v>588</v>
      </c>
      <c r="L596" s="10" t="s">
        <v>67</v>
      </c>
    </row>
    <row r="597" spans="1:12" x14ac:dyDescent="0.25">
      <c r="A597">
        <v>170</v>
      </c>
      <c r="B597" s="10" t="s">
        <v>575</v>
      </c>
      <c r="C597" s="10" t="s">
        <v>164</v>
      </c>
      <c r="D597" s="10" t="s">
        <v>161</v>
      </c>
      <c r="E597" s="10" t="s">
        <v>162</v>
      </c>
      <c r="F597" s="10" t="s">
        <v>101</v>
      </c>
      <c r="G597" s="10" t="s">
        <v>102</v>
      </c>
      <c r="H597" s="10" t="s">
        <v>65</v>
      </c>
      <c r="I597" s="10" t="s">
        <v>16</v>
      </c>
      <c r="J597" s="10" t="s">
        <v>79</v>
      </c>
      <c r="K597" s="10" t="s">
        <v>383</v>
      </c>
      <c r="L597" s="10" t="s">
        <v>67</v>
      </c>
    </row>
    <row r="598" spans="1:12" x14ac:dyDescent="0.25">
      <c r="A598">
        <v>170</v>
      </c>
      <c r="B598" s="10" t="s">
        <v>575</v>
      </c>
      <c r="C598" s="10" t="s">
        <v>164</v>
      </c>
      <c r="D598" s="10" t="s">
        <v>161</v>
      </c>
      <c r="E598" s="10" t="s">
        <v>162</v>
      </c>
      <c r="F598" s="10" t="s">
        <v>103</v>
      </c>
      <c r="G598" s="10" t="s">
        <v>102</v>
      </c>
      <c r="H598" s="10" t="s">
        <v>65</v>
      </c>
      <c r="I598" s="10" t="s">
        <v>16</v>
      </c>
      <c r="J598" s="10" t="s">
        <v>416</v>
      </c>
      <c r="K598" s="10" t="s">
        <v>417</v>
      </c>
      <c r="L598" s="10" t="s">
        <v>67</v>
      </c>
    </row>
    <row r="599" spans="1:12" x14ac:dyDescent="0.25">
      <c r="A599">
        <v>170</v>
      </c>
      <c r="B599" s="10" t="s">
        <v>575</v>
      </c>
      <c r="C599" s="10" t="s">
        <v>164</v>
      </c>
      <c r="D599" s="10" t="s">
        <v>161</v>
      </c>
      <c r="E599" s="10" t="s">
        <v>162</v>
      </c>
      <c r="F599" s="10" t="s">
        <v>104</v>
      </c>
      <c r="G599" s="10" t="s">
        <v>105</v>
      </c>
      <c r="H599" s="10" t="s">
        <v>65</v>
      </c>
      <c r="I599" s="10" t="s">
        <v>16</v>
      </c>
      <c r="J599" s="10" t="s">
        <v>589</v>
      </c>
      <c r="K599" s="10" t="s">
        <v>590</v>
      </c>
      <c r="L599" s="10" t="s">
        <v>67</v>
      </c>
    </row>
    <row r="600" spans="1:12" x14ac:dyDescent="0.25">
      <c r="A600">
        <v>170</v>
      </c>
      <c r="B600" s="10" t="s">
        <v>575</v>
      </c>
      <c r="C600" s="10" t="s">
        <v>164</v>
      </c>
      <c r="D600" s="10" t="s">
        <v>161</v>
      </c>
      <c r="E600" s="10" t="s">
        <v>162</v>
      </c>
      <c r="F600" s="10" t="s">
        <v>106</v>
      </c>
      <c r="G600" s="10" t="s">
        <v>105</v>
      </c>
      <c r="H600" s="10" t="s">
        <v>65</v>
      </c>
      <c r="I600" s="10" t="s">
        <v>16</v>
      </c>
      <c r="J600" s="10" t="s">
        <v>585</v>
      </c>
      <c r="K600" s="10" t="s">
        <v>586</v>
      </c>
      <c r="L600" s="10" t="s">
        <v>67</v>
      </c>
    </row>
    <row r="601" spans="1:12" x14ac:dyDescent="0.25">
      <c r="A601">
        <v>170</v>
      </c>
      <c r="B601" s="10" t="s">
        <v>575</v>
      </c>
      <c r="C601" s="10" t="s">
        <v>164</v>
      </c>
      <c r="D601" s="10" t="s">
        <v>161</v>
      </c>
      <c r="E601" s="10" t="s">
        <v>162</v>
      </c>
      <c r="F601" s="10" t="s">
        <v>107</v>
      </c>
      <c r="G601" s="10" t="s">
        <v>105</v>
      </c>
      <c r="H601" s="10" t="s">
        <v>65</v>
      </c>
      <c r="I601" s="10" t="s">
        <v>16</v>
      </c>
      <c r="J601" s="10" t="s">
        <v>591</v>
      </c>
      <c r="K601" s="10" t="s">
        <v>586</v>
      </c>
      <c r="L601" s="10" t="s">
        <v>67</v>
      </c>
    </row>
    <row r="602" spans="1:12" x14ac:dyDescent="0.25">
      <c r="A602">
        <v>170</v>
      </c>
      <c r="B602" s="10" t="s">
        <v>575</v>
      </c>
      <c r="C602" s="10" t="s">
        <v>164</v>
      </c>
      <c r="D602" s="10" t="s">
        <v>161</v>
      </c>
      <c r="E602" s="10" t="s">
        <v>162</v>
      </c>
      <c r="F602" s="10" t="s">
        <v>108</v>
      </c>
      <c r="G602" s="10" t="s">
        <v>105</v>
      </c>
      <c r="H602" s="10" t="s">
        <v>65</v>
      </c>
      <c r="I602" s="10" t="s">
        <v>16</v>
      </c>
      <c r="J602" s="10" t="s">
        <v>592</v>
      </c>
      <c r="K602" s="10" t="s">
        <v>593</v>
      </c>
      <c r="L602" s="10" t="s">
        <v>67</v>
      </c>
    </row>
    <row r="603" spans="1:12" x14ac:dyDescent="0.25">
      <c r="A603">
        <v>170</v>
      </c>
      <c r="B603" s="10" t="s">
        <v>575</v>
      </c>
      <c r="C603" s="10" t="s">
        <v>164</v>
      </c>
      <c r="D603" s="10" t="s">
        <v>161</v>
      </c>
      <c r="E603" s="10" t="s">
        <v>162</v>
      </c>
      <c r="F603" s="10" t="s">
        <v>109</v>
      </c>
      <c r="G603" s="10" t="s">
        <v>105</v>
      </c>
      <c r="H603" s="10" t="s">
        <v>65</v>
      </c>
      <c r="I603" s="10" t="s">
        <v>16</v>
      </c>
      <c r="J603" s="10" t="s">
        <v>589</v>
      </c>
      <c r="K603" s="10" t="s">
        <v>590</v>
      </c>
      <c r="L603" s="10" t="s">
        <v>67</v>
      </c>
    </row>
    <row r="604" spans="1:12" x14ac:dyDescent="0.25">
      <c r="A604">
        <v>170</v>
      </c>
      <c r="B604" s="10" t="s">
        <v>575</v>
      </c>
      <c r="C604" s="10" t="s">
        <v>164</v>
      </c>
      <c r="D604" s="10" t="s">
        <v>161</v>
      </c>
      <c r="E604" s="10" t="s">
        <v>162</v>
      </c>
      <c r="F604" s="10" t="s">
        <v>110</v>
      </c>
      <c r="G604" s="10" t="s">
        <v>105</v>
      </c>
      <c r="H604" s="10" t="s">
        <v>65</v>
      </c>
      <c r="I604" s="10" t="s">
        <v>16</v>
      </c>
      <c r="J604" s="10" t="s">
        <v>79</v>
      </c>
      <c r="K604" s="10" t="s">
        <v>594</v>
      </c>
      <c r="L604" s="10" t="s">
        <v>67</v>
      </c>
    </row>
    <row r="605" spans="1:12" x14ac:dyDescent="0.25">
      <c r="A605">
        <v>170</v>
      </c>
      <c r="B605" s="10" t="s">
        <v>575</v>
      </c>
      <c r="C605" s="10" t="s">
        <v>164</v>
      </c>
      <c r="D605" s="10" t="s">
        <v>161</v>
      </c>
      <c r="E605" s="10" t="s">
        <v>162</v>
      </c>
      <c r="F605" s="10" t="s">
        <v>111</v>
      </c>
      <c r="G605" s="10" t="s">
        <v>105</v>
      </c>
      <c r="H605" s="10" t="s">
        <v>65</v>
      </c>
      <c r="I605" s="10" t="s">
        <v>16</v>
      </c>
      <c r="J605" s="10" t="s">
        <v>510</v>
      </c>
      <c r="K605" s="10" t="s">
        <v>511</v>
      </c>
      <c r="L605" s="10" t="s">
        <v>67</v>
      </c>
    </row>
    <row r="606" spans="1:12" x14ac:dyDescent="0.25">
      <c r="A606">
        <v>170</v>
      </c>
      <c r="B606" s="10" t="s">
        <v>575</v>
      </c>
      <c r="C606" s="10" t="s">
        <v>164</v>
      </c>
      <c r="D606" s="10" t="s">
        <v>161</v>
      </c>
      <c r="E606" s="10" t="s">
        <v>162</v>
      </c>
      <c r="F606" s="10" t="s">
        <v>112</v>
      </c>
      <c r="G606" s="10" t="s">
        <v>105</v>
      </c>
      <c r="H606" s="10" t="s">
        <v>65</v>
      </c>
      <c r="I606" s="10" t="s">
        <v>16</v>
      </c>
      <c r="J606" s="10" t="s">
        <v>425</v>
      </c>
      <c r="K606" s="10" t="s">
        <v>426</v>
      </c>
      <c r="L606" s="10" t="s">
        <v>67</v>
      </c>
    </row>
    <row r="607" spans="1:12" x14ac:dyDescent="0.25">
      <c r="A607">
        <v>170</v>
      </c>
      <c r="B607" s="10" t="s">
        <v>575</v>
      </c>
      <c r="C607" s="10" t="s">
        <v>164</v>
      </c>
      <c r="D607" s="10" t="s">
        <v>161</v>
      </c>
      <c r="E607" s="10" t="s">
        <v>162</v>
      </c>
      <c r="F607" s="10" t="s">
        <v>113</v>
      </c>
      <c r="G607" s="10" t="s">
        <v>105</v>
      </c>
      <c r="H607" s="10" t="s">
        <v>65</v>
      </c>
      <c r="I607" s="10" t="s">
        <v>16</v>
      </c>
      <c r="J607" s="10" t="s">
        <v>281</v>
      </c>
      <c r="K607" s="10" t="s">
        <v>282</v>
      </c>
      <c r="L607" s="10" t="s">
        <v>67</v>
      </c>
    </row>
    <row r="608" spans="1:12" x14ac:dyDescent="0.25">
      <c r="A608">
        <v>170</v>
      </c>
      <c r="B608" s="10" t="s">
        <v>575</v>
      </c>
      <c r="C608" s="10" t="s">
        <v>164</v>
      </c>
      <c r="D608" s="10" t="s">
        <v>161</v>
      </c>
      <c r="E608" s="10" t="s">
        <v>162</v>
      </c>
      <c r="F608" s="10" t="s">
        <v>124</v>
      </c>
      <c r="G608" s="10" t="s">
        <v>125</v>
      </c>
      <c r="H608" s="10" t="s">
        <v>72</v>
      </c>
      <c r="I608" s="10" t="s">
        <v>16</v>
      </c>
      <c r="J608" s="10" t="s">
        <v>595</v>
      </c>
      <c r="K608" s="10" t="s">
        <v>294</v>
      </c>
      <c r="L608" s="10" t="s">
        <v>67</v>
      </c>
    </row>
    <row r="609" spans="1:12" x14ac:dyDescent="0.25">
      <c r="A609">
        <v>170</v>
      </c>
      <c r="B609" s="10" t="s">
        <v>575</v>
      </c>
      <c r="C609" s="10" t="s">
        <v>164</v>
      </c>
      <c r="D609" s="10" t="s">
        <v>161</v>
      </c>
      <c r="E609" s="10" t="s">
        <v>162</v>
      </c>
      <c r="F609" s="10" t="s">
        <v>131</v>
      </c>
      <c r="G609" s="10" t="s">
        <v>68</v>
      </c>
      <c r="H609" s="10" t="s">
        <v>72</v>
      </c>
      <c r="I609" s="10" t="s">
        <v>16</v>
      </c>
      <c r="J609" s="10" t="s">
        <v>596</v>
      </c>
      <c r="K609" s="10" t="s">
        <v>276</v>
      </c>
      <c r="L609" s="10" t="s">
        <v>54</v>
      </c>
    </row>
    <row r="610" spans="1:12" x14ac:dyDescent="0.25">
      <c r="A610">
        <v>170</v>
      </c>
      <c r="B610" s="10" t="s">
        <v>575</v>
      </c>
      <c r="C610" s="10" t="s">
        <v>164</v>
      </c>
      <c r="D610" s="10" t="s">
        <v>161</v>
      </c>
      <c r="E610" s="10" t="s">
        <v>162</v>
      </c>
      <c r="F610" s="10" t="s">
        <v>156</v>
      </c>
      <c r="G610" s="10" t="s">
        <v>125</v>
      </c>
      <c r="H610" s="10" t="s">
        <v>65</v>
      </c>
      <c r="I610" s="10" t="s">
        <v>16</v>
      </c>
      <c r="J610" s="10" t="s">
        <v>595</v>
      </c>
      <c r="K610" s="10" t="s">
        <v>294</v>
      </c>
      <c r="L610" s="10" t="s">
        <v>54</v>
      </c>
    </row>
    <row r="611" spans="1:12" x14ac:dyDescent="0.25">
      <c r="A611">
        <v>170</v>
      </c>
      <c r="B611" s="10" t="s">
        <v>575</v>
      </c>
      <c r="C611" s="10" t="s">
        <v>164</v>
      </c>
      <c r="D611" s="10" t="s">
        <v>161</v>
      </c>
      <c r="E611" s="10" t="s">
        <v>162</v>
      </c>
      <c r="F611" s="10" t="s">
        <v>163</v>
      </c>
      <c r="G611" s="10" t="s">
        <v>68</v>
      </c>
      <c r="H611" s="10" t="s">
        <v>65</v>
      </c>
      <c r="I611" s="10" t="s">
        <v>16</v>
      </c>
      <c r="J611" s="10" t="s">
        <v>597</v>
      </c>
      <c r="K611" s="10" t="s">
        <v>598</v>
      </c>
      <c r="L611" s="10" t="s">
        <v>54</v>
      </c>
    </row>
    <row r="612" spans="1:12" x14ac:dyDescent="0.25">
      <c r="A612">
        <v>170</v>
      </c>
      <c r="B612" s="10" t="s">
        <v>575</v>
      </c>
      <c r="C612" s="10" t="s">
        <v>164</v>
      </c>
      <c r="D612" s="10" t="s">
        <v>161</v>
      </c>
      <c r="E612" s="10" t="s">
        <v>162</v>
      </c>
      <c r="F612" s="10" t="s">
        <v>165</v>
      </c>
      <c r="G612" s="10" t="s">
        <v>68</v>
      </c>
      <c r="H612" s="10" t="s">
        <v>72</v>
      </c>
      <c r="I612" s="10" t="s">
        <v>16</v>
      </c>
      <c r="J612" s="10" t="s">
        <v>79</v>
      </c>
      <c r="K612" s="10" t="s">
        <v>403</v>
      </c>
      <c r="L612" s="10" t="s">
        <v>67</v>
      </c>
    </row>
    <row r="613" spans="1:12" x14ac:dyDescent="0.25">
      <c r="A613">
        <v>167</v>
      </c>
      <c r="B613" s="10" t="s">
        <v>878</v>
      </c>
      <c r="C613" s="10" t="s">
        <v>155</v>
      </c>
      <c r="D613" s="10" t="s">
        <v>211</v>
      </c>
      <c r="E613" s="10" t="s">
        <v>212</v>
      </c>
      <c r="F613" s="10" t="s">
        <v>71</v>
      </c>
      <c r="G613" s="10" t="s">
        <v>68</v>
      </c>
      <c r="H613" s="10" t="s">
        <v>72</v>
      </c>
      <c r="I613" s="10" t="s">
        <v>18</v>
      </c>
      <c r="J613" s="10" t="s">
        <v>54</v>
      </c>
      <c r="K613" s="10" t="s">
        <v>54</v>
      </c>
      <c r="L613" s="10" t="s">
        <v>54</v>
      </c>
    </row>
    <row r="614" spans="1:12" x14ac:dyDescent="0.25">
      <c r="A614">
        <v>167</v>
      </c>
      <c r="B614" s="10" t="s">
        <v>878</v>
      </c>
      <c r="C614" s="10" t="s">
        <v>155</v>
      </c>
      <c r="D614" s="10" t="s">
        <v>211</v>
      </c>
      <c r="E614" s="10" t="s">
        <v>212</v>
      </c>
      <c r="F614" s="10" t="s">
        <v>73</v>
      </c>
      <c r="G614" s="10" t="s">
        <v>68</v>
      </c>
      <c r="H614" s="10" t="s">
        <v>65</v>
      </c>
      <c r="I614" s="10" t="s">
        <v>16</v>
      </c>
      <c r="J614" s="10" t="s">
        <v>879</v>
      </c>
      <c r="K614" s="10" t="s">
        <v>880</v>
      </c>
      <c r="L614" s="10" t="s">
        <v>67</v>
      </c>
    </row>
    <row r="615" spans="1:12" x14ac:dyDescent="0.25">
      <c r="A615">
        <v>167</v>
      </c>
      <c r="B615" s="10" t="s">
        <v>878</v>
      </c>
      <c r="C615" s="10" t="s">
        <v>155</v>
      </c>
      <c r="D615" s="10" t="s">
        <v>211</v>
      </c>
      <c r="E615" s="10" t="s">
        <v>212</v>
      </c>
      <c r="F615" s="10" t="s">
        <v>74</v>
      </c>
      <c r="G615" s="10" t="s">
        <v>68</v>
      </c>
      <c r="H615" s="10" t="s">
        <v>65</v>
      </c>
      <c r="I615" s="10" t="s">
        <v>16</v>
      </c>
      <c r="J615" s="10" t="s">
        <v>881</v>
      </c>
      <c r="K615" s="10" t="s">
        <v>882</v>
      </c>
      <c r="L615" s="10" t="s">
        <v>67</v>
      </c>
    </row>
    <row r="616" spans="1:12" x14ac:dyDescent="0.25">
      <c r="A616">
        <v>167</v>
      </c>
      <c r="B616" s="10" t="s">
        <v>878</v>
      </c>
      <c r="C616" s="10" t="s">
        <v>155</v>
      </c>
      <c r="D616" s="10" t="s">
        <v>211</v>
      </c>
      <c r="E616" s="10" t="s">
        <v>212</v>
      </c>
      <c r="F616" s="10" t="s">
        <v>75</v>
      </c>
      <c r="G616" s="10" t="s">
        <v>68</v>
      </c>
      <c r="H616" s="10" t="s">
        <v>72</v>
      </c>
      <c r="I616" s="10" t="s">
        <v>18</v>
      </c>
      <c r="J616" s="10" t="s">
        <v>54</v>
      </c>
      <c r="K616" s="10" t="s">
        <v>54</v>
      </c>
      <c r="L616" s="10" t="s">
        <v>54</v>
      </c>
    </row>
    <row r="617" spans="1:12" x14ac:dyDescent="0.25">
      <c r="A617">
        <v>167</v>
      </c>
      <c r="B617" s="10" t="s">
        <v>878</v>
      </c>
      <c r="C617" s="10" t="s">
        <v>155</v>
      </c>
      <c r="D617" s="10" t="s">
        <v>211</v>
      </c>
      <c r="E617" s="10" t="s">
        <v>212</v>
      </c>
      <c r="F617" s="10" t="s">
        <v>76</v>
      </c>
      <c r="G617" s="10" t="s">
        <v>77</v>
      </c>
      <c r="H617" s="10" t="s">
        <v>65</v>
      </c>
      <c r="I617" s="10" t="s">
        <v>16</v>
      </c>
      <c r="J617" s="10" t="s">
        <v>883</v>
      </c>
      <c r="K617" s="10" t="s">
        <v>884</v>
      </c>
      <c r="L617" s="10" t="s">
        <v>67</v>
      </c>
    </row>
    <row r="618" spans="1:12" x14ac:dyDescent="0.25">
      <c r="A618">
        <v>167</v>
      </c>
      <c r="B618" s="10" t="s">
        <v>878</v>
      </c>
      <c r="C618" s="10" t="s">
        <v>155</v>
      </c>
      <c r="D618" s="10" t="s">
        <v>211</v>
      </c>
      <c r="E618" s="10" t="s">
        <v>212</v>
      </c>
      <c r="F618" s="10" t="s">
        <v>80</v>
      </c>
      <c r="G618" s="10" t="s">
        <v>77</v>
      </c>
      <c r="H618" s="10" t="s">
        <v>65</v>
      </c>
      <c r="I618" s="10" t="s">
        <v>16</v>
      </c>
      <c r="J618" s="10" t="s">
        <v>79</v>
      </c>
      <c r="K618" s="10" t="s">
        <v>885</v>
      </c>
      <c r="L618" s="10" t="s">
        <v>67</v>
      </c>
    </row>
    <row r="619" spans="1:12" x14ac:dyDescent="0.25">
      <c r="A619">
        <v>167</v>
      </c>
      <c r="B619" s="10" t="s">
        <v>878</v>
      </c>
      <c r="C619" s="10" t="s">
        <v>155</v>
      </c>
      <c r="D619" s="10" t="s">
        <v>211</v>
      </c>
      <c r="E619" s="10" t="s">
        <v>212</v>
      </c>
      <c r="F619" s="10" t="s">
        <v>84</v>
      </c>
      <c r="G619" s="10" t="s">
        <v>83</v>
      </c>
      <c r="H619" s="10" t="s">
        <v>65</v>
      </c>
      <c r="I619" s="10" t="s">
        <v>16</v>
      </c>
      <c r="J619" s="10" t="s">
        <v>886</v>
      </c>
      <c r="K619" s="10" t="s">
        <v>887</v>
      </c>
      <c r="L619" s="10" t="s">
        <v>67</v>
      </c>
    </row>
    <row r="620" spans="1:12" x14ac:dyDescent="0.25">
      <c r="A620">
        <v>167</v>
      </c>
      <c r="B620" s="10" t="s">
        <v>878</v>
      </c>
      <c r="C620" s="10" t="s">
        <v>155</v>
      </c>
      <c r="D620" s="10" t="s">
        <v>211</v>
      </c>
      <c r="E620" s="10" t="s">
        <v>212</v>
      </c>
      <c r="F620" s="10" t="s">
        <v>93</v>
      </c>
      <c r="G620" s="10" t="s">
        <v>94</v>
      </c>
      <c r="H620" s="10" t="s">
        <v>65</v>
      </c>
      <c r="I620" s="10" t="s">
        <v>16</v>
      </c>
      <c r="J620" s="10" t="s">
        <v>850</v>
      </c>
      <c r="K620" s="10" t="s">
        <v>851</v>
      </c>
      <c r="L620" s="10" t="s">
        <v>67</v>
      </c>
    </row>
    <row r="621" spans="1:12" x14ac:dyDescent="0.25">
      <c r="A621">
        <v>167</v>
      </c>
      <c r="B621" s="10" t="s">
        <v>878</v>
      </c>
      <c r="C621" s="10" t="s">
        <v>155</v>
      </c>
      <c r="D621" s="10" t="s">
        <v>211</v>
      </c>
      <c r="E621" s="10" t="s">
        <v>212</v>
      </c>
      <c r="F621" s="10" t="s">
        <v>95</v>
      </c>
      <c r="G621" s="10" t="s">
        <v>94</v>
      </c>
      <c r="H621" s="10" t="s">
        <v>65</v>
      </c>
      <c r="I621" s="10" t="s">
        <v>16</v>
      </c>
      <c r="J621" s="10" t="s">
        <v>872</v>
      </c>
      <c r="K621" s="10" t="s">
        <v>873</v>
      </c>
      <c r="L621" s="10" t="s">
        <v>67</v>
      </c>
    </row>
    <row r="622" spans="1:12" x14ac:dyDescent="0.25">
      <c r="A622">
        <v>167</v>
      </c>
      <c r="B622" s="10" t="s">
        <v>878</v>
      </c>
      <c r="C622" s="10" t="s">
        <v>155</v>
      </c>
      <c r="D622" s="10" t="s">
        <v>211</v>
      </c>
      <c r="E622" s="10" t="s">
        <v>212</v>
      </c>
      <c r="F622" s="10" t="s">
        <v>97</v>
      </c>
      <c r="G622" s="10" t="s">
        <v>98</v>
      </c>
      <c r="H622" s="10" t="s">
        <v>65</v>
      </c>
      <c r="I622" s="10" t="s">
        <v>16</v>
      </c>
      <c r="J622" s="10" t="s">
        <v>888</v>
      </c>
      <c r="K622" s="10" t="s">
        <v>889</v>
      </c>
      <c r="L622" s="10" t="s">
        <v>67</v>
      </c>
    </row>
    <row r="623" spans="1:12" x14ac:dyDescent="0.25">
      <c r="A623">
        <v>167</v>
      </c>
      <c r="B623" s="10" t="s">
        <v>878</v>
      </c>
      <c r="C623" s="10" t="s">
        <v>155</v>
      </c>
      <c r="D623" s="10" t="s">
        <v>211</v>
      </c>
      <c r="E623" s="10" t="s">
        <v>212</v>
      </c>
      <c r="F623" s="10" t="s">
        <v>100</v>
      </c>
      <c r="G623" s="10" t="s">
        <v>98</v>
      </c>
      <c r="H623" s="10" t="s">
        <v>65</v>
      </c>
      <c r="I623" s="10" t="s">
        <v>16</v>
      </c>
      <c r="J623" s="10" t="s">
        <v>890</v>
      </c>
      <c r="K623" s="10" t="s">
        <v>703</v>
      </c>
      <c r="L623" s="10" t="s">
        <v>67</v>
      </c>
    </row>
    <row r="624" spans="1:12" x14ac:dyDescent="0.25">
      <c r="A624">
        <v>167</v>
      </c>
      <c r="B624" s="10" t="s">
        <v>878</v>
      </c>
      <c r="C624" s="10" t="s">
        <v>155</v>
      </c>
      <c r="D624" s="10" t="s">
        <v>211</v>
      </c>
      <c r="E624" s="10" t="s">
        <v>212</v>
      </c>
      <c r="F624" s="10" t="s">
        <v>101</v>
      </c>
      <c r="G624" s="10" t="s">
        <v>102</v>
      </c>
      <c r="H624" s="10" t="s">
        <v>65</v>
      </c>
      <c r="I624" s="10" t="s">
        <v>16</v>
      </c>
      <c r="J624" s="10" t="s">
        <v>79</v>
      </c>
      <c r="K624" s="10" t="s">
        <v>891</v>
      </c>
      <c r="L624" s="10" t="s">
        <v>67</v>
      </c>
    </row>
    <row r="625" spans="1:12" x14ac:dyDescent="0.25">
      <c r="A625">
        <v>167</v>
      </c>
      <c r="B625" s="10" t="s">
        <v>878</v>
      </c>
      <c r="C625" s="10" t="s">
        <v>155</v>
      </c>
      <c r="D625" s="10" t="s">
        <v>211</v>
      </c>
      <c r="E625" s="10" t="s">
        <v>212</v>
      </c>
      <c r="F625" s="10" t="s">
        <v>103</v>
      </c>
      <c r="G625" s="10" t="s">
        <v>102</v>
      </c>
      <c r="H625" s="10" t="s">
        <v>65</v>
      </c>
      <c r="I625" s="10" t="s">
        <v>16</v>
      </c>
      <c r="J625" s="10" t="s">
        <v>314</v>
      </c>
      <c r="K625" s="10" t="s">
        <v>315</v>
      </c>
      <c r="L625" s="10" t="s">
        <v>67</v>
      </c>
    </row>
    <row r="626" spans="1:12" x14ac:dyDescent="0.25">
      <c r="A626">
        <v>167</v>
      </c>
      <c r="B626" s="10" t="s">
        <v>878</v>
      </c>
      <c r="C626" s="10" t="s">
        <v>155</v>
      </c>
      <c r="D626" s="10" t="s">
        <v>211</v>
      </c>
      <c r="E626" s="10" t="s">
        <v>212</v>
      </c>
      <c r="F626" s="10" t="s">
        <v>104</v>
      </c>
      <c r="G626" s="10" t="s">
        <v>105</v>
      </c>
      <c r="H626" s="10" t="s">
        <v>65</v>
      </c>
      <c r="I626" s="10" t="s">
        <v>16</v>
      </c>
      <c r="J626" s="10" t="s">
        <v>314</v>
      </c>
      <c r="K626" s="10" t="s">
        <v>315</v>
      </c>
      <c r="L626" s="10" t="s">
        <v>67</v>
      </c>
    </row>
    <row r="627" spans="1:12" x14ac:dyDescent="0.25">
      <c r="A627">
        <v>167</v>
      </c>
      <c r="B627" s="10" t="s">
        <v>878</v>
      </c>
      <c r="C627" s="10" t="s">
        <v>155</v>
      </c>
      <c r="D627" s="10" t="s">
        <v>211</v>
      </c>
      <c r="E627" s="10" t="s">
        <v>212</v>
      </c>
      <c r="F627" s="10" t="s">
        <v>106</v>
      </c>
      <c r="G627" s="10" t="s">
        <v>105</v>
      </c>
      <c r="H627" s="10" t="s">
        <v>65</v>
      </c>
      <c r="I627" s="10" t="s">
        <v>16</v>
      </c>
      <c r="J627" s="10" t="s">
        <v>888</v>
      </c>
      <c r="K627" s="10" t="s">
        <v>889</v>
      </c>
      <c r="L627" s="10" t="s">
        <v>67</v>
      </c>
    </row>
    <row r="628" spans="1:12" x14ac:dyDescent="0.25">
      <c r="A628">
        <v>167</v>
      </c>
      <c r="B628" s="10" t="s">
        <v>878</v>
      </c>
      <c r="C628" s="10" t="s">
        <v>155</v>
      </c>
      <c r="D628" s="10" t="s">
        <v>211</v>
      </c>
      <c r="E628" s="10" t="s">
        <v>212</v>
      </c>
      <c r="F628" s="10" t="s">
        <v>107</v>
      </c>
      <c r="G628" s="10" t="s">
        <v>105</v>
      </c>
      <c r="H628" s="10" t="s">
        <v>65</v>
      </c>
      <c r="I628" s="10" t="s">
        <v>16</v>
      </c>
      <c r="J628" s="10" t="s">
        <v>788</v>
      </c>
      <c r="K628" s="10" t="s">
        <v>889</v>
      </c>
      <c r="L628" s="10" t="s">
        <v>67</v>
      </c>
    </row>
    <row r="629" spans="1:12" x14ac:dyDescent="0.25">
      <c r="A629">
        <v>167</v>
      </c>
      <c r="B629" s="10" t="s">
        <v>878</v>
      </c>
      <c r="C629" s="10" t="s">
        <v>155</v>
      </c>
      <c r="D629" s="10" t="s">
        <v>211</v>
      </c>
      <c r="E629" s="10" t="s">
        <v>212</v>
      </c>
      <c r="F629" s="10" t="s">
        <v>108</v>
      </c>
      <c r="G629" s="10" t="s">
        <v>105</v>
      </c>
      <c r="H629" s="10" t="s">
        <v>65</v>
      </c>
      <c r="I629" s="10" t="s">
        <v>16</v>
      </c>
      <c r="J629" s="10" t="s">
        <v>742</v>
      </c>
      <c r="K629" s="10" t="s">
        <v>456</v>
      </c>
      <c r="L629" s="10" t="s">
        <v>67</v>
      </c>
    </row>
    <row r="630" spans="1:12" x14ac:dyDescent="0.25">
      <c r="A630">
        <v>167</v>
      </c>
      <c r="B630" s="10" t="s">
        <v>878</v>
      </c>
      <c r="C630" s="10" t="s">
        <v>155</v>
      </c>
      <c r="D630" s="10" t="s">
        <v>211</v>
      </c>
      <c r="E630" s="10" t="s">
        <v>212</v>
      </c>
      <c r="F630" s="10" t="s">
        <v>109</v>
      </c>
      <c r="G630" s="10" t="s">
        <v>105</v>
      </c>
      <c r="H630" s="10" t="s">
        <v>65</v>
      </c>
      <c r="I630" s="10" t="s">
        <v>16</v>
      </c>
      <c r="J630" s="10" t="s">
        <v>314</v>
      </c>
      <c r="K630" s="10" t="s">
        <v>315</v>
      </c>
      <c r="L630" s="10" t="s">
        <v>67</v>
      </c>
    </row>
    <row r="631" spans="1:12" x14ac:dyDescent="0.25">
      <c r="A631">
        <v>167</v>
      </c>
      <c r="B631" s="10" t="s">
        <v>878</v>
      </c>
      <c r="C631" s="10" t="s">
        <v>155</v>
      </c>
      <c r="D631" s="10" t="s">
        <v>211</v>
      </c>
      <c r="E631" s="10" t="s">
        <v>212</v>
      </c>
      <c r="F631" s="10" t="s">
        <v>110</v>
      </c>
      <c r="G631" s="10" t="s">
        <v>105</v>
      </c>
      <c r="H631" s="10" t="s">
        <v>65</v>
      </c>
      <c r="I631" s="10" t="s">
        <v>16</v>
      </c>
      <c r="J631" s="10" t="s">
        <v>79</v>
      </c>
      <c r="K631" s="10" t="s">
        <v>889</v>
      </c>
      <c r="L631" s="10" t="s">
        <v>67</v>
      </c>
    </row>
    <row r="632" spans="1:12" x14ac:dyDescent="0.25">
      <c r="A632">
        <v>167</v>
      </c>
      <c r="B632" s="10" t="s">
        <v>878</v>
      </c>
      <c r="C632" s="10" t="s">
        <v>155</v>
      </c>
      <c r="D632" s="10" t="s">
        <v>211</v>
      </c>
      <c r="E632" s="10" t="s">
        <v>212</v>
      </c>
      <c r="F632" s="10" t="s">
        <v>111</v>
      </c>
      <c r="G632" s="10" t="s">
        <v>105</v>
      </c>
      <c r="H632" s="10" t="s">
        <v>65</v>
      </c>
      <c r="I632" s="10" t="s">
        <v>16</v>
      </c>
      <c r="J632" s="10" t="s">
        <v>861</v>
      </c>
      <c r="K632" s="10" t="s">
        <v>862</v>
      </c>
      <c r="L632" s="10" t="s">
        <v>67</v>
      </c>
    </row>
    <row r="633" spans="1:12" x14ac:dyDescent="0.25">
      <c r="A633">
        <v>167</v>
      </c>
      <c r="B633" s="10" t="s">
        <v>878</v>
      </c>
      <c r="C633" s="10" t="s">
        <v>155</v>
      </c>
      <c r="D633" s="10" t="s">
        <v>211</v>
      </c>
      <c r="E633" s="10" t="s">
        <v>212</v>
      </c>
      <c r="F633" s="10" t="s">
        <v>112</v>
      </c>
      <c r="G633" s="10" t="s">
        <v>105</v>
      </c>
      <c r="H633" s="10" t="s">
        <v>65</v>
      </c>
      <c r="I633" s="10" t="s">
        <v>16</v>
      </c>
      <c r="J633" s="10" t="s">
        <v>314</v>
      </c>
      <c r="K633" s="10" t="s">
        <v>315</v>
      </c>
      <c r="L633" s="10" t="s">
        <v>67</v>
      </c>
    </row>
    <row r="634" spans="1:12" x14ac:dyDescent="0.25">
      <c r="A634">
        <v>167</v>
      </c>
      <c r="B634" s="10" t="s">
        <v>878</v>
      </c>
      <c r="C634" s="10" t="s">
        <v>155</v>
      </c>
      <c r="D634" s="10" t="s">
        <v>211</v>
      </c>
      <c r="E634" s="10" t="s">
        <v>212</v>
      </c>
      <c r="F634" s="10" t="s">
        <v>113</v>
      </c>
      <c r="G634" s="10" t="s">
        <v>105</v>
      </c>
      <c r="H634" s="10" t="s">
        <v>65</v>
      </c>
      <c r="I634" s="10" t="s">
        <v>16</v>
      </c>
      <c r="J634" s="10" t="s">
        <v>314</v>
      </c>
      <c r="K634" s="10" t="s">
        <v>315</v>
      </c>
      <c r="L634" s="10" t="s">
        <v>67</v>
      </c>
    </row>
    <row r="635" spans="1:12" x14ac:dyDescent="0.25">
      <c r="A635">
        <v>167</v>
      </c>
      <c r="B635" s="10" t="s">
        <v>878</v>
      </c>
      <c r="C635" s="10" t="s">
        <v>155</v>
      </c>
      <c r="D635" s="10" t="s">
        <v>211</v>
      </c>
      <c r="E635" s="10" t="s">
        <v>212</v>
      </c>
      <c r="F635" s="10" t="s">
        <v>124</v>
      </c>
      <c r="G635" s="10" t="s">
        <v>125</v>
      </c>
      <c r="H635" s="10" t="s">
        <v>72</v>
      </c>
      <c r="I635" s="10" t="s">
        <v>16</v>
      </c>
      <c r="J635" s="10" t="s">
        <v>892</v>
      </c>
      <c r="K635" s="10" t="s">
        <v>893</v>
      </c>
      <c r="L635" s="10" t="s">
        <v>54</v>
      </c>
    </row>
    <row r="636" spans="1:12" x14ac:dyDescent="0.25">
      <c r="A636">
        <v>167</v>
      </c>
      <c r="B636" s="10" t="s">
        <v>878</v>
      </c>
      <c r="C636" s="10" t="s">
        <v>155</v>
      </c>
      <c r="D636" s="10" t="s">
        <v>211</v>
      </c>
      <c r="E636" s="10" t="s">
        <v>212</v>
      </c>
      <c r="F636" s="10" t="s">
        <v>131</v>
      </c>
      <c r="G636" s="10" t="s">
        <v>68</v>
      </c>
      <c r="H636" s="10" t="s">
        <v>65</v>
      </c>
      <c r="I636" s="10" t="s">
        <v>16</v>
      </c>
      <c r="J636" s="10" t="s">
        <v>894</v>
      </c>
      <c r="K636" s="10" t="s">
        <v>895</v>
      </c>
      <c r="L636" s="10" t="s">
        <v>67</v>
      </c>
    </row>
    <row r="637" spans="1:12" x14ac:dyDescent="0.25">
      <c r="A637">
        <v>167</v>
      </c>
      <c r="B637" s="10" t="s">
        <v>878</v>
      </c>
      <c r="C637" s="10" t="s">
        <v>155</v>
      </c>
      <c r="D637" s="10" t="s">
        <v>211</v>
      </c>
      <c r="E637" s="10" t="s">
        <v>212</v>
      </c>
      <c r="F637" s="10" t="s">
        <v>154</v>
      </c>
      <c r="G637" s="10" t="s">
        <v>68</v>
      </c>
      <c r="H637" s="10" t="s">
        <v>65</v>
      </c>
      <c r="I637" s="10" t="s">
        <v>16</v>
      </c>
      <c r="J637" s="10" t="s">
        <v>896</v>
      </c>
      <c r="K637" s="10" t="s">
        <v>897</v>
      </c>
      <c r="L637" s="10" t="s">
        <v>67</v>
      </c>
    </row>
    <row r="638" spans="1:12" x14ac:dyDescent="0.25">
      <c r="A638">
        <v>167</v>
      </c>
      <c r="B638" s="10" t="s">
        <v>878</v>
      </c>
      <c r="C638" s="10" t="s">
        <v>155</v>
      </c>
      <c r="D638" s="10" t="s">
        <v>211</v>
      </c>
      <c r="E638" s="10" t="s">
        <v>212</v>
      </c>
      <c r="F638" s="10" t="s">
        <v>156</v>
      </c>
      <c r="G638" s="10" t="s">
        <v>125</v>
      </c>
      <c r="H638" s="10" t="s">
        <v>65</v>
      </c>
      <c r="I638" s="10" t="s">
        <v>16</v>
      </c>
      <c r="J638" s="10" t="s">
        <v>892</v>
      </c>
      <c r="K638" s="10" t="s">
        <v>893</v>
      </c>
      <c r="L638" s="10" t="s">
        <v>67</v>
      </c>
    </row>
    <row r="639" spans="1:12" x14ac:dyDescent="0.25">
      <c r="A639">
        <v>171</v>
      </c>
      <c r="B639" s="10" t="s">
        <v>661</v>
      </c>
      <c r="C639" s="10" t="s">
        <v>164</v>
      </c>
      <c r="D639" s="10" t="s">
        <v>176</v>
      </c>
      <c r="E639" s="10" t="s">
        <v>177</v>
      </c>
      <c r="F639" s="10" t="s">
        <v>71</v>
      </c>
      <c r="G639" s="10" t="s">
        <v>68</v>
      </c>
      <c r="H639" s="10" t="s">
        <v>72</v>
      </c>
      <c r="I639" s="10" t="s">
        <v>16</v>
      </c>
      <c r="J639" s="10" t="s">
        <v>662</v>
      </c>
      <c r="K639" s="10" t="s">
        <v>663</v>
      </c>
      <c r="L639" s="10" t="s">
        <v>54</v>
      </c>
    </row>
    <row r="640" spans="1:12" x14ac:dyDescent="0.25">
      <c r="A640">
        <v>171</v>
      </c>
      <c r="B640" s="10" t="s">
        <v>661</v>
      </c>
      <c r="C640" s="10" t="s">
        <v>164</v>
      </c>
      <c r="D640" s="10" t="s">
        <v>176</v>
      </c>
      <c r="E640" s="10" t="s">
        <v>177</v>
      </c>
      <c r="F640" s="10" t="s">
        <v>73</v>
      </c>
      <c r="G640" s="10" t="s">
        <v>68</v>
      </c>
      <c r="H640" s="10" t="s">
        <v>65</v>
      </c>
      <c r="I640" s="10" t="s">
        <v>16</v>
      </c>
      <c r="J640" s="10" t="s">
        <v>664</v>
      </c>
      <c r="K640" s="10" t="s">
        <v>665</v>
      </c>
      <c r="L640" s="10" t="s">
        <v>67</v>
      </c>
    </row>
    <row r="641" spans="1:12" x14ac:dyDescent="0.25">
      <c r="A641">
        <v>171</v>
      </c>
      <c r="B641" s="10" t="s">
        <v>661</v>
      </c>
      <c r="C641" s="10" t="s">
        <v>164</v>
      </c>
      <c r="D641" s="10" t="s">
        <v>176</v>
      </c>
      <c r="E641" s="10" t="s">
        <v>177</v>
      </c>
      <c r="F641" s="10" t="s">
        <v>74</v>
      </c>
      <c r="G641" s="10" t="s">
        <v>68</v>
      </c>
      <c r="H641" s="10" t="s">
        <v>65</v>
      </c>
      <c r="I641" s="10" t="s">
        <v>16</v>
      </c>
      <c r="J641" s="10" t="s">
        <v>326</v>
      </c>
      <c r="K641" s="10" t="s">
        <v>666</v>
      </c>
      <c r="L641" s="10" t="s">
        <v>67</v>
      </c>
    </row>
    <row r="642" spans="1:12" x14ac:dyDescent="0.25">
      <c r="A642">
        <v>171</v>
      </c>
      <c r="B642" s="10" t="s">
        <v>661</v>
      </c>
      <c r="C642" s="10" t="s">
        <v>164</v>
      </c>
      <c r="D642" s="10" t="s">
        <v>176</v>
      </c>
      <c r="E642" s="10" t="s">
        <v>177</v>
      </c>
      <c r="F642" s="10" t="s">
        <v>75</v>
      </c>
      <c r="G642" s="10" t="s">
        <v>68</v>
      </c>
      <c r="H642" s="10" t="s">
        <v>72</v>
      </c>
      <c r="I642" s="10" t="s">
        <v>24</v>
      </c>
      <c r="J642" s="10" t="s">
        <v>326</v>
      </c>
      <c r="K642" s="10" t="s">
        <v>582</v>
      </c>
      <c r="L642" s="10" t="s">
        <v>67</v>
      </c>
    </row>
    <row r="643" spans="1:12" x14ac:dyDescent="0.25">
      <c r="A643">
        <v>171</v>
      </c>
      <c r="B643" s="10" t="s">
        <v>661</v>
      </c>
      <c r="C643" s="10" t="s">
        <v>164</v>
      </c>
      <c r="D643" s="10" t="s">
        <v>176</v>
      </c>
      <c r="E643" s="10" t="s">
        <v>177</v>
      </c>
      <c r="F643" s="10" t="s">
        <v>76</v>
      </c>
      <c r="G643" s="10" t="s">
        <v>77</v>
      </c>
      <c r="H643" s="10" t="s">
        <v>65</v>
      </c>
      <c r="I643" s="10" t="s">
        <v>16</v>
      </c>
      <c r="J643" s="10" t="s">
        <v>530</v>
      </c>
      <c r="K643" s="10" t="s">
        <v>531</v>
      </c>
      <c r="L643" s="10" t="s">
        <v>67</v>
      </c>
    </row>
    <row r="644" spans="1:12" x14ac:dyDescent="0.25">
      <c r="A644">
        <v>171</v>
      </c>
      <c r="B644" s="10" t="s">
        <v>661</v>
      </c>
      <c r="C644" s="10" t="s">
        <v>164</v>
      </c>
      <c r="D644" s="10" t="s">
        <v>176</v>
      </c>
      <c r="E644" s="10" t="s">
        <v>177</v>
      </c>
      <c r="F644" s="10" t="s">
        <v>80</v>
      </c>
      <c r="G644" s="10" t="s">
        <v>77</v>
      </c>
      <c r="H644" s="10" t="s">
        <v>65</v>
      </c>
      <c r="I644" s="10" t="s">
        <v>16</v>
      </c>
      <c r="J644" s="10" t="s">
        <v>79</v>
      </c>
      <c r="K644" s="10" t="s">
        <v>442</v>
      </c>
      <c r="L644" s="10" t="s">
        <v>67</v>
      </c>
    </row>
    <row r="645" spans="1:12" x14ac:dyDescent="0.25">
      <c r="A645">
        <v>171</v>
      </c>
      <c r="B645" s="10" t="s">
        <v>661</v>
      </c>
      <c r="C645" s="10" t="s">
        <v>164</v>
      </c>
      <c r="D645" s="10" t="s">
        <v>176</v>
      </c>
      <c r="E645" s="10" t="s">
        <v>177</v>
      </c>
      <c r="F645" s="10" t="s">
        <v>84</v>
      </c>
      <c r="G645" s="10" t="s">
        <v>83</v>
      </c>
      <c r="H645" s="10" t="s">
        <v>65</v>
      </c>
      <c r="I645" s="10" t="s">
        <v>16</v>
      </c>
      <c r="J645" s="10" t="s">
        <v>510</v>
      </c>
      <c r="K645" s="10" t="s">
        <v>511</v>
      </c>
      <c r="L645" s="10" t="s">
        <v>67</v>
      </c>
    </row>
    <row r="646" spans="1:12" x14ac:dyDescent="0.25">
      <c r="A646">
        <v>171</v>
      </c>
      <c r="B646" s="10" t="s">
        <v>661</v>
      </c>
      <c r="C646" s="10" t="s">
        <v>164</v>
      </c>
      <c r="D646" s="10" t="s">
        <v>176</v>
      </c>
      <c r="E646" s="10" t="s">
        <v>177</v>
      </c>
      <c r="F646" s="10" t="s">
        <v>93</v>
      </c>
      <c r="G646" s="10" t="s">
        <v>94</v>
      </c>
      <c r="H646" s="10" t="s">
        <v>65</v>
      </c>
      <c r="I646" s="10" t="s">
        <v>16</v>
      </c>
      <c r="J646" s="10" t="s">
        <v>379</v>
      </c>
      <c r="K646" s="10" t="s">
        <v>380</v>
      </c>
      <c r="L646" s="10" t="s">
        <v>67</v>
      </c>
    </row>
    <row r="647" spans="1:12" x14ac:dyDescent="0.25">
      <c r="A647">
        <v>171</v>
      </c>
      <c r="B647" s="10" t="s">
        <v>661</v>
      </c>
      <c r="C647" s="10" t="s">
        <v>164</v>
      </c>
      <c r="D647" s="10" t="s">
        <v>176</v>
      </c>
      <c r="E647" s="10" t="s">
        <v>177</v>
      </c>
      <c r="F647" s="10" t="s">
        <v>95</v>
      </c>
      <c r="G647" s="10" t="s">
        <v>94</v>
      </c>
      <c r="H647" s="10" t="s">
        <v>65</v>
      </c>
      <c r="I647" s="10" t="s">
        <v>16</v>
      </c>
      <c r="J647" s="10" t="s">
        <v>472</v>
      </c>
      <c r="K647" s="10" t="s">
        <v>343</v>
      </c>
      <c r="L647" s="10" t="s">
        <v>67</v>
      </c>
    </row>
    <row r="648" spans="1:12" x14ac:dyDescent="0.25">
      <c r="A648">
        <v>171</v>
      </c>
      <c r="B648" s="10" t="s">
        <v>661</v>
      </c>
      <c r="C648" s="10" t="s">
        <v>164</v>
      </c>
      <c r="D648" s="10" t="s">
        <v>176</v>
      </c>
      <c r="E648" s="10" t="s">
        <v>177</v>
      </c>
      <c r="F648" s="10" t="s">
        <v>97</v>
      </c>
      <c r="G648" s="10" t="s">
        <v>98</v>
      </c>
      <c r="H648" s="10" t="s">
        <v>65</v>
      </c>
      <c r="I648" s="10" t="s">
        <v>16</v>
      </c>
      <c r="J648" s="10" t="s">
        <v>667</v>
      </c>
      <c r="K648" s="10" t="s">
        <v>373</v>
      </c>
      <c r="L648" s="10" t="s">
        <v>67</v>
      </c>
    </row>
    <row r="649" spans="1:12" x14ac:dyDescent="0.25">
      <c r="A649">
        <v>171</v>
      </c>
      <c r="B649" s="10" t="s">
        <v>661</v>
      </c>
      <c r="C649" s="10" t="s">
        <v>164</v>
      </c>
      <c r="D649" s="10" t="s">
        <v>176</v>
      </c>
      <c r="E649" s="10" t="s">
        <v>177</v>
      </c>
      <c r="F649" s="10" t="s">
        <v>100</v>
      </c>
      <c r="G649" s="10" t="s">
        <v>98</v>
      </c>
      <c r="H649" s="10" t="s">
        <v>72</v>
      </c>
      <c r="I649" s="10" t="s">
        <v>16</v>
      </c>
      <c r="J649" s="10" t="s">
        <v>668</v>
      </c>
      <c r="K649" s="10" t="s">
        <v>669</v>
      </c>
      <c r="L649" s="10" t="s">
        <v>67</v>
      </c>
    </row>
    <row r="650" spans="1:12" x14ac:dyDescent="0.25">
      <c r="A650">
        <v>171</v>
      </c>
      <c r="B650" s="10" t="s">
        <v>661</v>
      </c>
      <c r="C650" s="10" t="s">
        <v>164</v>
      </c>
      <c r="D650" s="10" t="s">
        <v>176</v>
      </c>
      <c r="E650" s="10" t="s">
        <v>177</v>
      </c>
      <c r="F650" s="10" t="s">
        <v>101</v>
      </c>
      <c r="G650" s="10" t="s">
        <v>102</v>
      </c>
      <c r="H650" s="10" t="s">
        <v>65</v>
      </c>
      <c r="I650" s="10" t="s">
        <v>16</v>
      </c>
      <c r="J650" s="10" t="s">
        <v>79</v>
      </c>
      <c r="K650" s="10" t="s">
        <v>383</v>
      </c>
      <c r="L650" s="10" t="s">
        <v>67</v>
      </c>
    </row>
    <row r="651" spans="1:12" x14ac:dyDescent="0.25">
      <c r="A651">
        <v>171</v>
      </c>
      <c r="B651" s="10" t="s">
        <v>661</v>
      </c>
      <c r="C651" s="10" t="s">
        <v>164</v>
      </c>
      <c r="D651" s="10" t="s">
        <v>176</v>
      </c>
      <c r="E651" s="10" t="s">
        <v>177</v>
      </c>
      <c r="F651" s="10" t="s">
        <v>103</v>
      </c>
      <c r="G651" s="10" t="s">
        <v>102</v>
      </c>
      <c r="H651" s="10" t="s">
        <v>65</v>
      </c>
      <c r="I651" s="10" t="s">
        <v>16</v>
      </c>
      <c r="J651" s="10" t="s">
        <v>670</v>
      </c>
      <c r="K651" s="10" t="s">
        <v>671</v>
      </c>
      <c r="L651" s="10" t="s">
        <v>67</v>
      </c>
    </row>
    <row r="652" spans="1:12" x14ac:dyDescent="0.25">
      <c r="A652">
        <v>171</v>
      </c>
      <c r="B652" s="10" t="s">
        <v>661</v>
      </c>
      <c r="C652" s="10" t="s">
        <v>164</v>
      </c>
      <c r="D652" s="10" t="s">
        <v>176</v>
      </c>
      <c r="E652" s="10" t="s">
        <v>177</v>
      </c>
      <c r="F652" s="10" t="s">
        <v>104</v>
      </c>
      <c r="G652" s="10" t="s">
        <v>105</v>
      </c>
      <c r="H652" s="10" t="s">
        <v>65</v>
      </c>
      <c r="I652" s="10" t="s">
        <v>16</v>
      </c>
      <c r="J652" s="10" t="s">
        <v>474</v>
      </c>
      <c r="K652" s="10" t="s">
        <v>405</v>
      </c>
      <c r="L652" s="10" t="s">
        <v>67</v>
      </c>
    </row>
    <row r="653" spans="1:12" x14ac:dyDescent="0.25">
      <c r="A653">
        <v>171</v>
      </c>
      <c r="B653" s="10" t="s">
        <v>661</v>
      </c>
      <c r="C653" s="10" t="s">
        <v>164</v>
      </c>
      <c r="D653" s="10" t="s">
        <v>176</v>
      </c>
      <c r="E653" s="10" t="s">
        <v>177</v>
      </c>
      <c r="F653" s="10" t="s">
        <v>106</v>
      </c>
      <c r="G653" s="10" t="s">
        <v>105</v>
      </c>
      <c r="H653" s="10" t="s">
        <v>65</v>
      </c>
      <c r="I653" s="10" t="s">
        <v>16</v>
      </c>
      <c r="J653" s="10" t="s">
        <v>475</v>
      </c>
      <c r="K653" s="10" t="s">
        <v>476</v>
      </c>
      <c r="L653" s="10" t="s">
        <v>67</v>
      </c>
    </row>
    <row r="654" spans="1:12" x14ac:dyDescent="0.25">
      <c r="A654">
        <v>171</v>
      </c>
      <c r="B654" s="10" t="s">
        <v>661</v>
      </c>
      <c r="C654" s="10" t="s">
        <v>164</v>
      </c>
      <c r="D654" s="10" t="s">
        <v>176</v>
      </c>
      <c r="E654" s="10" t="s">
        <v>177</v>
      </c>
      <c r="F654" s="10" t="s">
        <v>107</v>
      </c>
      <c r="G654" s="10" t="s">
        <v>105</v>
      </c>
      <c r="H654" s="10" t="s">
        <v>65</v>
      </c>
      <c r="I654" s="10" t="s">
        <v>16</v>
      </c>
      <c r="J654" s="10" t="s">
        <v>372</v>
      </c>
      <c r="K654" s="10" t="s">
        <v>476</v>
      </c>
      <c r="L654" s="10" t="s">
        <v>67</v>
      </c>
    </row>
    <row r="655" spans="1:12" x14ac:dyDescent="0.25">
      <c r="A655">
        <v>171</v>
      </c>
      <c r="B655" s="10" t="s">
        <v>661</v>
      </c>
      <c r="C655" s="10" t="s">
        <v>164</v>
      </c>
      <c r="D655" s="10" t="s">
        <v>176</v>
      </c>
      <c r="E655" s="10" t="s">
        <v>177</v>
      </c>
      <c r="F655" s="10" t="s">
        <v>108</v>
      </c>
      <c r="G655" s="10" t="s">
        <v>105</v>
      </c>
      <c r="H655" s="10" t="s">
        <v>65</v>
      </c>
      <c r="I655" s="10" t="s">
        <v>16</v>
      </c>
      <c r="J655" s="10" t="s">
        <v>672</v>
      </c>
      <c r="K655" s="10" t="s">
        <v>673</v>
      </c>
      <c r="L655" s="10" t="s">
        <v>67</v>
      </c>
    </row>
    <row r="656" spans="1:12" x14ac:dyDescent="0.25">
      <c r="A656">
        <v>171</v>
      </c>
      <c r="B656" s="10" t="s">
        <v>661</v>
      </c>
      <c r="C656" s="10" t="s">
        <v>164</v>
      </c>
      <c r="D656" s="10" t="s">
        <v>176</v>
      </c>
      <c r="E656" s="10" t="s">
        <v>177</v>
      </c>
      <c r="F656" s="10" t="s">
        <v>109</v>
      </c>
      <c r="G656" s="10" t="s">
        <v>105</v>
      </c>
      <c r="H656" s="10" t="s">
        <v>65</v>
      </c>
      <c r="I656" s="10" t="s">
        <v>16</v>
      </c>
      <c r="J656" s="10" t="s">
        <v>474</v>
      </c>
      <c r="K656" s="10" t="s">
        <v>405</v>
      </c>
      <c r="L656" s="10" t="s">
        <v>67</v>
      </c>
    </row>
    <row r="657" spans="1:12" x14ac:dyDescent="0.25">
      <c r="A657">
        <v>171</v>
      </c>
      <c r="B657" s="10" t="s">
        <v>661</v>
      </c>
      <c r="C657" s="10" t="s">
        <v>164</v>
      </c>
      <c r="D657" s="10" t="s">
        <v>176</v>
      </c>
      <c r="E657" s="10" t="s">
        <v>177</v>
      </c>
      <c r="F657" s="10" t="s">
        <v>110</v>
      </c>
      <c r="G657" s="10" t="s">
        <v>105</v>
      </c>
      <c r="H657" s="10" t="s">
        <v>65</v>
      </c>
      <c r="I657" s="10" t="s">
        <v>16</v>
      </c>
      <c r="J657" s="10" t="s">
        <v>79</v>
      </c>
      <c r="K657" s="10" t="s">
        <v>476</v>
      </c>
      <c r="L657" s="10" t="s">
        <v>67</v>
      </c>
    </row>
    <row r="658" spans="1:12" x14ac:dyDescent="0.25">
      <c r="A658">
        <v>171</v>
      </c>
      <c r="B658" s="10" t="s">
        <v>661</v>
      </c>
      <c r="C658" s="10" t="s">
        <v>164</v>
      </c>
      <c r="D658" s="10" t="s">
        <v>176</v>
      </c>
      <c r="E658" s="10" t="s">
        <v>177</v>
      </c>
      <c r="F658" s="10" t="s">
        <v>111</v>
      </c>
      <c r="G658" s="10" t="s">
        <v>105</v>
      </c>
      <c r="H658" s="10" t="s">
        <v>65</v>
      </c>
      <c r="I658" s="10" t="s">
        <v>16</v>
      </c>
      <c r="J658" s="10" t="s">
        <v>510</v>
      </c>
      <c r="K658" s="10" t="s">
        <v>511</v>
      </c>
      <c r="L658" s="10" t="s">
        <v>67</v>
      </c>
    </row>
    <row r="659" spans="1:12" x14ac:dyDescent="0.25">
      <c r="A659">
        <v>171</v>
      </c>
      <c r="B659" s="10" t="s">
        <v>661</v>
      </c>
      <c r="C659" s="10" t="s">
        <v>164</v>
      </c>
      <c r="D659" s="10" t="s">
        <v>176</v>
      </c>
      <c r="E659" s="10" t="s">
        <v>177</v>
      </c>
      <c r="F659" s="10" t="s">
        <v>112</v>
      </c>
      <c r="G659" s="10" t="s">
        <v>105</v>
      </c>
      <c r="H659" s="10" t="s">
        <v>65</v>
      </c>
      <c r="I659" s="10" t="s">
        <v>16</v>
      </c>
      <c r="J659" s="10" t="s">
        <v>589</v>
      </c>
      <c r="K659" s="10" t="s">
        <v>590</v>
      </c>
      <c r="L659" s="10" t="s">
        <v>67</v>
      </c>
    </row>
    <row r="660" spans="1:12" x14ac:dyDescent="0.25">
      <c r="A660">
        <v>171</v>
      </c>
      <c r="B660" s="10" t="s">
        <v>661</v>
      </c>
      <c r="C660" s="10" t="s">
        <v>164</v>
      </c>
      <c r="D660" s="10" t="s">
        <v>176</v>
      </c>
      <c r="E660" s="10" t="s">
        <v>177</v>
      </c>
      <c r="F660" s="10" t="s">
        <v>113</v>
      </c>
      <c r="G660" s="10" t="s">
        <v>105</v>
      </c>
      <c r="H660" s="10" t="s">
        <v>65</v>
      </c>
      <c r="I660" s="10" t="s">
        <v>16</v>
      </c>
      <c r="J660" s="10" t="s">
        <v>510</v>
      </c>
      <c r="K660" s="10" t="s">
        <v>511</v>
      </c>
      <c r="L660" s="10" t="s">
        <v>67</v>
      </c>
    </row>
    <row r="661" spans="1:12" x14ac:dyDescent="0.25">
      <c r="A661">
        <v>171</v>
      </c>
      <c r="B661" s="10" t="s">
        <v>661</v>
      </c>
      <c r="C661" s="10" t="s">
        <v>164</v>
      </c>
      <c r="D661" s="10" t="s">
        <v>176</v>
      </c>
      <c r="E661" s="10" t="s">
        <v>177</v>
      </c>
      <c r="F661" s="10" t="s">
        <v>124</v>
      </c>
      <c r="G661" s="10" t="s">
        <v>125</v>
      </c>
      <c r="H661" s="10" t="s">
        <v>72</v>
      </c>
      <c r="I661" s="10" t="s">
        <v>18</v>
      </c>
      <c r="J661" s="10" t="s">
        <v>54</v>
      </c>
      <c r="K661" s="10" t="s">
        <v>54</v>
      </c>
      <c r="L661" s="10" t="s">
        <v>54</v>
      </c>
    </row>
    <row r="662" spans="1:12" x14ac:dyDescent="0.25">
      <c r="A662">
        <v>171</v>
      </c>
      <c r="B662" s="10" t="s">
        <v>661</v>
      </c>
      <c r="C662" s="10" t="s">
        <v>164</v>
      </c>
      <c r="D662" s="10" t="s">
        <v>176</v>
      </c>
      <c r="E662" s="10" t="s">
        <v>177</v>
      </c>
      <c r="F662" s="10" t="s">
        <v>131</v>
      </c>
      <c r="G662" s="10" t="s">
        <v>68</v>
      </c>
      <c r="H662" s="10" t="s">
        <v>72</v>
      </c>
      <c r="I662" s="10" t="s">
        <v>16</v>
      </c>
      <c r="J662" s="10" t="s">
        <v>674</v>
      </c>
      <c r="K662" s="10" t="s">
        <v>675</v>
      </c>
      <c r="L662" s="10" t="s">
        <v>67</v>
      </c>
    </row>
    <row r="663" spans="1:12" x14ac:dyDescent="0.25">
      <c r="A663">
        <v>171</v>
      </c>
      <c r="B663" s="10" t="s">
        <v>661</v>
      </c>
      <c r="C663" s="10" t="s">
        <v>164</v>
      </c>
      <c r="D663" s="10" t="s">
        <v>176</v>
      </c>
      <c r="E663" s="10" t="s">
        <v>177</v>
      </c>
      <c r="F663" s="10" t="s">
        <v>156</v>
      </c>
      <c r="G663" s="10" t="s">
        <v>125</v>
      </c>
      <c r="H663" s="10" t="s">
        <v>65</v>
      </c>
      <c r="I663" s="10" t="s">
        <v>18</v>
      </c>
      <c r="J663" s="10" t="s">
        <v>54</v>
      </c>
      <c r="K663" s="10" t="s">
        <v>54</v>
      </c>
      <c r="L663" s="10" t="s">
        <v>54</v>
      </c>
    </row>
    <row r="664" spans="1:12" x14ac:dyDescent="0.25">
      <c r="A664">
        <v>171</v>
      </c>
      <c r="B664" s="10" t="s">
        <v>661</v>
      </c>
      <c r="C664" s="10" t="s">
        <v>164</v>
      </c>
      <c r="D664" s="10" t="s">
        <v>176</v>
      </c>
      <c r="E664" s="10" t="s">
        <v>177</v>
      </c>
      <c r="F664" s="10" t="s">
        <v>163</v>
      </c>
      <c r="G664" s="10" t="s">
        <v>68</v>
      </c>
      <c r="H664" s="10" t="s">
        <v>65</v>
      </c>
      <c r="I664" s="10" t="s">
        <v>16</v>
      </c>
      <c r="J664" s="10" t="s">
        <v>676</v>
      </c>
      <c r="K664" s="10" t="s">
        <v>568</v>
      </c>
      <c r="L664" s="10" t="s">
        <v>54</v>
      </c>
    </row>
    <row r="665" spans="1:12" x14ac:dyDescent="0.25">
      <c r="A665">
        <v>171</v>
      </c>
      <c r="B665" s="10" t="s">
        <v>661</v>
      </c>
      <c r="C665" s="10" t="s">
        <v>164</v>
      </c>
      <c r="D665" s="10" t="s">
        <v>176</v>
      </c>
      <c r="E665" s="10" t="s">
        <v>177</v>
      </c>
      <c r="F665" s="10" t="s">
        <v>165</v>
      </c>
      <c r="G665" s="10" t="s">
        <v>68</v>
      </c>
      <c r="H665" s="10" t="s">
        <v>72</v>
      </c>
      <c r="I665" s="10" t="s">
        <v>16</v>
      </c>
      <c r="J665" s="10" t="s">
        <v>79</v>
      </c>
      <c r="K665" s="10" t="s">
        <v>507</v>
      </c>
      <c r="L665" s="10" t="s">
        <v>67</v>
      </c>
    </row>
    <row r="666" spans="1:12" x14ac:dyDescent="0.25">
      <c r="A666">
        <v>174</v>
      </c>
      <c r="B666" s="10" t="s">
        <v>677</v>
      </c>
      <c r="C666" s="10" t="s">
        <v>164</v>
      </c>
      <c r="D666" s="10" t="s">
        <v>179</v>
      </c>
      <c r="E666" s="10" t="s">
        <v>180</v>
      </c>
      <c r="F666" s="10" t="s">
        <v>71</v>
      </c>
      <c r="G666" s="10" t="s">
        <v>68</v>
      </c>
      <c r="H666" s="10" t="s">
        <v>72</v>
      </c>
      <c r="I666" s="10" t="s">
        <v>18</v>
      </c>
      <c r="J666" s="10" t="s">
        <v>54</v>
      </c>
      <c r="K666" s="10" t="s">
        <v>54</v>
      </c>
      <c r="L666" s="10" t="s">
        <v>54</v>
      </c>
    </row>
    <row r="667" spans="1:12" x14ac:dyDescent="0.25">
      <c r="A667">
        <v>174</v>
      </c>
      <c r="B667" s="10" t="s">
        <v>677</v>
      </c>
      <c r="C667" s="10" t="s">
        <v>164</v>
      </c>
      <c r="D667" s="10" t="s">
        <v>179</v>
      </c>
      <c r="E667" s="10" t="s">
        <v>180</v>
      </c>
      <c r="F667" s="10" t="s">
        <v>73</v>
      </c>
      <c r="G667" s="10" t="s">
        <v>68</v>
      </c>
      <c r="H667" s="10" t="s">
        <v>65</v>
      </c>
      <c r="I667" s="10" t="s">
        <v>16</v>
      </c>
      <c r="J667" s="10" t="s">
        <v>678</v>
      </c>
      <c r="K667" s="10" t="s">
        <v>679</v>
      </c>
      <c r="L667" s="10" t="s">
        <v>67</v>
      </c>
    </row>
    <row r="668" spans="1:12" x14ac:dyDescent="0.25">
      <c r="A668">
        <v>174</v>
      </c>
      <c r="B668" s="10" t="s">
        <v>677</v>
      </c>
      <c r="C668" s="10" t="s">
        <v>164</v>
      </c>
      <c r="D668" s="10" t="s">
        <v>179</v>
      </c>
      <c r="E668" s="10" t="s">
        <v>180</v>
      </c>
      <c r="F668" s="10" t="s">
        <v>74</v>
      </c>
      <c r="G668" s="10" t="s">
        <v>68</v>
      </c>
      <c r="H668" s="10" t="s">
        <v>65</v>
      </c>
      <c r="I668" s="10" t="s">
        <v>16</v>
      </c>
      <c r="J668" s="10" t="s">
        <v>680</v>
      </c>
      <c r="K668" s="10" t="s">
        <v>681</v>
      </c>
      <c r="L668" s="10" t="s">
        <v>67</v>
      </c>
    </row>
    <row r="669" spans="1:12" x14ac:dyDescent="0.25">
      <c r="A669">
        <v>174</v>
      </c>
      <c r="B669" s="10" t="s">
        <v>677</v>
      </c>
      <c r="C669" s="10" t="s">
        <v>164</v>
      </c>
      <c r="D669" s="10" t="s">
        <v>179</v>
      </c>
      <c r="E669" s="10" t="s">
        <v>180</v>
      </c>
      <c r="F669" s="10" t="s">
        <v>75</v>
      </c>
      <c r="G669" s="10" t="s">
        <v>68</v>
      </c>
      <c r="H669" s="10" t="s">
        <v>72</v>
      </c>
      <c r="I669" s="10" t="s">
        <v>18</v>
      </c>
      <c r="J669" s="10" t="s">
        <v>54</v>
      </c>
      <c r="K669" s="10" t="s">
        <v>54</v>
      </c>
      <c r="L669" s="10" t="s">
        <v>54</v>
      </c>
    </row>
    <row r="670" spans="1:12" x14ac:dyDescent="0.25">
      <c r="A670">
        <v>174</v>
      </c>
      <c r="B670" s="10" t="s">
        <v>677</v>
      </c>
      <c r="C670" s="10" t="s">
        <v>164</v>
      </c>
      <c r="D670" s="10" t="s">
        <v>179</v>
      </c>
      <c r="E670" s="10" t="s">
        <v>180</v>
      </c>
      <c r="F670" s="10" t="s">
        <v>76</v>
      </c>
      <c r="G670" s="10" t="s">
        <v>77</v>
      </c>
      <c r="H670" s="10" t="s">
        <v>65</v>
      </c>
      <c r="I670" s="10" t="s">
        <v>16</v>
      </c>
      <c r="J670" s="10" t="s">
        <v>682</v>
      </c>
      <c r="K670" s="10" t="s">
        <v>390</v>
      </c>
      <c r="L670" s="10" t="s">
        <v>67</v>
      </c>
    </row>
    <row r="671" spans="1:12" x14ac:dyDescent="0.25">
      <c r="A671">
        <v>174</v>
      </c>
      <c r="B671" s="10" t="s">
        <v>677</v>
      </c>
      <c r="C671" s="10" t="s">
        <v>164</v>
      </c>
      <c r="D671" s="10" t="s">
        <v>179</v>
      </c>
      <c r="E671" s="10" t="s">
        <v>180</v>
      </c>
      <c r="F671" s="10" t="s">
        <v>80</v>
      </c>
      <c r="G671" s="10" t="s">
        <v>77</v>
      </c>
      <c r="H671" s="10" t="s">
        <v>65</v>
      </c>
      <c r="I671" s="10" t="s">
        <v>16</v>
      </c>
      <c r="J671" s="10" t="s">
        <v>79</v>
      </c>
      <c r="K671" s="10" t="s">
        <v>683</v>
      </c>
      <c r="L671" s="10" t="s">
        <v>67</v>
      </c>
    </row>
    <row r="672" spans="1:12" x14ac:dyDescent="0.25">
      <c r="A672">
        <v>174</v>
      </c>
      <c r="B672" s="10" t="s">
        <v>677</v>
      </c>
      <c r="C672" s="10" t="s">
        <v>164</v>
      </c>
      <c r="D672" s="10" t="s">
        <v>179</v>
      </c>
      <c r="E672" s="10" t="s">
        <v>180</v>
      </c>
      <c r="F672" s="10" t="s">
        <v>84</v>
      </c>
      <c r="G672" s="10" t="s">
        <v>83</v>
      </c>
      <c r="H672" s="10" t="s">
        <v>65</v>
      </c>
      <c r="I672" s="10" t="s">
        <v>16</v>
      </c>
      <c r="J672" s="10" t="s">
        <v>392</v>
      </c>
      <c r="K672" s="10" t="s">
        <v>393</v>
      </c>
      <c r="L672" s="10" t="s">
        <v>67</v>
      </c>
    </row>
    <row r="673" spans="1:12" x14ac:dyDescent="0.25">
      <c r="A673">
        <v>174</v>
      </c>
      <c r="B673" s="10" t="s">
        <v>677</v>
      </c>
      <c r="C673" s="10" t="s">
        <v>164</v>
      </c>
      <c r="D673" s="10" t="s">
        <v>179</v>
      </c>
      <c r="E673" s="10" t="s">
        <v>180</v>
      </c>
      <c r="F673" s="10" t="s">
        <v>93</v>
      </c>
      <c r="G673" s="10" t="s">
        <v>94</v>
      </c>
      <c r="H673" s="10" t="s">
        <v>65</v>
      </c>
      <c r="I673" s="10" t="s">
        <v>16</v>
      </c>
      <c r="J673" s="10" t="s">
        <v>684</v>
      </c>
      <c r="K673" s="10" t="s">
        <v>685</v>
      </c>
      <c r="L673" s="10" t="s">
        <v>67</v>
      </c>
    </row>
    <row r="674" spans="1:12" x14ac:dyDescent="0.25">
      <c r="A674">
        <v>174</v>
      </c>
      <c r="B674" s="10" t="s">
        <v>677</v>
      </c>
      <c r="C674" s="10" t="s">
        <v>164</v>
      </c>
      <c r="D674" s="10" t="s">
        <v>179</v>
      </c>
      <c r="E674" s="10" t="s">
        <v>180</v>
      </c>
      <c r="F674" s="10" t="s">
        <v>95</v>
      </c>
      <c r="G674" s="10" t="s">
        <v>94</v>
      </c>
      <c r="H674" s="10" t="s">
        <v>65</v>
      </c>
      <c r="I674" s="10" t="s">
        <v>16</v>
      </c>
      <c r="J674" s="10" t="s">
        <v>304</v>
      </c>
      <c r="K674" s="10" t="s">
        <v>305</v>
      </c>
      <c r="L674" s="10" t="s">
        <v>67</v>
      </c>
    </row>
    <row r="675" spans="1:12" x14ac:dyDescent="0.25">
      <c r="A675">
        <v>174</v>
      </c>
      <c r="B675" s="10" t="s">
        <v>677</v>
      </c>
      <c r="C675" s="10" t="s">
        <v>164</v>
      </c>
      <c r="D675" s="10" t="s">
        <v>179</v>
      </c>
      <c r="E675" s="10" t="s">
        <v>180</v>
      </c>
      <c r="F675" s="10" t="s">
        <v>97</v>
      </c>
      <c r="G675" s="10" t="s">
        <v>98</v>
      </c>
      <c r="H675" s="10" t="s">
        <v>65</v>
      </c>
      <c r="I675" s="10" t="s">
        <v>16</v>
      </c>
      <c r="J675" s="10" t="s">
        <v>447</v>
      </c>
      <c r="K675" s="10" t="s">
        <v>391</v>
      </c>
      <c r="L675" s="10" t="s">
        <v>67</v>
      </c>
    </row>
    <row r="676" spans="1:12" x14ac:dyDescent="0.25">
      <c r="A676">
        <v>174</v>
      </c>
      <c r="B676" s="10" t="s">
        <v>677</v>
      </c>
      <c r="C676" s="10" t="s">
        <v>164</v>
      </c>
      <c r="D676" s="10" t="s">
        <v>179</v>
      </c>
      <c r="E676" s="10" t="s">
        <v>180</v>
      </c>
      <c r="F676" s="10" t="s">
        <v>100</v>
      </c>
      <c r="G676" s="10" t="s">
        <v>98</v>
      </c>
      <c r="H676" s="10" t="s">
        <v>72</v>
      </c>
      <c r="I676" s="10" t="s">
        <v>18</v>
      </c>
      <c r="J676" s="10" t="s">
        <v>54</v>
      </c>
      <c r="K676" s="10" t="s">
        <v>54</v>
      </c>
      <c r="L676" s="10" t="s">
        <v>54</v>
      </c>
    </row>
    <row r="677" spans="1:12" x14ac:dyDescent="0.25">
      <c r="A677">
        <v>174</v>
      </c>
      <c r="B677" s="10" t="s">
        <v>677</v>
      </c>
      <c r="C677" s="10" t="s">
        <v>164</v>
      </c>
      <c r="D677" s="10" t="s">
        <v>179</v>
      </c>
      <c r="E677" s="10" t="s">
        <v>180</v>
      </c>
      <c r="F677" s="10" t="s">
        <v>101</v>
      </c>
      <c r="G677" s="10" t="s">
        <v>102</v>
      </c>
      <c r="H677" s="10" t="s">
        <v>65</v>
      </c>
      <c r="I677" s="10" t="s">
        <v>16</v>
      </c>
      <c r="J677" s="10" t="s">
        <v>79</v>
      </c>
      <c r="K677" s="10" t="s">
        <v>473</v>
      </c>
      <c r="L677" s="10" t="s">
        <v>67</v>
      </c>
    </row>
    <row r="678" spans="1:12" x14ac:dyDescent="0.25">
      <c r="A678">
        <v>174</v>
      </c>
      <c r="B678" s="10" t="s">
        <v>677</v>
      </c>
      <c r="C678" s="10" t="s">
        <v>164</v>
      </c>
      <c r="D678" s="10" t="s">
        <v>179</v>
      </c>
      <c r="E678" s="10" t="s">
        <v>180</v>
      </c>
      <c r="F678" s="10" t="s">
        <v>103</v>
      </c>
      <c r="G678" s="10" t="s">
        <v>102</v>
      </c>
      <c r="H678" s="10" t="s">
        <v>65</v>
      </c>
      <c r="I678" s="10" t="s">
        <v>16</v>
      </c>
      <c r="J678" s="10" t="s">
        <v>686</v>
      </c>
      <c r="K678" s="10" t="s">
        <v>687</v>
      </c>
      <c r="L678" s="10" t="s">
        <v>67</v>
      </c>
    </row>
    <row r="679" spans="1:12" x14ac:dyDescent="0.25">
      <c r="A679">
        <v>174</v>
      </c>
      <c r="B679" s="10" t="s">
        <v>677</v>
      </c>
      <c r="C679" s="10" t="s">
        <v>164</v>
      </c>
      <c r="D679" s="10" t="s">
        <v>179</v>
      </c>
      <c r="E679" s="10" t="s">
        <v>180</v>
      </c>
      <c r="F679" s="10" t="s">
        <v>104</v>
      </c>
      <c r="G679" s="10" t="s">
        <v>105</v>
      </c>
      <c r="H679" s="10" t="s">
        <v>65</v>
      </c>
      <c r="I679" s="10" t="s">
        <v>16</v>
      </c>
      <c r="J679" s="10" t="s">
        <v>618</v>
      </c>
      <c r="K679" s="10" t="s">
        <v>297</v>
      </c>
      <c r="L679" s="10" t="s">
        <v>67</v>
      </c>
    </row>
    <row r="680" spans="1:12" x14ac:dyDescent="0.25">
      <c r="A680">
        <v>174</v>
      </c>
      <c r="B680" s="10" t="s">
        <v>677</v>
      </c>
      <c r="C680" s="10" t="s">
        <v>164</v>
      </c>
      <c r="D680" s="10" t="s">
        <v>179</v>
      </c>
      <c r="E680" s="10" t="s">
        <v>180</v>
      </c>
      <c r="F680" s="10" t="s">
        <v>106</v>
      </c>
      <c r="G680" s="10" t="s">
        <v>105</v>
      </c>
      <c r="H680" s="10" t="s">
        <v>65</v>
      </c>
      <c r="I680" s="10" t="s">
        <v>16</v>
      </c>
      <c r="J680" s="10" t="s">
        <v>447</v>
      </c>
      <c r="K680" s="10" t="s">
        <v>391</v>
      </c>
      <c r="L680" s="10" t="s">
        <v>67</v>
      </c>
    </row>
    <row r="681" spans="1:12" x14ac:dyDescent="0.25">
      <c r="A681">
        <v>174</v>
      </c>
      <c r="B681" s="10" t="s">
        <v>677</v>
      </c>
      <c r="C681" s="10" t="s">
        <v>164</v>
      </c>
      <c r="D681" s="10" t="s">
        <v>179</v>
      </c>
      <c r="E681" s="10" t="s">
        <v>180</v>
      </c>
      <c r="F681" s="10" t="s">
        <v>107</v>
      </c>
      <c r="G681" s="10" t="s">
        <v>105</v>
      </c>
      <c r="H681" s="10" t="s">
        <v>65</v>
      </c>
      <c r="I681" s="10" t="s">
        <v>16</v>
      </c>
      <c r="J681" s="10" t="s">
        <v>450</v>
      </c>
      <c r="K681" s="10" t="s">
        <v>391</v>
      </c>
      <c r="L681" s="10" t="s">
        <v>67</v>
      </c>
    </row>
    <row r="682" spans="1:12" x14ac:dyDescent="0.25">
      <c r="A682">
        <v>174</v>
      </c>
      <c r="B682" s="10" t="s">
        <v>677</v>
      </c>
      <c r="C682" s="10" t="s">
        <v>164</v>
      </c>
      <c r="D682" s="10" t="s">
        <v>179</v>
      </c>
      <c r="E682" s="10" t="s">
        <v>180</v>
      </c>
      <c r="F682" s="10" t="s">
        <v>108</v>
      </c>
      <c r="G682" s="10" t="s">
        <v>105</v>
      </c>
      <c r="H682" s="10" t="s">
        <v>65</v>
      </c>
      <c r="I682" s="10" t="s">
        <v>16</v>
      </c>
      <c r="J682" s="10" t="s">
        <v>497</v>
      </c>
      <c r="K682" s="10" t="s">
        <v>311</v>
      </c>
      <c r="L682" s="10" t="s">
        <v>67</v>
      </c>
    </row>
    <row r="683" spans="1:12" x14ac:dyDescent="0.25">
      <c r="A683">
        <v>174</v>
      </c>
      <c r="B683" s="10" t="s">
        <v>677</v>
      </c>
      <c r="C683" s="10" t="s">
        <v>164</v>
      </c>
      <c r="D683" s="10" t="s">
        <v>179</v>
      </c>
      <c r="E683" s="10" t="s">
        <v>180</v>
      </c>
      <c r="F683" s="10" t="s">
        <v>109</v>
      </c>
      <c r="G683" s="10" t="s">
        <v>105</v>
      </c>
      <c r="H683" s="10" t="s">
        <v>65</v>
      </c>
      <c r="I683" s="10" t="s">
        <v>16</v>
      </c>
      <c r="J683" s="10" t="s">
        <v>602</v>
      </c>
      <c r="K683" s="10" t="s">
        <v>617</v>
      </c>
      <c r="L683" s="10" t="s">
        <v>67</v>
      </c>
    </row>
    <row r="684" spans="1:12" x14ac:dyDescent="0.25">
      <c r="A684">
        <v>174</v>
      </c>
      <c r="B684" s="10" t="s">
        <v>677</v>
      </c>
      <c r="C684" s="10" t="s">
        <v>164</v>
      </c>
      <c r="D684" s="10" t="s">
        <v>179</v>
      </c>
      <c r="E684" s="10" t="s">
        <v>180</v>
      </c>
      <c r="F684" s="10" t="s">
        <v>110</v>
      </c>
      <c r="G684" s="10" t="s">
        <v>105</v>
      </c>
      <c r="H684" s="10" t="s">
        <v>65</v>
      </c>
      <c r="I684" s="10" t="s">
        <v>16</v>
      </c>
      <c r="J684" s="10" t="s">
        <v>79</v>
      </c>
      <c r="K684" s="10" t="s">
        <v>391</v>
      </c>
      <c r="L684" s="10" t="s">
        <v>67</v>
      </c>
    </row>
    <row r="685" spans="1:12" x14ac:dyDescent="0.25">
      <c r="A685">
        <v>174</v>
      </c>
      <c r="B685" s="10" t="s">
        <v>677</v>
      </c>
      <c r="C685" s="10" t="s">
        <v>164</v>
      </c>
      <c r="D685" s="10" t="s">
        <v>179</v>
      </c>
      <c r="E685" s="10" t="s">
        <v>180</v>
      </c>
      <c r="F685" s="10" t="s">
        <v>111</v>
      </c>
      <c r="G685" s="10" t="s">
        <v>105</v>
      </c>
      <c r="H685" s="10" t="s">
        <v>65</v>
      </c>
      <c r="I685" s="10" t="s">
        <v>16</v>
      </c>
      <c r="J685" s="10" t="s">
        <v>392</v>
      </c>
      <c r="K685" s="10" t="s">
        <v>393</v>
      </c>
      <c r="L685" s="10" t="s">
        <v>67</v>
      </c>
    </row>
    <row r="686" spans="1:12" x14ac:dyDescent="0.25">
      <c r="A686">
        <v>174</v>
      </c>
      <c r="B686" s="10" t="s">
        <v>677</v>
      </c>
      <c r="C686" s="10" t="s">
        <v>164</v>
      </c>
      <c r="D686" s="10" t="s">
        <v>179</v>
      </c>
      <c r="E686" s="10" t="s">
        <v>180</v>
      </c>
      <c r="F686" s="10" t="s">
        <v>112</v>
      </c>
      <c r="G686" s="10" t="s">
        <v>105</v>
      </c>
      <c r="H686" s="10" t="s">
        <v>65</v>
      </c>
      <c r="I686" s="10" t="s">
        <v>16</v>
      </c>
      <c r="J686" s="10" t="s">
        <v>565</v>
      </c>
      <c r="K686" s="10" t="s">
        <v>566</v>
      </c>
      <c r="L686" s="10" t="s">
        <v>67</v>
      </c>
    </row>
    <row r="687" spans="1:12" x14ac:dyDescent="0.25">
      <c r="A687">
        <v>174</v>
      </c>
      <c r="B687" s="10" t="s">
        <v>677</v>
      </c>
      <c r="C687" s="10" t="s">
        <v>164</v>
      </c>
      <c r="D687" s="10" t="s">
        <v>179</v>
      </c>
      <c r="E687" s="10" t="s">
        <v>180</v>
      </c>
      <c r="F687" s="10" t="s">
        <v>113</v>
      </c>
      <c r="G687" s="10" t="s">
        <v>105</v>
      </c>
      <c r="H687" s="10" t="s">
        <v>65</v>
      </c>
      <c r="I687" s="10" t="s">
        <v>16</v>
      </c>
      <c r="J687" s="10" t="s">
        <v>565</v>
      </c>
      <c r="K687" s="10" t="s">
        <v>566</v>
      </c>
      <c r="L687" s="10" t="s">
        <v>67</v>
      </c>
    </row>
    <row r="688" spans="1:12" x14ac:dyDescent="0.25">
      <c r="A688">
        <v>174</v>
      </c>
      <c r="B688" s="10" t="s">
        <v>677</v>
      </c>
      <c r="C688" s="10" t="s">
        <v>164</v>
      </c>
      <c r="D688" s="10" t="s">
        <v>179</v>
      </c>
      <c r="E688" s="10" t="s">
        <v>180</v>
      </c>
      <c r="F688" s="10" t="s">
        <v>124</v>
      </c>
      <c r="G688" s="10" t="s">
        <v>125</v>
      </c>
      <c r="H688" s="10" t="s">
        <v>72</v>
      </c>
      <c r="I688" s="10" t="s">
        <v>18</v>
      </c>
      <c r="J688" s="10" t="s">
        <v>54</v>
      </c>
      <c r="K688" s="10" t="s">
        <v>54</v>
      </c>
      <c r="L688" s="10" t="s">
        <v>54</v>
      </c>
    </row>
    <row r="689" spans="1:12" x14ac:dyDescent="0.25">
      <c r="A689">
        <v>174</v>
      </c>
      <c r="B689" s="10" t="s">
        <v>677</v>
      </c>
      <c r="C689" s="10" t="s">
        <v>164</v>
      </c>
      <c r="D689" s="10" t="s">
        <v>179</v>
      </c>
      <c r="E689" s="10" t="s">
        <v>180</v>
      </c>
      <c r="F689" s="10" t="s">
        <v>131</v>
      </c>
      <c r="G689" s="10" t="s">
        <v>68</v>
      </c>
      <c r="H689" s="10" t="s">
        <v>72</v>
      </c>
      <c r="I689" s="10" t="s">
        <v>16</v>
      </c>
      <c r="J689" s="10" t="s">
        <v>688</v>
      </c>
      <c r="K689" s="10" t="s">
        <v>360</v>
      </c>
      <c r="L689" s="10" t="s">
        <v>67</v>
      </c>
    </row>
    <row r="690" spans="1:12" x14ac:dyDescent="0.25">
      <c r="A690">
        <v>174</v>
      </c>
      <c r="B690" s="10" t="s">
        <v>677</v>
      </c>
      <c r="C690" s="10" t="s">
        <v>164</v>
      </c>
      <c r="D690" s="10" t="s">
        <v>179</v>
      </c>
      <c r="E690" s="10" t="s">
        <v>180</v>
      </c>
      <c r="F690" s="10" t="s">
        <v>156</v>
      </c>
      <c r="G690" s="10" t="s">
        <v>125</v>
      </c>
      <c r="H690" s="10" t="s">
        <v>65</v>
      </c>
      <c r="I690" s="10" t="s">
        <v>16</v>
      </c>
      <c r="J690" s="10" t="s">
        <v>689</v>
      </c>
      <c r="K690" s="10" t="s">
        <v>690</v>
      </c>
      <c r="L690" s="10" t="s">
        <v>67</v>
      </c>
    </row>
    <row r="691" spans="1:12" x14ac:dyDescent="0.25">
      <c r="A691">
        <v>174</v>
      </c>
      <c r="B691" s="10" t="s">
        <v>677</v>
      </c>
      <c r="C691" s="10" t="s">
        <v>164</v>
      </c>
      <c r="D691" s="10" t="s">
        <v>179</v>
      </c>
      <c r="E691" s="10" t="s">
        <v>180</v>
      </c>
      <c r="F691" s="10" t="s">
        <v>163</v>
      </c>
      <c r="G691" s="10" t="s">
        <v>68</v>
      </c>
      <c r="H691" s="10" t="s">
        <v>65</v>
      </c>
      <c r="I691" s="10" t="s">
        <v>16</v>
      </c>
      <c r="J691" s="10" t="s">
        <v>691</v>
      </c>
      <c r="K691" s="10" t="s">
        <v>378</v>
      </c>
      <c r="L691" s="10" t="s">
        <v>54</v>
      </c>
    </row>
    <row r="692" spans="1:12" x14ac:dyDescent="0.25">
      <c r="A692">
        <v>174</v>
      </c>
      <c r="B692" s="10" t="s">
        <v>677</v>
      </c>
      <c r="C692" s="10" t="s">
        <v>164</v>
      </c>
      <c r="D692" s="10" t="s">
        <v>179</v>
      </c>
      <c r="E692" s="10" t="s">
        <v>180</v>
      </c>
      <c r="F692" s="10" t="s">
        <v>165</v>
      </c>
      <c r="G692" s="10" t="s">
        <v>68</v>
      </c>
      <c r="H692" s="10" t="s">
        <v>72</v>
      </c>
      <c r="I692" s="10" t="s">
        <v>18</v>
      </c>
      <c r="J692" s="10" t="s">
        <v>54</v>
      </c>
      <c r="K692" s="10" t="s">
        <v>54</v>
      </c>
      <c r="L692" s="10" t="s">
        <v>54</v>
      </c>
    </row>
    <row r="693" spans="1:12" x14ac:dyDescent="0.25">
      <c r="A693">
        <v>179</v>
      </c>
      <c r="B693" s="10" t="s">
        <v>992</v>
      </c>
      <c r="C693" s="10" t="s">
        <v>164</v>
      </c>
      <c r="D693" s="10" t="s">
        <v>232</v>
      </c>
      <c r="E693" s="10" t="s">
        <v>233</v>
      </c>
      <c r="F693" s="10" t="s">
        <v>71</v>
      </c>
      <c r="G693" s="10" t="s">
        <v>68</v>
      </c>
      <c r="H693" s="10" t="s">
        <v>72</v>
      </c>
      <c r="I693" s="10" t="s">
        <v>18</v>
      </c>
      <c r="J693" s="10" t="s">
        <v>54</v>
      </c>
      <c r="K693" s="10" t="s">
        <v>54</v>
      </c>
      <c r="L693" s="10" t="s">
        <v>54</v>
      </c>
    </row>
    <row r="694" spans="1:12" x14ac:dyDescent="0.25">
      <c r="A694">
        <v>179</v>
      </c>
      <c r="B694" s="10" t="s">
        <v>992</v>
      </c>
      <c r="C694" s="10" t="s">
        <v>164</v>
      </c>
      <c r="D694" s="10" t="s">
        <v>232</v>
      </c>
      <c r="E694" s="10" t="s">
        <v>233</v>
      </c>
      <c r="F694" s="10" t="s">
        <v>73</v>
      </c>
      <c r="G694" s="10" t="s">
        <v>68</v>
      </c>
      <c r="H694" s="10" t="s">
        <v>65</v>
      </c>
      <c r="I694" s="10" t="s">
        <v>16</v>
      </c>
      <c r="J694" s="10" t="s">
        <v>967</v>
      </c>
      <c r="K694" s="10" t="s">
        <v>433</v>
      </c>
      <c r="L694" s="10" t="s">
        <v>67</v>
      </c>
    </row>
    <row r="695" spans="1:12" x14ac:dyDescent="0.25">
      <c r="A695">
        <v>179</v>
      </c>
      <c r="B695" s="10" t="s">
        <v>992</v>
      </c>
      <c r="C695" s="10" t="s">
        <v>164</v>
      </c>
      <c r="D695" s="10" t="s">
        <v>232</v>
      </c>
      <c r="E695" s="10" t="s">
        <v>233</v>
      </c>
      <c r="F695" s="10" t="s">
        <v>74</v>
      </c>
      <c r="G695" s="10" t="s">
        <v>68</v>
      </c>
      <c r="H695" s="10" t="s">
        <v>65</v>
      </c>
      <c r="I695" s="10" t="s">
        <v>16</v>
      </c>
      <c r="J695" s="10" t="s">
        <v>993</v>
      </c>
      <c r="K695" s="10" t="s">
        <v>294</v>
      </c>
      <c r="L695" s="10" t="s">
        <v>67</v>
      </c>
    </row>
    <row r="696" spans="1:12" x14ac:dyDescent="0.25">
      <c r="A696">
        <v>179</v>
      </c>
      <c r="B696" s="10" t="s">
        <v>992</v>
      </c>
      <c r="C696" s="10" t="s">
        <v>164</v>
      </c>
      <c r="D696" s="10" t="s">
        <v>232</v>
      </c>
      <c r="E696" s="10" t="s">
        <v>233</v>
      </c>
      <c r="F696" s="10" t="s">
        <v>75</v>
      </c>
      <c r="G696" s="10" t="s">
        <v>68</v>
      </c>
      <c r="H696" s="10" t="s">
        <v>72</v>
      </c>
      <c r="I696" s="10" t="s">
        <v>18</v>
      </c>
      <c r="J696" s="10" t="s">
        <v>54</v>
      </c>
      <c r="K696" s="10" t="s">
        <v>54</v>
      </c>
      <c r="L696" s="10" t="s">
        <v>54</v>
      </c>
    </row>
    <row r="697" spans="1:12" x14ac:dyDescent="0.25">
      <c r="A697">
        <v>179</v>
      </c>
      <c r="B697" s="10" t="s">
        <v>992</v>
      </c>
      <c r="C697" s="10" t="s">
        <v>164</v>
      </c>
      <c r="D697" s="10" t="s">
        <v>232</v>
      </c>
      <c r="E697" s="10" t="s">
        <v>233</v>
      </c>
      <c r="F697" s="10" t="s">
        <v>76</v>
      </c>
      <c r="G697" s="10" t="s">
        <v>77</v>
      </c>
      <c r="H697" s="10" t="s">
        <v>65</v>
      </c>
      <c r="I697" s="10" t="s">
        <v>16</v>
      </c>
      <c r="J697" s="10" t="s">
        <v>406</v>
      </c>
      <c r="K697" s="10" t="s">
        <v>994</v>
      </c>
      <c r="L697" s="10" t="s">
        <v>67</v>
      </c>
    </row>
    <row r="698" spans="1:12" x14ac:dyDescent="0.25">
      <c r="A698">
        <v>179</v>
      </c>
      <c r="B698" s="10" t="s">
        <v>992</v>
      </c>
      <c r="C698" s="10" t="s">
        <v>164</v>
      </c>
      <c r="D698" s="10" t="s">
        <v>232</v>
      </c>
      <c r="E698" s="10" t="s">
        <v>233</v>
      </c>
      <c r="F698" s="10" t="s">
        <v>80</v>
      </c>
      <c r="G698" s="10" t="s">
        <v>77</v>
      </c>
      <c r="H698" s="10" t="s">
        <v>65</v>
      </c>
      <c r="I698" s="10" t="s">
        <v>16</v>
      </c>
      <c r="J698" s="10" t="s">
        <v>79</v>
      </c>
      <c r="K698" s="10" t="s">
        <v>331</v>
      </c>
      <c r="L698" s="10" t="s">
        <v>67</v>
      </c>
    </row>
    <row r="699" spans="1:12" x14ac:dyDescent="0.25">
      <c r="A699">
        <v>179</v>
      </c>
      <c r="B699" s="10" t="s">
        <v>992</v>
      </c>
      <c r="C699" s="10" t="s">
        <v>164</v>
      </c>
      <c r="D699" s="10" t="s">
        <v>232</v>
      </c>
      <c r="E699" s="10" t="s">
        <v>233</v>
      </c>
      <c r="F699" s="10" t="s">
        <v>84</v>
      </c>
      <c r="G699" s="10" t="s">
        <v>83</v>
      </c>
      <c r="H699" s="10" t="s">
        <v>65</v>
      </c>
      <c r="I699" s="10" t="s">
        <v>16</v>
      </c>
      <c r="J699" s="10" t="s">
        <v>886</v>
      </c>
      <c r="K699" s="10" t="s">
        <v>887</v>
      </c>
      <c r="L699" s="10" t="s">
        <v>67</v>
      </c>
    </row>
    <row r="700" spans="1:12" x14ac:dyDescent="0.25">
      <c r="A700">
        <v>179</v>
      </c>
      <c r="B700" s="10" t="s">
        <v>992</v>
      </c>
      <c r="C700" s="10" t="s">
        <v>164</v>
      </c>
      <c r="D700" s="10" t="s">
        <v>232</v>
      </c>
      <c r="E700" s="10" t="s">
        <v>233</v>
      </c>
      <c r="F700" s="10" t="s">
        <v>93</v>
      </c>
      <c r="G700" s="10" t="s">
        <v>94</v>
      </c>
      <c r="H700" s="10" t="s">
        <v>65</v>
      </c>
      <c r="I700" s="10" t="s">
        <v>16</v>
      </c>
      <c r="J700" s="10" t="s">
        <v>836</v>
      </c>
      <c r="K700" s="10" t="s">
        <v>760</v>
      </c>
      <c r="L700" s="10" t="s">
        <v>67</v>
      </c>
    </row>
    <row r="701" spans="1:12" x14ac:dyDescent="0.25">
      <c r="A701">
        <v>179</v>
      </c>
      <c r="B701" s="10" t="s">
        <v>992</v>
      </c>
      <c r="C701" s="10" t="s">
        <v>164</v>
      </c>
      <c r="D701" s="10" t="s">
        <v>232</v>
      </c>
      <c r="E701" s="10" t="s">
        <v>233</v>
      </c>
      <c r="F701" s="10" t="s">
        <v>95</v>
      </c>
      <c r="G701" s="10" t="s">
        <v>94</v>
      </c>
      <c r="H701" s="10" t="s">
        <v>65</v>
      </c>
      <c r="I701" s="10" t="s">
        <v>16</v>
      </c>
      <c r="J701" s="10" t="s">
        <v>836</v>
      </c>
      <c r="K701" s="10" t="s">
        <v>760</v>
      </c>
      <c r="L701" s="10" t="s">
        <v>67</v>
      </c>
    </row>
    <row r="702" spans="1:12" x14ac:dyDescent="0.25">
      <c r="A702">
        <v>179</v>
      </c>
      <c r="B702" s="10" t="s">
        <v>992</v>
      </c>
      <c r="C702" s="10" t="s">
        <v>164</v>
      </c>
      <c r="D702" s="10" t="s">
        <v>232</v>
      </c>
      <c r="E702" s="10" t="s">
        <v>233</v>
      </c>
      <c r="F702" s="10" t="s">
        <v>97</v>
      </c>
      <c r="G702" s="10" t="s">
        <v>98</v>
      </c>
      <c r="H702" s="10" t="s">
        <v>65</v>
      </c>
      <c r="I702" s="10" t="s">
        <v>16</v>
      </c>
      <c r="J702" s="10" t="s">
        <v>995</v>
      </c>
      <c r="K702" s="10" t="s">
        <v>852</v>
      </c>
      <c r="L702" s="10" t="s">
        <v>67</v>
      </c>
    </row>
    <row r="703" spans="1:12" x14ac:dyDescent="0.25">
      <c r="A703">
        <v>179</v>
      </c>
      <c r="B703" s="10" t="s">
        <v>992</v>
      </c>
      <c r="C703" s="10" t="s">
        <v>164</v>
      </c>
      <c r="D703" s="10" t="s">
        <v>232</v>
      </c>
      <c r="E703" s="10" t="s">
        <v>233</v>
      </c>
      <c r="F703" s="10" t="s">
        <v>100</v>
      </c>
      <c r="G703" s="10" t="s">
        <v>98</v>
      </c>
      <c r="H703" s="10" t="s">
        <v>72</v>
      </c>
      <c r="I703" s="10" t="s">
        <v>18</v>
      </c>
      <c r="J703" s="10" t="s">
        <v>54</v>
      </c>
      <c r="K703" s="10" t="s">
        <v>54</v>
      </c>
      <c r="L703" s="10" t="s">
        <v>54</v>
      </c>
    </row>
    <row r="704" spans="1:12" x14ac:dyDescent="0.25">
      <c r="A704">
        <v>179</v>
      </c>
      <c r="B704" s="10" t="s">
        <v>992</v>
      </c>
      <c r="C704" s="10" t="s">
        <v>164</v>
      </c>
      <c r="D704" s="10" t="s">
        <v>232</v>
      </c>
      <c r="E704" s="10" t="s">
        <v>233</v>
      </c>
      <c r="F704" s="10" t="s">
        <v>101</v>
      </c>
      <c r="G704" s="10" t="s">
        <v>102</v>
      </c>
      <c r="H704" s="10" t="s">
        <v>65</v>
      </c>
      <c r="I704" s="10" t="s">
        <v>16</v>
      </c>
      <c r="J704" s="10" t="s">
        <v>79</v>
      </c>
      <c r="K704" s="10" t="s">
        <v>852</v>
      </c>
      <c r="L704" s="10" t="s">
        <v>67</v>
      </c>
    </row>
    <row r="705" spans="1:12" x14ac:dyDescent="0.25">
      <c r="A705">
        <v>179</v>
      </c>
      <c r="B705" s="10" t="s">
        <v>992</v>
      </c>
      <c r="C705" s="10" t="s">
        <v>164</v>
      </c>
      <c r="D705" s="10" t="s">
        <v>232</v>
      </c>
      <c r="E705" s="10" t="s">
        <v>233</v>
      </c>
      <c r="F705" s="10" t="s">
        <v>103</v>
      </c>
      <c r="G705" s="10" t="s">
        <v>102</v>
      </c>
      <c r="H705" s="10" t="s">
        <v>65</v>
      </c>
      <c r="I705" s="10" t="s">
        <v>16</v>
      </c>
      <c r="J705" s="10" t="s">
        <v>453</v>
      </c>
      <c r="K705" s="10" t="s">
        <v>454</v>
      </c>
      <c r="L705" s="10" t="s">
        <v>67</v>
      </c>
    </row>
    <row r="706" spans="1:12" x14ac:dyDescent="0.25">
      <c r="A706">
        <v>179</v>
      </c>
      <c r="B706" s="10" t="s">
        <v>992</v>
      </c>
      <c r="C706" s="10" t="s">
        <v>164</v>
      </c>
      <c r="D706" s="10" t="s">
        <v>232</v>
      </c>
      <c r="E706" s="10" t="s">
        <v>233</v>
      </c>
      <c r="F706" s="10" t="s">
        <v>104</v>
      </c>
      <c r="G706" s="10" t="s">
        <v>105</v>
      </c>
      <c r="H706" s="10" t="s">
        <v>65</v>
      </c>
      <c r="I706" s="10" t="s">
        <v>16</v>
      </c>
      <c r="J706" s="10" t="s">
        <v>996</v>
      </c>
      <c r="K706" s="10" t="s">
        <v>917</v>
      </c>
      <c r="L706" s="10" t="s">
        <v>67</v>
      </c>
    </row>
    <row r="707" spans="1:12" x14ac:dyDescent="0.25">
      <c r="A707">
        <v>179</v>
      </c>
      <c r="B707" s="10" t="s">
        <v>992</v>
      </c>
      <c r="C707" s="10" t="s">
        <v>164</v>
      </c>
      <c r="D707" s="10" t="s">
        <v>232</v>
      </c>
      <c r="E707" s="10" t="s">
        <v>233</v>
      </c>
      <c r="F707" s="10" t="s">
        <v>106</v>
      </c>
      <c r="G707" s="10" t="s">
        <v>105</v>
      </c>
      <c r="H707" s="10" t="s">
        <v>65</v>
      </c>
      <c r="I707" s="10" t="s">
        <v>16</v>
      </c>
      <c r="J707" s="10" t="s">
        <v>997</v>
      </c>
      <c r="K707" s="10" t="s">
        <v>998</v>
      </c>
      <c r="L707" s="10" t="s">
        <v>67</v>
      </c>
    </row>
    <row r="708" spans="1:12" x14ac:dyDescent="0.25">
      <c r="A708">
        <v>179</v>
      </c>
      <c r="B708" s="10" t="s">
        <v>992</v>
      </c>
      <c r="C708" s="10" t="s">
        <v>164</v>
      </c>
      <c r="D708" s="10" t="s">
        <v>232</v>
      </c>
      <c r="E708" s="10" t="s">
        <v>233</v>
      </c>
      <c r="F708" s="10" t="s">
        <v>107</v>
      </c>
      <c r="G708" s="10" t="s">
        <v>105</v>
      </c>
      <c r="H708" s="10" t="s">
        <v>65</v>
      </c>
      <c r="I708" s="10" t="s">
        <v>16</v>
      </c>
      <c r="J708" s="10" t="s">
        <v>999</v>
      </c>
      <c r="K708" s="10" t="s">
        <v>852</v>
      </c>
      <c r="L708" s="10" t="s">
        <v>67</v>
      </c>
    </row>
    <row r="709" spans="1:12" x14ac:dyDescent="0.25">
      <c r="A709">
        <v>179</v>
      </c>
      <c r="B709" s="10" t="s">
        <v>992</v>
      </c>
      <c r="C709" s="10" t="s">
        <v>164</v>
      </c>
      <c r="D709" s="10" t="s">
        <v>232</v>
      </c>
      <c r="E709" s="10" t="s">
        <v>233</v>
      </c>
      <c r="F709" s="10" t="s">
        <v>108</v>
      </c>
      <c r="G709" s="10" t="s">
        <v>105</v>
      </c>
      <c r="H709" s="10" t="s">
        <v>65</v>
      </c>
      <c r="I709" s="10" t="s">
        <v>24</v>
      </c>
      <c r="J709" s="10" t="s">
        <v>323</v>
      </c>
      <c r="K709" s="10" t="s">
        <v>411</v>
      </c>
      <c r="L709" s="10" t="s">
        <v>67</v>
      </c>
    </row>
    <row r="710" spans="1:12" x14ac:dyDescent="0.25">
      <c r="A710">
        <v>179</v>
      </c>
      <c r="B710" s="10" t="s">
        <v>992</v>
      </c>
      <c r="C710" s="10" t="s">
        <v>164</v>
      </c>
      <c r="D710" s="10" t="s">
        <v>232</v>
      </c>
      <c r="E710" s="10" t="s">
        <v>233</v>
      </c>
      <c r="F710" s="10" t="s">
        <v>109</v>
      </c>
      <c r="G710" s="10" t="s">
        <v>105</v>
      </c>
      <c r="H710" s="10" t="s">
        <v>65</v>
      </c>
      <c r="I710" s="10" t="s">
        <v>16</v>
      </c>
      <c r="J710" s="10" t="s">
        <v>996</v>
      </c>
      <c r="K710" s="10" t="s">
        <v>917</v>
      </c>
      <c r="L710" s="10" t="s">
        <v>67</v>
      </c>
    </row>
    <row r="711" spans="1:12" x14ac:dyDescent="0.25">
      <c r="A711">
        <v>179</v>
      </c>
      <c r="B711" s="10" t="s">
        <v>992</v>
      </c>
      <c r="C711" s="10" t="s">
        <v>164</v>
      </c>
      <c r="D711" s="10" t="s">
        <v>232</v>
      </c>
      <c r="E711" s="10" t="s">
        <v>233</v>
      </c>
      <c r="F711" s="10" t="s">
        <v>110</v>
      </c>
      <c r="G711" s="10" t="s">
        <v>105</v>
      </c>
      <c r="H711" s="10" t="s">
        <v>65</v>
      </c>
      <c r="I711" s="10" t="s">
        <v>16</v>
      </c>
      <c r="J711" s="10" t="s">
        <v>79</v>
      </c>
      <c r="K711" s="10" t="s">
        <v>942</v>
      </c>
      <c r="L711" s="10" t="s">
        <v>67</v>
      </c>
    </row>
    <row r="712" spans="1:12" x14ac:dyDescent="0.25">
      <c r="A712">
        <v>179</v>
      </c>
      <c r="B712" s="10" t="s">
        <v>992</v>
      </c>
      <c r="C712" s="10" t="s">
        <v>164</v>
      </c>
      <c r="D712" s="10" t="s">
        <v>232</v>
      </c>
      <c r="E712" s="10" t="s">
        <v>233</v>
      </c>
      <c r="F712" s="10" t="s">
        <v>111</v>
      </c>
      <c r="G712" s="10" t="s">
        <v>105</v>
      </c>
      <c r="H712" s="10" t="s">
        <v>65</v>
      </c>
      <c r="I712" s="10" t="s">
        <v>16</v>
      </c>
      <c r="J712" s="10" t="s">
        <v>314</v>
      </c>
      <c r="K712" s="10" t="s">
        <v>315</v>
      </c>
      <c r="L712" s="10" t="s">
        <v>67</v>
      </c>
    </row>
    <row r="713" spans="1:12" x14ac:dyDescent="0.25">
      <c r="A713">
        <v>179</v>
      </c>
      <c r="B713" s="10" t="s">
        <v>992</v>
      </c>
      <c r="C713" s="10" t="s">
        <v>164</v>
      </c>
      <c r="D713" s="10" t="s">
        <v>232</v>
      </c>
      <c r="E713" s="10" t="s">
        <v>233</v>
      </c>
      <c r="F713" s="10" t="s">
        <v>112</v>
      </c>
      <c r="G713" s="10" t="s">
        <v>105</v>
      </c>
      <c r="H713" s="10" t="s">
        <v>65</v>
      </c>
      <c r="I713" s="10" t="s">
        <v>16</v>
      </c>
      <c r="J713" s="10" t="s">
        <v>314</v>
      </c>
      <c r="K713" s="10" t="s">
        <v>315</v>
      </c>
      <c r="L713" s="10" t="s">
        <v>67</v>
      </c>
    </row>
    <row r="714" spans="1:12" x14ac:dyDescent="0.25">
      <c r="A714">
        <v>179</v>
      </c>
      <c r="B714" s="10" t="s">
        <v>992</v>
      </c>
      <c r="C714" s="10" t="s">
        <v>164</v>
      </c>
      <c r="D714" s="10" t="s">
        <v>232</v>
      </c>
      <c r="E714" s="10" t="s">
        <v>233</v>
      </c>
      <c r="F714" s="10" t="s">
        <v>113</v>
      </c>
      <c r="G714" s="10" t="s">
        <v>105</v>
      </c>
      <c r="H714" s="10" t="s">
        <v>65</v>
      </c>
      <c r="I714" s="10" t="s">
        <v>16</v>
      </c>
      <c r="J714" s="10" t="s">
        <v>314</v>
      </c>
      <c r="K714" s="10" t="s">
        <v>315</v>
      </c>
      <c r="L714" s="10" t="s">
        <v>67</v>
      </c>
    </row>
    <row r="715" spans="1:12" x14ac:dyDescent="0.25">
      <c r="A715">
        <v>179</v>
      </c>
      <c r="B715" s="10" t="s">
        <v>992</v>
      </c>
      <c r="C715" s="10" t="s">
        <v>164</v>
      </c>
      <c r="D715" s="10" t="s">
        <v>232</v>
      </c>
      <c r="E715" s="10" t="s">
        <v>233</v>
      </c>
      <c r="F715" s="10" t="s">
        <v>124</v>
      </c>
      <c r="G715" s="10" t="s">
        <v>125</v>
      </c>
      <c r="H715" s="10" t="s">
        <v>72</v>
      </c>
      <c r="I715" s="10" t="s">
        <v>16</v>
      </c>
      <c r="J715" s="10" t="s">
        <v>439</v>
      </c>
      <c r="K715" s="10" t="s">
        <v>1000</v>
      </c>
      <c r="L715" s="10" t="s">
        <v>67</v>
      </c>
    </row>
    <row r="716" spans="1:12" x14ac:dyDescent="0.25">
      <c r="A716">
        <v>179</v>
      </c>
      <c r="B716" s="10" t="s">
        <v>992</v>
      </c>
      <c r="C716" s="10" t="s">
        <v>164</v>
      </c>
      <c r="D716" s="10" t="s">
        <v>232</v>
      </c>
      <c r="E716" s="10" t="s">
        <v>233</v>
      </c>
      <c r="F716" s="10" t="s">
        <v>131</v>
      </c>
      <c r="G716" s="10" t="s">
        <v>68</v>
      </c>
      <c r="H716" s="10" t="s">
        <v>72</v>
      </c>
      <c r="I716" s="10" t="s">
        <v>16</v>
      </c>
      <c r="J716" s="10" t="s">
        <v>1001</v>
      </c>
      <c r="K716" s="10" t="s">
        <v>1002</v>
      </c>
      <c r="L716" s="10" t="s">
        <v>67</v>
      </c>
    </row>
    <row r="717" spans="1:12" x14ac:dyDescent="0.25">
      <c r="A717">
        <v>179</v>
      </c>
      <c r="B717" s="10" t="s">
        <v>992</v>
      </c>
      <c r="C717" s="10" t="s">
        <v>164</v>
      </c>
      <c r="D717" s="10" t="s">
        <v>232</v>
      </c>
      <c r="E717" s="10" t="s">
        <v>233</v>
      </c>
      <c r="F717" s="10" t="s">
        <v>156</v>
      </c>
      <c r="G717" s="10" t="s">
        <v>125</v>
      </c>
      <c r="H717" s="10" t="s">
        <v>65</v>
      </c>
      <c r="I717" s="10" t="s">
        <v>16</v>
      </c>
      <c r="J717" s="10" t="s">
        <v>824</v>
      </c>
      <c r="K717" s="10" t="s">
        <v>1003</v>
      </c>
      <c r="L717" s="10" t="s">
        <v>54</v>
      </c>
    </row>
    <row r="718" spans="1:12" x14ac:dyDescent="0.25">
      <c r="A718">
        <v>179</v>
      </c>
      <c r="B718" s="10" t="s">
        <v>992</v>
      </c>
      <c r="C718" s="10" t="s">
        <v>164</v>
      </c>
      <c r="D718" s="10" t="s">
        <v>232</v>
      </c>
      <c r="E718" s="10" t="s">
        <v>233</v>
      </c>
      <c r="F718" s="10" t="s">
        <v>163</v>
      </c>
      <c r="G718" s="10" t="s">
        <v>68</v>
      </c>
      <c r="H718" s="10" t="s">
        <v>65</v>
      </c>
      <c r="I718" s="10" t="s">
        <v>16</v>
      </c>
      <c r="J718" s="10" t="s">
        <v>1004</v>
      </c>
      <c r="K718" s="10" t="s">
        <v>1005</v>
      </c>
      <c r="L718" s="10" t="s">
        <v>54</v>
      </c>
    </row>
    <row r="719" spans="1:12" x14ac:dyDescent="0.25">
      <c r="A719">
        <v>179</v>
      </c>
      <c r="B719" s="10" t="s">
        <v>992</v>
      </c>
      <c r="C719" s="10" t="s">
        <v>164</v>
      </c>
      <c r="D719" s="10" t="s">
        <v>232</v>
      </c>
      <c r="E719" s="10" t="s">
        <v>233</v>
      </c>
      <c r="F719" s="10" t="s">
        <v>165</v>
      </c>
      <c r="G719" s="10" t="s">
        <v>68</v>
      </c>
      <c r="H719" s="10" t="s">
        <v>72</v>
      </c>
      <c r="I719" s="10" t="s">
        <v>18</v>
      </c>
      <c r="J719" s="10" t="s">
        <v>54</v>
      </c>
      <c r="K719" s="10" t="s">
        <v>54</v>
      </c>
      <c r="L719" s="10" t="s">
        <v>54</v>
      </c>
    </row>
    <row r="720" spans="1:12" x14ac:dyDescent="0.25">
      <c r="A720">
        <v>177</v>
      </c>
      <c r="B720" s="10" t="s">
        <v>950</v>
      </c>
      <c r="C720" s="10" t="s">
        <v>164</v>
      </c>
      <c r="D720" s="10" t="s">
        <v>223</v>
      </c>
      <c r="E720" s="10" t="s">
        <v>224</v>
      </c>
      <c r="F720" s="10" t="s">
        <v>71</v>
      </c>
      <c r="G720" s="10" t="s">
        <v>68</v>
      </c>
      <c r="H720" s="10" t="s">
        <v>72</v>
      </c>
      <c r="I720" s="10" t="s">
        <v>16</v>
      </c>
      <c r="J720" s="10" t="s">
        <v>780</v>
      </c>
      <c r="K720" s="10" t="s">
        <v>781</v>
      </c>
      <c r="L720" s="10" t="s">
        <v>67</v>
      </c>
    </row>
    <row r="721" spans="1:12" x14ac:dyDescent="0.25">
      <c r="A721">
        <v>177</v>
      </c>
      <c r="B721" s="10" t="s">
        <v>950</v>
      </c>
      <c r="C721" s="10" t="s">
        <v>164</v>
      </c>
      <c r="D721" s="10" t="s">
        <v>223</v>
      </c>
      <c r="E721" s="10" t="s">
        <v>224</v>
      </c>
      <c r="F721" s="10" t="s">
        <v>73</v>
      </c>
      <c r="G721" s="10" t="s">
        <v>68</v>
      </c>
      <c r="H721" s="10" t="s">
        <v>65</v>
      </c>
      <c r="I721" s="10" t="s">
        <v>16</v>
      </c>
      <c r="J721" s="10" t="s">
        <v>951</v>
      </c>
      <c r="K721" s="10" t="s">
        <v>952</v>
      </c>
      <c r="L721" s="10" t="s">
        <v>67</v>
      </c>
    </row>
    <row r="722" spans="1:12" x14ac:dyDescent="0.25">
      <c r="A722">
        <v>177</v>
      </c>
      <c r="B722" s="10" t="s">
        <v>950</v>
      </c>
      <c r="C722" s="10" t="s">
        <v>164</v>
      </c>
      <c r="D722" s="10" t="s">
        <v>223</v>
      </c>
      <c r="E722" s="10" t="s">
        <v>224</v>
      </c>
      <c r="F722" s="10" t="s">
        <v>74</v>
      </c>
      <c r="G722" s="10" t="s">
        <v>68</v>
      </c>
      <c r="H722" s="10" t="s">
        <v>65</v>
      </c>
      <c r="I722" s="10" t="s">
        <v>16</v>
      </c>
      <c r="J722" s="10" t="s">
        <v>953</v>
      </c>
      <c r="K722" s="10" t="s">
        <v>954</v>
      </c>
      <c r="L722" s="10" t="s">
        <v>67</v>
      </c>
    </row>
    <row r="723" spans="1:12" x14ac:dyDescent="0.25">
      <c r="A723">
        <v>177</v>
      </c>
      <c r="B723" s="10" t="s">
        <v>950</v>
      </c>
      <c r="C723" s="10" t="s">
        <v>164</v>
      </c>
      <c r="D723" s="10" t="s">
        <v>223</v>
      </c>
      <c r="E723" s="10" t="s">
        <v>224</v>
      </c>
      <c r="F723" s="10" t="s">
        <v>75</v>
      </c>
      <c r="G723" s="10" t="s">
        <v>68</v>
      </c>
      <c r="H723" s="10" t="s">
        <v>72</v>
      </c>
      <c r="I723" s="10" t="s">
        <v>24</v>
      </c>
      <c r="J723" s="10" t="s">
        <v>326</v>
      </c>
      <c r="K723" s="10" t="s">
        <v>954</v>
      </c>
      <c r="L723" s="10" t="s">
        <v>67</v>
      </c>
    </row>
    <row r="724" spans="1:12" x14ac:dyDescent="0.25">
      <c r="A724">
        <v>177</v>
      </c>
      <c r="B724" s="10" t="s">
        <v>950</v>
      </c>
      <c r="C724" s="10" t="s">
        <v>164</v>
      </c>
      <c r="D724" s="10" t="s">
        <v>223</v>
      </c>
      <c r="E724" s="10" t="s">
        <v>224</v>
      </c>
      <c r="F724" s="10" t="s">
        <v>76</v>
      </c>
      <c r="G724" s="10" t="s">
        <v>77</v>
      </c>
      <c r="H724" s="10" t="s">
        <v>65</v>
      </c>
      <c r="I724" s="10" t="s">
        <v>16</v>
      </c>
      <c r="J724" s="10" t="s">
        <v>439</v>
      </c>
      <c r="K724" s="10" t="s">
        <v>955</v>
      </c>
      <c r="L724" s="10" t="s">
        <v>67</v>
      </c>
    </row>
    <row r="725" spans="1:12" x14ac:dyDescent="0.25">
      <c r="A725">
        <v>177</v>
      </c>
      <c r="B725" s="10" t="s">
        <v>950</v>
      </c>
      <c r="C725" s="10" t="s">
        <v>164</v>
      </c>
      <c r="D725" s="10" t="s">
        <v>223</v>
      </c>
      <c r="E725" s="10" t="s">
        <v>224</v>
      </c>
      <c r="F725" s="10" t="s">
        <v>80</v>
      </c>
      <c r="G725" s="10" t="s">
        <v>77</v>
      </c>
      <c r="H725" s="10" t="s">
        <v>65</v>
      </c>
      <c r="I725" s="10" t="s">
        <v>16</v>
      </c>
      <c r="J725" s="10" t="s">
        <v>79</v>
      </c>
      <c r="K725" s="10" t="s">
        <v>442</v>
      </c>
      <c r="L725" s="10" t="s">
        <v>67</v>
      </c>
    </row>
    <row r="726" spans="1:12" x14ac:dyDescent="0.25">
      <c r="A726">
        <v>177</v>
      </c>
      <c r="B726" s="10" t="s">
        <v>950</v>
      </c>
      <c r="C726" s="10" t="s">
        <v>164</v>
      </c>
      <c r="D726" s="10" t="s">
        <v>223</v>
      </c>
      <c r="E726" s="10" t="s">
        <v>224</v>
      </c>
      <c r="F726" s="10" t="s">
        <v>84</v>
      </c>
      <c r="G726" s="10" t="s">
        <v>83</v>
      </c>
      <c r="H726" s="10" t="s">
        <v>65</v>
      </c>
      <c r="I726" s="10" t="s">
        <v>16</v>
      </c>
      <c r="J726" s="10" t="s">
        <v>832</v>
      </c>
      <c r="K726" s="10" t="s">
        <v>833</v>
      </c>
      <c r="L726" s="10" t="s">
        <v>67</v>
      </c>
    </row>
    <row r="727" spans="1:12" x14ac:dyDescent="0.25">
      <c r="A727">
        <v>177</v>
      </c>
      <c r="B727" s="10" t="s">
        <v>950</v>
      </c>
      <c r="C727" s="10" t="s">
        <v>164</v>
      </c>
      <c r="D727" s="10" t="s">
        <v>223</v>
      </c>
      <c r="E727" s="10" t="s">
        <v>224</v>
      </c>
      <c r="F727" s="10" t="s">
        <v>93</v>
      </c>
      <c r="G727" s="10" t="s">
        <v>94</v>
      </c>
      <c r="H727" s="10" t="s">
        <v>65</v>
      </c>
      <c r="I727" s="10" t="s">
        <v>16</v>
      </c>
      <c r="J727" s="10" t="s">
        <v>956</v>
      </c>
      <c r="K727" s="10" t="s">
        <v>957</v>
      </c>
      <c r="L727" s="10" t="s">
        <v>67</v>
      </c>
    </row>
    <row r="728" spans="1:12" x14ac:dyDescent="0.25">
      <c r="A728">
        <v>177</v>
      </c>
      <c r="B728" s="10" t="s">
        <v>950</v>
      </c>
      <c r="C728" s="10" t="s">
        <v>164</v>
      </c>
      <c r="D728" s="10" t="s">
        <v>223</v>
      </c>
      <c r="E728" s="10" t="s">
        <v>224</v>
      </c>
      <c r="F728" s="10" t="s">
        <v>95</v>
      </c>
      <c r="G728" s="10" t="s">
        <v>94</v>
      </c>
      <c r="H728" s="10" t="s">
        <v>65</v>
      </c>
      <c r="I728" s="10" t="s">
        <v>16</v>
      </c>
      <c r="J728" s="10" t="s">
        <v>956</v>
      </c>
      <c r="K728" s="10" t="s">
        <v>957</v>
      </c>
      <c r="L728" s="10" t="s">
        <v>67</v>
      </c>
    </row>
    <row r="729" spans="1:12" x14ac:dyDescent="0.25">
      <c r="A729">
        <v>177</v>
      </c>
      <c r="B729" s="10" t="s">
        <v>950</v>
      </c>
      <c r="C729" s="10" t="s">
        <v>164</v>
      </c>
      <c r="D729" s="10" t="s">
        <v>223</v>
      </c>
      <c r="E729" s="10" t="s">
        <v>224</v>
      </c>
      <c r="F729" s="10" t="s">
        <v>97</v>
      </c>
      <c r="G729" s="10" t="s">
        <v>98</v>
      </c>
      <c r="H729" s="10" t="s">
        <v>65</v>
      </c>
      <c r="I729" s="10" t="s">
        <v>16</v>
      </c>
      <c r="J729" s="10" t="s">
        <v>447</v>
      </c>
      <c r="K729" s="10" t="s">
        <v>391</v>
      </c>
      <c r="L729" s="10" t="s">
        <v>67</v>
      </c>
    </row>
    <row r="730" spans="1:12" x14ac:dyDescent="0.25">
      <c r="A730">
        <v>177</v>
      </c>
      <c r="B730" s="10" t="s">
        <v>950</v>
      </c>
      <c r="C730" s="10" t="s">
        <v>164</v>
      </c>
      <c r="D730" s="10" t="s">
        <v>223</v>
      </c>
      <c r="E730" s="10" t="s">
        <v>224</v>
      </c>
      <c r="F730" s="10" t="s">
        <v>100</v>
      </c>
      <c r="G730" s="10" t="s">
        <v>98</v>
      </c>
      <c r="H730" s="10" t="s">
        <v>72</v>
      </c>
      <c r="I730" s="10" t="s">
        <v>18</v>
      </c>
      <c r="J730" s="10" t="s">
        <v>54</v>
      </c>
      <c r="K730" s="10" t="s">
        <v>54</v>
      </c>
      <c r="L730" s="10" t="s">
        <v>54</v>
      </c>
    </row>
    <row r="731" spans="1:12" x14ac:dyDescent="0.25">
      <c r="A731">
        <v>177</v>
      </c>
      <c r="B731" s="10" t="s">
        <v>950</v>
      </c>
      <c r="C731" s="10" t="s">
        <v>164</v>
      </c>
      <c r="D731" s="10" t="s">
        <v>223</v>
      </c>
      <c r="E731" s="10" t="s">
        <v>224</v>
      </c>
      <c r="F731" s="10" t="s">
        <v>101</v>
      </c>
      <c r="G731" s="10" t="s">
        <v>102</v>
      </c>
      <c r="H731" s="10" t="s">
        <v>65</v>
      </c>
      <c r="I731" s="10" t="s">
        <v>16</v>
      </c>
      <c r="J731" s="10" t="s">
        <v>79</v>
      </c>
      <c r="K731" s="10" t="s">
        <v>465</v>
      </c>
      <c r="L731" s="10" t="s">
        <v>67</v>
      </c>
    </row>
    <row r="732" spans="1:12" x14ac:dyDescent="0.25">
      <c r="A732">
        <v>177</v>
      </c>
      <c r="B732" s="10" t="s">
        <v>950</v>
      </c>
      <c r="C732" s="10" t="s">
        <v>164</v>
      </c>
      <c r="D732" s="10" t="s">
        <v>223</v>
      </c>
      <c r="E732" s="10" t="s">
        <v>224</v>
      </c>
      <c r="F732" s="10" t="s">
        <v>103</v>
      </c>
      <c r="G732" s="10" t="s">
        <v>102</v>
      </c>
      <c r="H732" s="10" t="s">
        <v>65</v>
      </c>
      <c r="I732" s="10" t="s">
        <v>16</v>
      </c>
      <c r="J732" s="10" t="s">
        <v>814</v>
      </c>
      <c r="K732" s="10" t="s">
        <v>815</v>
      </c>
      <c r="L732" s="10" t="s">
        <v>67</v>
      </c>
    </row>
    <row r="733" spans="1:12" x14ac:dyDescent="0.25">
      <c r="A733">
        <v>177</v>
      </c>
      <c r="B733" s="10" t="s">
        <v>950</v>
      </c>
      <c r="C733" s="10" t="s">
        <v>164</v>
      </c>
      <c r="D733" s="10" t="s">
        <v>223</v>
      </c>
      <c r="E733" s="10" t="s">
        <v>224</v>
      </c>
      <c r="F733" s="10" t="s">
        <v>104</v>
      </c>
      <c r="G733" s="10" t="s">
        <v>105</v>
      </c>
      <c r="H733" s="10" t="s">
        <v>65</v>
      </c>
      <c r="I733" s="10" t="s">
        <v>16</v>
      </c>
      <c r="J733" s="10" t="s">
        <v>332</v>
      </c>
      <c r="K733" s="10" t="s">
        <v>333</v>
      </c>
      <c r="L733" s="10" t="s">
        <v>67</v>
      </c>
    </row>
    <row r="734" spans="1:12" x14ac:dyDescent="0.25">
      <c r="A734">
        <v>177</v>
      </c>
      <c r="B734" s="10" t="s">
        <v>950</v>
      </c>
      <c r="C734" s="10" t="s">
        <v>164</v>
      </c>
      <c r="D734" s="10" t="s">
        <v>223</v>
      </c>
      <c r="E734" s="10" t="s">
        <v>224</v>
      </c>
      <c r="F734" s="10" t="s">
        <v>106</v>
      </c>
      <c r="G734" s="10" t="s">
        <v>105</v>
      </c>
      <c r="H734" s="10" t="s">
        <v>65</v>
      </c>
      <c r="I734" s="10" t="s">
        <v>16</v>
      </c>
      <c r="J734" s="10" t="s">
        <v>447</v>
      </c>
      <c r="K734" s="10" t="s">
        <v>391</v>
      </c>
      <c r="L734" s="10" t="s">
        <v>67</v>
      </c>
    </row>
    <row r="735" spans="1:12" x14ac:dyDescent="0.25">
      <c r="A735">
        <v>177</v>
      </c>
      <c r="B735" s="10" t="s">
        <v>950</v>
      </c>
      <c r="C735" s="10" t="s">
        <v>164</v>
      </c>
      <c r="D735" s="10" t="s">
        <v>223</v>
      </c>
      <c r="E735" s="10" t="s">
        <v>224</v>
      </c>
      <c r="F735" s="10" t="s">
        <v>107</v>
      </c>
      <c r="G735" s="10" t="s">
        <v>105</v>
      </c>
      <c r="H735" s="10" t="s">
        <v>65</v>
      </c>
      <c r="I735" s="10" t="s">
        <v>16</v>
      </c>
      <c r="J735" s="10" t="s">
        <v>419</v>
      </c>
      <c r="K735" s="10" t="s">
        <v>415</v>
      </c>
      <c r="L735" s="10" t="s">
        <v>67</v>
      </c>
    </row>
    <row r="736" spans="1:12" x14ac:dyDescent="0.25">
      <c r="A736">
        <v>177</v>
      </c>
      <c r="B736" s="10" t="s">
        <v>950</v>
      </c>
      <c r="C736" s="10" t="s">
        <v>164</v>
      </c>
      <c r="D736" s="10" t="s">
        <v>223</v>
      </c>
      <c r="E736" s="10" t="s">
        <v>224</v>
      </c>
      <c r="F736" s="10" t="s">
        <v>108</v>
      </c>
      <c r="G736" s="10" t="s">
        <v>105</v>
      </c>
      <c r="H736" s="10" t="s">
        <v>65</v>
      </c>
      <c r="I736" s="10" t="s">
        <v>16</v>
      </c>
      <c r="J736" s="10" t="s">
        <v>932</v>
      </c>
      <c r="K736" s="10" t="s">
        <v>910</v>
      </c>
      <c r="L736" s="10" t="s">
        <v>67</v>
      </c>
    </row>
    <row r="737" spans="1:12" x14ac:dyDescent="0.25">
      <c r="A737">
        <v>177</v>
      </c>
      <c r="B737" s="10" t="s">
        <v>950</v>
      </c>
      <c r="C737" s="10" t="s">
        <v>164</v>
      </c>
      <c r="D737" s="10" t="s">
        <v>223</v>
      </c>
      <c r="E737" s="10" t="s">
        <v>224</v>
      </c>
      <c r="F737" s="10" t="s">
        <v>109</v>
      </c>
      <c r="G737" s="10" t="s">
        <v>105</v>
      </c>
      <c r="H737" s="10" t="s">
        <v>65</v>
      </c>
      <c r="I737" s="10" t="s">
        <v>16</v>
      </c>
      <c r="J737" s="10" t="s">
        <v>332</v>
      </c>
      <c r="K737" s="10" t="s">
        <v>333</v>
      </c>
      <c r="L737" s="10" t="s">
        <v>67</v>
      </c>
    </row>
    <row r="738" spans="1:12" x14ac:dyDescent="0.25">
      <c r="A738">
        <v>177</v>
      </c>
      <c r="B738" s="10" t="s">
        <v>950</v>
      </c>
      <c r="C738" s="10" t="s">
        <v>164</v>
      </c>
      <c r="D738" s="10" t="s">
        <v>223</v>
      </c>
      <c r="E738" s="10" t="s">
        <v>224</v>
      </c>
      <c r="F738" s="10" t="s">
        <v>110</v>
      </c>
      <c r="G738" s="10" t="s">
        <v>105</v>
      </c>
      <c r="H738" s="10" t="s">
        <v>65</v>
      </c>
      <c r="I738" s="10" t="s">
        <v>16</v>
      </c>
      <c r="J738" s="10" t="s">
        <v>79</v>
      </c>
      <c r="K738" s="10" t="s">
        <v>391</v>
      </c>
      <c r="L738" s="10" t="s">
        <v>67</v>
      </c>
    </row>
    <row r="739" spans="1:12" x14ac:dyDescent="0.25">
      <c r="A739">
        <v>177</v>
      </c>
      <c r="B739" s="10" t="s">
        <v>950</v>
      </c>
      <c r="C739" s="10" t="s">
        <v>164</v>
      </c>
      <c r="D739" s="10" t="s">
        <v>223</v>
      </c>
      <c r="E739" s="10" t="s">
        <v>224</v>
      </c>
      <c r="F739" s="10" t="s">
        <v>111</v>
      </c>
      <c r="G739" s="10" t="s">
        <v>105</v>
      </c>
      <c r="H739" s="10" t="s">
        <v>65</v>
      </c>
      <c r="I739" s="10" t="s">
        <v>16</v>
      </c>
      <c r="J739" s="10" t="s">
        <v>743</v>
      </c>
      <c r="K739" s="10" t="s">
        <v>744</v>
      </c>
      <c r="L739" s="10" t="s">
        <v>67</v>
      </c>
    </row>
    <row r="740" spans="1:12" x14ac:dyDescent="0.25">
      <c r="A740">
        <v>177</v>
      </c>
      <c r="B740" s="10" t="s">
        <v>950</v>
      </c>
      <c r="C740" s="10" t="s">
        <v>164</v>
      </c>
      <c r="D740" s="10" t="s">
        <v>223</v>
      </c>
      <c r="E740" s="10" t="s">
        <v>224</v>
      </c>
      <c r="F740" s="10" t="s">
        <v>112</v>
      </c>
      <c r="G740" s="10" t="s">
        <v>105</v>
      </c>
      <c r="H740" s="10" t="s">
        <v>65</v>
      </c>
      <c r="I740" s="10" t="s">
        <v>16</v>
      </c>
      <c r="J740" s="10" t="s">
        <v>434</v>
      </c>
      <c r="K740" s="10" t="s">
        <v>435</v>
      </c>
      <c r="L740" s="10" t="s">
        <v>67</v>
      </c>
    </row>
    <row r="741" spans="1:12" x14ac:dyDescent="0.25">
      <c r="A741">
        <v>177</v>
      </c>
      <c r="B741" s="10" t="s">
        <v>950</v>
      </c>
      <c r="C741" s="10" t="s">
        <v>164</v>
      </c>
      <c r="D741" s="10" t="s">
        <v>223</v>
      </c>
      <c r="E741" s="10" t="s">
        <v>224</v>
      </c>
      <c r="F741" s="10" t="s">
        <v>113</v>
      </c>
      <c r="G741" s="10" t="s">
        <v>105</v>
      </c>
      <c r="H741" s="10" t="s">
        <v>65</v>
      </c>
      <c r="I741" s="10" t="s">
        <v>16</v>
      </c>
      <c r="J741" s="10" t="s">
        <v>314</v>
      </c>
      <c r="K741" s="10" t="s">
        <v>315</v>
      </c>
      <c r="L741" s="10" t="s">
        <v>67</v>
      </c>
    </row>
    <row r="742" spans="1:12" x14ac:dyDescent="0.25">
      <c r="A742">
        <v>177</v>
      </c>
      <c r="B742" s="10" t="s">
        <v>950</v>
      </c>
      <c r="C742" s="10" t="s">
        <v>164</v>
      </c>
      <c r="D742" s="10" t="s">
        <v>223</v>
      </c>
      <c r="E742" s="10" t="s">
        <v>224</v>
      </c>
      <c r="F742" s="10" t="s">
        <v>124</v>
      </c>
      <c r="G742" s="10" t="s">
        <v>125</v>
      </c>
      <c r="H742" s="10" t="s">
        <v>72</v>
      </c>
      <c r="I742" s="10" t="s">
        <v>24</v>
      </c>
      <c r="J742" s="10" t="s">
        <v>958</v>
      </c>
      <c r="K742" s="10" t="s">
        <v>959</v>
      </c>
      <c r="L742" s="10" t="s">
        <v>54</v>
      </c>
    </row>
    <row r="743" spans="1:12" x14ac:dyDescent="0.25">
      <c r="A743">
        <v>177</v>
      </c>
      <c r="B743" s="10" t="s">
        <v>950</v>
      </c>
      <c r="C743" s="10" t="s">
        <v>164</v>
      </c>
      <c r="D743" s="10" t="s">
        <v>223</v>
      </c>
      <c r="E743" s="10" t="s">
        <v>224</v>
      </c>
      <c r="F743" s="10" t="s">
        <v>131</v>
      </c>
      <c r="G743" s="10" t="s">
        <v>68</v>
      </c>
      <c r="H743" s="10" t="s">
        <v>72</v>
      </c>
      <c r="I743" s="10" t="s">
        <v>16</v>
      </c>
      <c r="J743" s="10" t="s">
        <v>960</v>
      </c>
      <c r="K743" s="10" t="s">
        <v>961</v>
      </c>
      <c r="L743" s="10" t="s">
        <v>67</v>
      </c>
    </row>
    <row r="744" spans="1:12" x14ac:dyDescent="0.25">
      <c r="A744">
        <v>177</v>
      </c>
      <c r="B744" s="10" t="s">
        <v>950</v>
      </c>
      <c r="C744" s="10" t="s">
        <v>164</v>
      </c>
      <c r="D744" s="10" t="s">
        <v>223</v>
      </c>
      <c r="E744" s="10" t="s">
        <v>224</v>
      </c>
      <c r="F744" s="10" t="s">
        <v>156</v>
      </c>
      <c r="G744" s="10" t="s">
        <v>125</v>
      </c>
      <c r="H744" s="10" t="s">
        <v>65</v>
      </c>
      <c r="I744" s="10" t="s">
        <v>24</v>
      </c>
      <c r="J744" s="10" t="s">
        <v>958</v>
      </c>
      <c r="K744" s="10" t="s">
        <v>959</v>
      </c>
      <c r="L744" s="10" t="s">
        <v>67</v>
      </c>
    </row>
    <row r="745" spans="1:12" x14ac:dyDescent="0.25">
      <c r="A745">
        <v>177</v>
      </c>
      <c r="B745" s="10" t="s">
        <v>950</v>
      </c>
      <c r="C745" s="10" t="s">
        <v>164</v>
      </c>
      <c r="D745" s="10" t="s">
        <v>223</v>
      </c>
      <c r="E745" s="10" t="s">
        <v>224</v>
      </c>
      <c r="F745" s="10" t="s">
        <v>163</v>
      </c>
      <c r="G745" s="10" t="s">
        <v>68</v>
      </c>
      <c r="H745" s="10" t="s">
        <v>65</v>
      </c>
      <c r="I745" s="10" t="s">
        <v>16</v>
      </c>
      <c r="J745" s="10" t="s">
        <v>412</v>
      </c>
      <c r="K745" s="10" t="s">
        <v>962</v>
      </c>
      <c r="L745" s="10" t="s">
        <v>54</v>
      </c>
    </row>
    <row r="746" spans="1:12" x14ac:dyDescent="0.25">
      <c r="A746">
        <v>177</v>
      </c>
      <c r="B746" s="10" t="s">
        <v>950</v>
      </c>
      <c r="C746" s="10" t="s">
        <v>164</v>
      </c>
      <c r="D746" s="10" t="s">
        <v>223</v>
      </c>
      <c r="E746" s="10" t="s">
        <v>224</v>
      </c>
      <c r="F746" s="10" t="s">
        <v>165</v>
      </c>
      <c r="G746" s="10" t="s">
        <v>68</v>
      </c>
      <c r="H746" s="10" t="s">
        <v>72</v>
      </c>
      <c r="I746" s="10" t="s">
        <v>16</v>
      </c>
      <c r="J746" s="10" t="s">
        <v>79</v>
      </c>
      <c r="K746" s="10" t="s">
        <v>963</v>
      </c>
      <c r="L746" s="10" t="s">
        <v>67</v>
      </c>
    </row>
    <row r="747" spans="1:12" x14ac:dyDescent="0.25">
      <c r="A747">
        <v>148</v>
      </c>
      <c r="B747" s="10" t="s">
        <v>316</v>
      </c>
      <c r="C747" s="10" t="s">
        <v>66</v>
      </c>
      <c r="D747" s="10" t="s">
        <v>115</v>
      </c>
      <c r="E747" s="10" t="s">
        <v>116</v>
      </c>
      <c r="F747" s="10" t="s">
        <v>64</v>
      </c>
      <c r="G747" s="10" t="s">
        <v>68</v>
      </c>
      <c r="H747" s="10" t="s">
        <v>65</v>
      </c>
      <c r="I747" s="10" t="s">
        <v>24</v>
      </c>
      <c r="J747" s="10" t="s">
        <v>317</v>
      </c>
      <c r="K747" s="10" t="s">
        <v>318</v>
      </c>
      <c r="L747" s="10" t="s">
        <v>67</v>
      </c>
    </row>
    <row r="748" spans="1:12" x14ac:dyDescent="0.25">
      <c r="A748">
        <v>148</v>
      </c>
      <c r="B748" s="10" t="s">
        <v>316</v>
      </c>
      <c r="C748" s="10" t="s">
        <v>66</v>
      </c>
      <c r="D748" s="10" t="s">
        <v>115</v>
      </c>
      <c r="E748" s="10" t="s">
        <v>116</v>
      </c>
      <c r="F748" s="10" t="s">
        <v>69</v>
      </c>
      <c r="G748" s="10" t="s">
        <v>68</v>
      </c>
      <c r="H748" s="10" t="s">
        <v>65</v>
      </c>
      <c r="I748" s="10" t="s">
        <v>16</v>
      </c>
      <c r="J748" s="10" t="s">
        <v>319</v>
      </c>
      <c r="K748" s="10" t="s">
        <v>320</v>
      </c>
      <c r="L748" s="10" t="s">
        <v>67</v>
      </c>
    </row>
    <row r="749" spans="1:12" x14ac:dyDescent="0.25">
      <c r="A749">
        <v>148</v>
      </c>
      <c r="B749" s="10" t="s">
        <v>316</v>
      </c>
      <c r="C749" s="10" t="s">
        <v>66</v>
      </c>
      <c r="D749" s="10" t="s">
        <v>115</v>
      </c>
      <c r="E749" s="10" t="s">
        <v>116</v>
      </c>
      <c r="F749" s="10" t="s">
        <v>70</v>
      </c>
      <c r="G749" s="10" t="s">
        <v>68</v>
      </c>
      <c r="H749" s="10" t="s">
        <v>65</v>
      </c>
      <c r="I749" s="10" t="s">
        <v>16</v>
      </c>
      <c r="J749" s="10" t="s">
        <v>321</v>
      </c>
      <c r="K749" s="10" t="s">
        <v>322</v>
      </c>
      <c r="L749" s="10" t="s">
        <v>67</v>
      </c>
    </row>
    <row r="750" spans="1:12" x14ac:dyDescent="0.25">
      <c r="A750">
        <v>148</v>
      </c>
      <c r="B750" s="10" t="s">
        <v>316</v>
      </c>
      <c r="C750" s="10" t="s">
        <v>66</v>
      </c>
      <c r="D750" s="10" t="s">
        <v>115</v>
      </c>
      <c r="E750" s="10" t="s">
        <v>116</v>
      </c>
      <c r="F750" s="10" t="s">
        <v>71</v>
      </c>
      <c r="G750" s="10" t="s">
        <v>68</v>
      </c>
      <c r="H750" s="10" t="s">
        <v>72</v>
      </c>
      <c r="I750" s="10" t="s">
        <v>24</v>
      </c>
      <c r="J750" s="10" t="s">
        <v>323</v>
      </c>
      <c r="K750" s="10" t="s">
        <v>318</v>
      </c>
      <c r="L750" s="10" t="s">
        <v>54</v>
      </c>
    </row>
    <row r="751" spans="1:12" x14ac:dyDescent="0.25">
      <c r="A751">
        <v>148</v>
      </c>
      <c r="B751" s="10" t="s">
        <v>316</v>
      </c>
      <c r="C751" s="10" t="s">
        <v>66</v>
      </c>
      <c r="D751" s="10" t="s">
        <v>115</v>
      </c>
      <c r="E751" s="10" t="s">
        <v>116</v>
      </c>
      <c r="F751" s="10" t="s">
        <v>73</v>
      </c>
      <c r="G751" s="10" t="s">
        <v>68</v>
      </c>
      <c r="H751" s="10" t="s">
        <v>65</v>
      </c>
      <c r="I751" s="10" t="s">
        <v>24</v>
      </c>
      <c r="J751" s="10" t="s">
        <v>324</v>
      </c>
      <c r="K751" s="10" t="s">
        <v>325</v>
      </c>
      <c r="L751" s="10" t="s">
        <v>67</v>
      </c>
    </row>
    <row r="752" spans="1:12" x14ac:dyDescent="0.25">
      <c r="A752">
        <v>148</v>
      </c>
      <c r="B752" s="10" t="s">
        <v>316</v>
      </c>
      <c r="C752" s="10" t="s">
        <v>66</v>
      </c>
      <c r="D752" s="10" t="s">
        <v>115</v>
      </c>
      <c r="E752" s="10" t="s">
        <v>116</v>
      </c>
      <c r="F752" s="10" t="s">
        <v>74</v>
      </c>
      <c r="G752" s="10" t="s">
        <v>68</v>
      </c>
      <c r="H752" s="10" t="s">
        <v>65</v>
      </c>
      <c r="I752" s="10" t="s">
        <v>16</v>
      </c>
      <c r="J752" s="10" t="s">
        <v>326</v>
      </c>
      <c r="K752" s="10" t="s">
        <v>327</v>
      </c>
      <c r="L752" s="10" t="s">
        <v>67</v>
      </c>
    </row>
    <row r="753" spans="1:12" x14ac:dyDescent="0.25">
      <c r="A753">
        <v>148</v>
      </c>
      <c r="B753" s="10" t="s">
        <v>316</v>
      </c>
      <c r="C753" s="10" t="s">
        <v>66</v>
      </c>
      <c r="D753" s="10" t="s">
        <v>115</v>
      </c>
      <c r="E753" s="10" t="s">
        <v>116</v>
      </c>
      <c r="F753" s="10" t="s">
        <v>75</v>
      </c>
      <c r="G753" s="10" t="s">
        <v>68</v>
      </c>
      <c r="H753" s="10" t="s">
        <v>72</v>
      </c>
      <c r="I753" s="10" t="s">
        <v>18</v>
      </c>
      <c r="J753" s="10" t="s">
        <v>54</v>
      </c>
      <c r="K753" s="10" t="s">
        <v>54</v>
      </c>
      <c r="L753" s="10" t="s">
        <v>54</v>
      </c>
    </row>
    <row r="754" spans="1:12" x14ac:dyDescent="0.25">
      <c r="A754">
        <v>148</v>
      </c>
      <c r="B754" s="10" t="s">
        <v>316</v>
      </c>
      <c r="C754" s="10" t="s">
        <v>66</v>
      </c>
      <c r="D754" s="10" t="s">
        <v>115</v>
      </c>
      <c r="E754" s="10" t="s">
        <v>116</v>
      </c>
      <c r="F754" s="10" t="s">
        <v>76</v>
      </c>
      <c r="G754" s="10" t="s">
        <v>77</v>
      </c>
      <c r="H754" s="10" t="s">
        <v>65</v>
      </c>
      <c r="I754" s="10" t="s">
        <v>16</v>
      </c>
      <c r="J754" s="10" t="s">
        <v>328</v>
      </c>
      <c r="K754" s="10" t="s">
        <v>329</v>
      </c>
      <c r="L754" s="10" t="s">
        <v>67</v>
      </c>
    </row>
    <row r="755" spans="1:12" x14ac:dyDescent="0.25">
      <c r="A755">
        <v>148</v>
      </c>
      <c r="B755" s="10" t="s">
        <v>316</v>
      </c>
      <c r="C755" s="10" t="s">
        <v>66</v>
      </c>
      <c r="D755" s="10" t="s">
        <v>115</v>
      </c>
      <c r="E755" s="10" t="s">
        <v>116</v>
      </c>
      <c r="F755" s="10" t="s">
        <v>78</v>
      </c>
      <c r="G755" s="10" t="s">
        <v>77</v>
      </c>
      <c r="H755" s="10" t="s">
        <v>65</v>
      </c>
      <c r="I755" s="10" t="s">
        <v>16</v>
      </c>
      <c r="J755" s="10" t="s">
        <v>79</v>
      </c>
      <c r="K755" s="10" t="s">
        <v>330</v>
      </c>
      <c r="L755" s="10" t="s">
        <v>67</v>
      </c>
    </row>
    <row r="756" spans="1:12" x14ac:dyDescent="0.25">
      <c r="A756">
        <v>148</v>
      </c>
      <c r="B756" s="10" t="s">
        <v>316</v>
      </c>
      <c r="C756" s="10" t="s">
        <v>66</v>
      </c>
      <c r="D756" s="10" t="s">
        <v>115</v>
      </c>
      <c r="E756" s="10" t="s">
        <v>116</v>
      </c>
      <c r="F756" s="10" t="s">
        <v>80</v>
      </c>
      <c r="G756" s="10" t="s">
        <v>77</v>
      </c>
      <c r="H756" s="10" t="s">
        <v>65</v>
      </c>
      <c r="I756" s="10" t="s">
        <v>16</v>
      </c>
      <c r="J756" s="10" t="s">
        <v>79</v>
      </c>
      <c r="K756" s="10" t="s">
        <v>331</v>
      </c>
      <c r="L756" s="10" t="s">
        <v>67</v>
      </c>
    </row>
    <row r="757" spans="1:12" x14ac:dyDescent="0.25">
      <c r="A757">
        <v>148</v>
      </c>
      <c r="B757" s="10" t="s">
        <v>316</v>
      </c>
      <c r="C757" s="10" t="s">
        <v>66</v>
      </c>
      <c r="D757" s="10" t="s">
        <v>115</v>
      </c>
      <c r="E757" s="10" t="s">
        <v>116</v>
      </c>
      <c r="F757" s="10" t="s">
        <v>81</v>
      </c>
      <c r="G757" s="10" t="s">
        <v>77</v>
      </c>
      <c r="H757" s="10" t="s">
        <v>65</v>
      </c>
      <c r="I757" s="10" t="s">
        <v>16</v>
      </c>
      <c r="J757" s="10" t="s">
        <v>332</v>
      </c>
      <c r="K757" s="10" t="s">
        <v>333</v>
      </c>
      <c r="L757" s="10" t="s">
        <v>67</v>
      </c>
    </row>
    <row r="758" spans="1:12" x14ac:dyDescent="0.25">
      <c r="A758">
        <v>148</v>
      </c>
      <c r="B758" s="10" t="s">
        <v>316</v>
      </c>
      <c r="C758" s="10" t="s">
        <v>66</v>
      </c>
      <c r="D758" s="10" t="s">
        <v>115</v>
      </c>
      <c r="E758" s="10" t="s">
        <v>116</v>
      </c>
      <c r="F758" s="10" t="s">
        <v>82</v>
      </c>
      <c r="G758" s="10" t="s">
        <v>83</v>
      </c>
      <c r="H758" s="10" t="s">
        <v>65</v>
      </c>
      <c r="I758" s="10" t="s">
        <v>16</v>
      </c>
      <c r="J758" s="10" t="s">
        <v>334</v>
      </c>
      <c r="K758" s="10" t="s">
        <v>335</v>
      </c>
      <c r="L758" s="10" t="s">
        <v>67</v>
      </c>
    </row>
    <row r="759" spans="1:12" x14ac:dyDescent="0.25">
      <c r="A759">
        <v>148</v>
      </c>
      <c r="B759" s="10" t="s">
        <v>316</v>
      </c>
      <c r="C759" s="10" t="s">
        <v>66</v>
      </c>
      <c r="D759" s="10" t="s">
        <v>115</v>
      </c>
      <c r="E759" s="10" t="s">
        <v>116</v>
      </c>
      <c r="F759" s="10" t="s">
        <v>84</v>
      </c>
      <c r="G759" s="10" t="s">
        <v>83</v>
      </c>
      <c r="H759" s="10" t="s">
        <v>65</v>
      </c>
      <c r="I759" s="10" t="s">
        <v>16</v>
      </c>
      <c r="J759" s="10" t="s">
        <v>336</v>
      </c>
      <c r="K759" s="10" t="s">
        <v>337</v>
      </c>
      <c r="L759" s="10" t="s">
        <v>67</v>
      </c>
    </row>
    <row r="760" spans="1:12" x14ac:dyDescent="0.25">
      <c r="A760">
        <v>148</v>
      </c>
      <c r="B760" s="10" t="s">
        <v>316</v>
      </c>
      <c r="C760" s="10" t="s">
        <v>66</v>
      </c>
      <c r="D760" s="10" t="s">
        <v>115</v>
      </c>
      <c r="E760" s="10" t="s">
        <v>116</v>
      </c>
      <c r="F760" s="10" t="s">
        <v>85</v>
      </c>
      <c r="G760" s="10" t="s">
        <v>86</v>
      </c>
      <c r="H760" s="10" t="s">
        <v>65</v>
      </c>
      <c r="I760" s="10" t="s">
        <v>16</v>
      </c>
      <c r="J760" s="10" t="s">
        <v>79</v>
      </c>
      <c r="K760" s="10" t="s">
        <v>338</v>
      </c>
      <c r="L760" s="10" t="s">
        <v>67</v>
      </c>
    </row>
    <row r="761" spans="1:12" x14ac:dyDescent="0.25">
      <c r="A761">
        <v>148</v>
      </c>
      <c r="B761" s="10" t="s">
        <v>316</v>
      </c>
      <c r="C761" s="10" t="s">
        <v>66</v>
      </c>
      <c r="D761" s="10" t="s">
        <v>115</v>
      </c>
      <c r="E761" s="10" t="s">
        <v>116</v>
      </c>
      <c r="F761" s="10" t="s">
        <v>87</v>
      </c>
      <c r="G761" s="10" t="s">
        <v>86</v>
      </c>
      <c r="H761" s="10" t="s">
        <v>65</v>
      </c>
      <c r="I761" s="10" t="s">
        <v>16</v>
      </c>
      <c r="J761" s="10" t="s">
        <v>79</v>
      </c>
      <c r="K761" s="10" t="s">
        <v>339</v>
      </c>
      <c r="L761" s="10" t="s">
        <v>67</v>
      </c>
    </row>
    <row r="762" spans="1:12" x14ac:dyDescent="0.25">
      <c r="A762">
        <v>148</v>
      </c>
      <c r="B762" s="10" t="s">
        <v>316</v>
      </c>
      <c r="C762" s="10" t="s">
        <v>66</v>
      </c>
      <c r="D762" s="10" t="s">
        <v>115</v>
      </c>
      <c r="E762" s="10" t="s">
        <v>116</v>
      </c>
      <c r="F762" s="10" t="s">
        <v>88</v>
      </c>
      <c r="G762" s="10" t="s">
        <v>86</v>
      </c>
      <c r="H762" s="10" t="s">
        <v>65</v>
      </c>
      <c r="I762" s="10" t="s">
        <v>16</v>
      </c>
      <c r="J762" s="10" t="s">
        <v>79</v>
      </c>
      <c r="K762" s="10" t="s">
        <v>340</v>
      </c>
      <c r="L762" s="10" t="s">
        <v>67</v>
      </c>
    </row>
    <row r="763" spans="1:12" x14ac:dyDescent="0.25">
      <c r="A763">
        <v>148</v>
      </c>
      <c r="B763" s="10" t="s">
        <v>316</v>
      </c>
      <c r="C763" s="10" t="s">
        <v>66</v>
      </c>
      <c r="D763" s="10" t="s">
        <v>115</v>
      </c>
      <c r="E763" s="10" t="s">
        <v>116</v>
      </c>
      <c r="F763" s="10" t="s">
        <v>89</v>
      </c>
      <c r="G763" s="10" t="s">
        <v>86</v>
      </c>
      <c r="H763" s="10" t="s">
        <v>65</v>
      </c>
      <c r="I763" s="10" t="s">
        <v>16</v>
      </c>
      <c r="J763" s="10" t="s">
        <v>79</v>
      </c>
      <c r="K763" s="10" t="s">
        <v>341</v>
      </c>
      <c r="L763" s="10" t="s">
        <v>67</v>
      </c>
    </row>
    <row r="764" spans="1:12" x14ac:dyDescent="0.25">
      <c r="A764">
        <v>148</v>
      </c>
      <c r="B764" s="10" t="s">
        <v>316</v>
      </c>
      <c r="C764" s="10" t="s">
        <v>66</v>
      </c>
      <c r="D764" s="10" t="s">
        <v>115</v>
      </c>
      <c r="E764" s="10" t="s">
        <v>116</v>
      </c>
      <c r="F764" s="10" t="s">
        <v>90</v>
      </c>
      <c r="G764" s="10" t="s">
        <v>86</v>
      </c>
      <c r="H764" s="10" t="s">
        <v>65</v>
      </c>
      <c r="I764" s="10" t="s">
        <v>16</v>
      </c>
      <c r="J764" s="10" t="s">
        <v>79</v>
      </c>
      <c r="K764" s="10" t="s">
        <v>342</v>
      </c>
      <c r="L764" s="10" t="s">
        <v>67</v>
      </c>
    </row>
    <row r="765" spans="1:12" x14ac:dyDescent="0.25">
      <c r="A765">
        <v>148</v>
      </c>
      <c r="B765" s="10" t="s">
        <v>316</v>
      </c>
      <c r="C765" s="10" t="s">
        <v>66</v>
      </c>
      <c r="D765" s="10" t="s">
        <v>115</v>
      </c>
      <c r="E765" s="10" t="s">
        <v>116</v>
      </c>
      <c r="F765" s="10" t="s">
        <v>91</v>
      </c>
      <c r="G765" s="10" t="s">
        <v>86</v>
      </c>
      <c r="H765" s="10" t="s">
        <v>65</v>
      </c>
      <c r="I765" s="10" t="s">
        <v>16</v>
      </c>
      <c r="J765" s="10" t="s">
        <v>79</v>
      </c>
      <c r="K765" s="10" t="s">
        <v>343</v>
      </c>
      <c r="L765" s="10" t="s">
        <v>67</v>
      </c>
    </row>
    <row r="766" spans="1:12" x14ac:dyDescent="0.25">
      <c r="A766">
        <v>148</v>
      </c>
      <c r="B766" s="10" t="s">
        <v>316</v>
      </c>
      <c r="C766" s="10" t="s">
        <v>66</v>
      </c>
      <c r="D766" s="10" t="s">
        <v>115</v>
      </c>
      <c r="E766" s="10" t="s">
        <v>116</v>
      </c>
      <c r="F766" s="10" t="s">
        <v>92</v>
      </c>
      <c r="G766" s="10" t="s">
        <v>86</v>
      </c>
      <c r="H766" s="10" t="s">
        <v>65</v>
      </c>
      <c r="I766" s="10" t="s">
        <v>16</v>
      </c>
      <c r="J766" s="10" t="s">
        <v>344</v>
      </c>
      <c r="K766" s="10" t="s">
        <v>345</v>
      </c>
      <c r="L766" s="10" t="s">
        <v>67</v>
      </c>
    </row>
    <row r="767" spans="1:12" x14ac:dyDescent="0.25">
      <c r="A767">
        <v>148</v>
      </c>
      <c r="B767" s="10" t="s">
        <v>316</v>
      </c>
      <c r="C767" s="10" t="s">
        <v>66</v>
      </c>
      <c r="D767" s="10" t="s">
        <v>115</v>
      </c>
      <c r="E767" s="10" t="s">
        <v>116</v>
      </c>
      <c r="F767" s="10" t="s">
        <v>93</v>
      </c>
      <c r="G767" s="10" t="s">
        <v>94</v>
      </c>
      <c r="H767" s="10" t="s">
        <v>65</v>
      </c>
      <c r="I767" s="10" t="s">
        <v>16</v>
      </c>
      <c r="J767" s="10" t="s">
        <v>336</v>
      </c>
      <c r="K767" s="10" t="s">
        <v>337</v>
      </c>
      <c r="L767" s="10" t="s">
        <v>67</v>
      </c>
    </row>
    <row r="768" spans="1:12" x14ac:dyDescent="0.25">
      <c r="A768">
        <v>148</v>
      </c>
      <c r="B768" s="10" t="s">
        <v>316</v>
      </c>
      <c r="C768" s="10" t="s">
        <v>66</v>
      </c>
      <c r="D768" s="10" t="s">
        <v>115</v>
      </c>
      <c r="E768" s="10" t="s">
        <v>116</v>
      </c>
      <c r="F768" s="10" t="s">
        <v>95</v>
      </c>
      <c r="G768" s="10" t="s">
        <v>94</v>
      </c>
      <c r="H768" s="10" t="s">
        <v>65</v>
      </c>
      <c r="I768" s="10" t="s">
        <v>16</v>
      </c>
      <c r="J768" s="10" t="s">
        <v>336</v>
      </c>
      <c r="K768" s="10" t="s">
        <v>337</v>
      </c>
      <c r="L768" s="10" t="s">
        <v>67</v>
      </c>
    </row>
    <row r="769" spans="1:12" x14ac:dyDescent="0.25">
      <c r="A769">
        <v>148</v>
      </c>
      <c r="B769" s="10" t="s">
        <v>316</v>
      </c>
      <c r="C769" s="10" t="s">
        <v>66</v>
      </c>
      <c r="D769" s="10" t="s">
        <v>115</v>
      </c>
      <c r="E769" s="10" t="s">
        <v>116</v>
      </c>
      <c r="F769" s="10" t="s">
        <v>96</v>
      </c>
      <c r="G769" s="10" t="s">
        <v>94</v>
      </c>
      <c r="H769" s="10" t="s">
        <v>65</v>
      </c>
      <c r="I769" s="10" t="s">
        <v>16</v>
      </c>
      <c r="J769" s="10" t="s">
        <v>79</v>
      </c>
      <c r="K769" s="10" t="s">
        <v>297</v>
      </c>
      <c r="L769" s="10" t="s">
        <v>67</v>
      </c>
    </row>
    <row r="770" spans="1:12" x14ac:dyDescent="0.25">
      <c r="A770">
        <v>148</v>
      </c>
      <c r="B770" s="10" t="s">
        <v>316</v>
      </c>
      <c r="C770" s="10" t="s">
        <v>66</v>
      </c>
      <c r="D770" s="10" t="s">
        <v>115</v>
      </c>
      <c r="E770" s="10" t="s">
        <v>116</v>
      </c>
      <c r="F770" s="10" t="s">
        <v>97</v>
      </c>
      <c r="G770" s="10" t="s">
        <v>98</v>
      </c>
      <c r="H770" s="10" t="s">
        <v>65</v>
      </c>
      <c r="I770" s="10" t="s">
        <v>16</v>
      </c>
      <c r="J770" s="10" t="s">
        <v>346</v>
      </c>
      <c r="K770" s="10" t="s">
        <v>347</v>
      </c>
      <c r="L770" s="10" t="s">
        <v>67</v>
      </c>
    </row>
    <row r="771" spans="1:12" x14ac:dyDescent="0.25">
      <c r="A771">
        <v>148</v>
      </c>
      <c r="B771" s="10" t="s">
        <v>316</v>
      </c>
      <c r="C771" s="10" t="s">
        <v>66</v>
      </c>
      <c r="D771" s="10" t="s">
        <v>115</v>
      </c>
      <c r="E771" s="10" t="s">
        <v>116</v>
      </c>
      <c r="F771" s="10" t="s">
        <v>99</v>
      </c>
      <c r="G771" s="10" t="s">
        <v>98</v>
      </c>
      <c r="H771" s="10" t="s">
        <v>65</v>
      </c>
      <c r="I771" s="10" t="s">
        <v>16</v>
      </c>
      <c r="J771" s="10" t="s">
        <v>348</v>
      </c>
      <c r="K771" s="10" t="s">
        <v>349</v>
      </c>
      <c r="L771" s="10" t="s">
        <v>67</v>
      </c>
    </row>
    <row r="772" spans="1:12" x14ac:dyDescent="0.25">
      <c r="A772">
        <v>148</v>
      </c>
      <c r="B772" s="10" t="s">
        <v>316</v>
      </c>
      <c r="C772" s="10" t="s">
        <v>66</v>
      </c>
      <c r="D772" s="10" t="s">
        <v>115</v>
      </c>
      <c r="E772" s="10" t="s">
        <v>116</v>
      </c>
      <c r="F772" s="10" t="s">
        <v>100</v>
      </c>
      <c r="G772" s="10" t="s">
        <v>98</v>
      </c>
      <c r="H772" s="10" t="s">
        <v>65</v>
      </c>
      <c r="I772" s="10" t="s">
        <v>16</v>
      </c>
      <c r="J772" s="10" t="s">
        <v>348</v>
      </c>
      <c r="K772" s="10" t="s">
        <v>349</v>
      </c>
      <c r="L772" s="10" t="s">
        <v>67</v>
      </c>
    </row>
    <row r="773" spans="1:12" x14ac:dyDescent="0.25">
      <c r="A773">
        <v>148</v>
      </c>
      <c r="B773" s="10" t="s">
        <v>316</v>
      </c>
      <c r="C773" s="10" t="s">
        <v>66</v>
      </c>
      <c r="D773" s="10" t="s">
        <v>115</v>
      </c>
      <c r="E773" s="10" t="s">
        <v>116</v>
      </c>
      <c r="F773" s="10" t="s">
        <v>101</v>
      </c>
      <c r="G773" s="10" t="s">
        <v>102</v>
      </c>
      <c r="H773" s="10" t="s">
        <v>65</v>
      </c>
      <c r="I773" s="10" t="s">
        <v>16</v>
      </c>
      <c r="J773" s="10" t="s">
        <v>79</v>
      </c>
      <c r="K773" s="10" t="s">
        <v>350</v>
      </c>
      <c r="L773" s="10" t="s">
        <v>67</v>
      </c>
    </row>
    <row r="774" spans="1:12" x14ac:dyDescent="0.25">
      <c r="A774">
        <v>148</v>
      </c>
      <c r="B774" s="10" t="s">
        <v>316</v>
      </c>
      <c r="C774" s="10" t="s">
        <v>66</v>
      </c>
      <c r="D774" s="10" t="s">
        <v>115</v>
      </c>
      <c r="E774" s="10" t="s">
        <v>116</v>
      </c>
      <c r="F774" s="10" t="s">
        <v>103</v>
      </c>
      <c r="G774" s="10" t="s">
        <v>102</v>
      </c>
      <c r="H774" s="10" t="s">
        <v>65</v>
      </c>
      <c r="I774" s="10" t="s">
        <v>16</v>
      </c>
      <c r="J774" s="10" t="s">
        <v>351</v>
      </c>
      <c r="K774" s="10" t="s">
        <v>352</v>
      </c>
      <c r="L774" s="10" t="s">
        <v>67</v>
      </c>
    </row>
    <row r="775" spans="1:12" x14ac:dyDescent="0.25">
      <c r="A775">
        <v>148</v>
      </c>
      <c r="B775" s="10" t="s">
        <v>316</v>
      </c>
      <c r="C775" s="10" t="s">
        <v>66</v>
      </c>
      <c r="D775" s="10" t="s">
        <v>115</v>
      </c>
      <c r="E775" s="10" t="s">
        <v>116</v>
      </c>
      <c r="F775" s="10" t="s">
        <v>104</v>
      </c>
      <c r="G775" s="10" t="s">
        <v>105</v>
      </c>
      <c r="H775" s="10" t="s">
        <v>65</v>
      </c>
      <c r="I775" s="10" t="s">
        <v>16</v>
      </c>
      <c r="J775" s="10" t="s">
        <v>353</v>
      </c>
      <c r="K775" s="10" t="s">
        <v>354</v>
      </c>
      <c r="L775" s="10" t="s">
        <v>67</v>
      </c>
    </row>
    <row r="776" spans="1:12" x14ac:dyDescent="0.25">
      <c r="A776">
        <v>148</v>
      </c>
      <c r="B776" s="10" t="s">
        <v>316</v>
      </c>
      <c r="C776" s="10" t="s">
        <v>66</v>
      </c>
      <c r="D776" s="10" t="s">
        <v>115</v>
      </c>
      <c r="E776" s="10" t="s">
        <v>116</v>
      </c>
      <c r="F776" s="10" t="s">
        <v>106</v>
      </c>
      <c r="G776" s="10" t="s">
        <v>105</v>
      </c>
      <c r="H776" s="10" t="s">
        <v>65</v>
      </c>
      <c r="I776" s="10" t="s">
        <v>16</v>
      </c>
      <c r="J776" s="10" t="s">
        <v>346</v>
      </c>
      <c r="K776" s="10" t="s">
        <v>347</v>
      </c>
      <c r="L776" s="10" t="s">
        <v>67</v>
      </c>
    </row>
    <row r="777" spans="1:12" x14ac:dyDescent="0.25">
      <c r="A777">
        <v>148</v>
      </c>
      <c r="B777" s="10" t="s">
        <v>316</v>
      </c>
      <c r="C777" s="10" t="s">
        <v>66</v>
      </c>
      <c r="D777" s="10" t="s">
        <v>115</v>
      </c>
      <c r="E777" s="10" t="s">
        <v>116</v>
      </c>
      <c r="F777" s="10" t="s">
        <v>107</v>
      </c>
      <c r="G777" s="10" t="s">
        <v>105</v>
      </c>
      <c r="H777" s="10" t="s">
        <v>65</v>
      </c>
      <c r="I777" s="10" t="s">
        <v>16</v>
      </c>
      <c r="J777" s="10" t="s">
        <v>355</v>
      </c>
      <c r="K777" s="10" t="s">
        <v>347</v>
      </c>
      <c r="L777" s="10" t="s">
        <v>67</v>
      </c>
    </row>
    <row r="778" spans="1:12" x14ac:dyDescent="0.25">
      <c r="A778">
        <v>148</v>
      </c>
      <c r="B778" s="10" t="s">
        <v>316</v>
      </c>
      <c r="C778" s="10" t="s">
        <v>66</v>
      </c>
      <c r="D778" s="10" t="s">
        <v>115</v>
      </c>
      <c r="E778" s="10" t="s">
        <v>116</v>
      </c>
      <c r="F778" s="10" t="s">
        <v>108</v>
      </c>
      <c r="G778" s="10" t="s">
        <v>105</v>
      </c>
      <c r="H778" s="10" t="s">
        <v>65</v>
      </c>
      <c r="I778" s="10" t="s">
        <v>16</v>
      </c>
      <c r="J778" s="10" t="s">
        <v>356</v>
      </c>
      <c r="K778" s="10" t="s">
        <v>357</v>
      </c>
      <c r="L778" s="10" t="s">
        <v>67</v>
      </c>
    </row>
    <row r="779" spans="1:12" x14ac:dyDescent="0.25">
      <c r="A779">
        <v>148</v>
      </c>
      <c r="B779" s="10" t="s">
        <v>316</v>
      </c>
      <c r="C779" s="10" t="s">
        <v>66</v>
      </c>
      <c r="D779" s="10" t="s">
        <v>115</v>
      </c>
      <c r="E779" s="10" t="s">
        <v>116</v>
      </c>
      <c r="F779" s="10" t="s">
        <v>109</v>
      </c>
      <c r="G779" s="10" t="s">
        <v>105</v>
      </c>
      <c r="H779" s="10" t="s">
        <v>65</v>
      </c>
      <c r="I779" s="10" t="s">
        <v>16</v>
      </c>
      <c r="J779" s="10" t="s">
        <v>358</v>
      </c>
      <c r="K779" s="10" t="s">
        <v>359</v>
      </c>
      <c r="L779" s="10" t="s">
        <v>67</v>
      </c>
    </row>
    <row r="780" spans="1:12" x14ac:dyDescent="0.25">
      <c r="A780">
        <v>148</v>
      </c>
      <c r="B780" s="10" t="s">
        <v>316</v>
      </c>
      <c r="C780" s="10" t="s">
        <v>66</v>
      </c>
      <c r="D780" s="10" t="s">
        <v>115</v>
      </c>
      <c r="E780" s="10" t="s">
        <v>116</v>
      </c>
      <c r="F780" s="10" t="s">
        <v>110</v>
      </c>
      <c r="G780" s="10" t="s">
        <v>105</v>
      </c>
      <c r="H780" s="10" t="s">
        <v>65</v>
      </c>
      <c r="I780" s="10" t="s">
        <v>16</v>
      </c>
      <c r="J780" s="10" t="s">
        <v>79</v>
      </c>
      <c r="K780" s="10" t="s">
        <v>360</v>
      </c>
      <c r="L780" s="10" t="s">
        <v>67</v>
      </c>
    </row>
    <row r="781" spans="1:12" x14ac:dyDescent="0.25">
      <c r="A781">
        <v>148</v>
      </c>
      <c r="B781" s="10" t="s">
        <v>316</v>
      </c>
      <c r="C781" s="10" t="s">
        <v>66</v>
      </c>
      <c r="D781" s="10" t="s">
        <v>115</v>
      </c>
      <c r="E781" s="10" t="s">
        <v>116</v>
      </c>
      <c r="F781" s="10" t="s">
        <v>111</v>
      </c>
      <c r="G781" s="10" t="s">
        <v>105</v>
      </c>
      <c r="H781" s="10" t="s">
        <v>65</v>
      </c>
      <c r="I781" s="10" t="s">
        <v>16</v>
      </c>
      <c r="J781" s="10" t="s">
        <v>336</v>
      </c>
      <c r="K781" s="10" t="s">
        <v>337</v>
      </c>
      <c r="L781" s="10" t="s">
        <v>67</v>
      </c>
    </row>
    <row r="782" spans="1:12" x14ac:dyDescent="0.25">
      <c r="A782">
        <v>148</v>
      </c>
      <c r="B782" s="10" t="s">
        <v>316</v>
      </c>
      <c r="C782" s="10" t="s">
        <v>66</v>
      </c>
      <c r="D782" s="10" t="s">
        <v>115</v>
      </c>
      <c r="E782" s="10" t="s">
        <v>116</v>
      </c>
      <c r="F782" s="10" t="s">
        <v>112</v>
      </c>
      <c r="G782" s="10" t="s">
        <v>105</v>
      </c>
      <c r="H782" s="10" t="s">
        <v>65</v>
      </c>
      <c r="I782" s="10" t="s">
        <v>16</v>
      </c>
      <c r="J782" s="10" t="s">
        <v>314</v>
      </c>
      <c r="K782" s="10" t="s">
        <v>315</v>
      </c>
      <c r="L782" s="10" t="s">
        <v>67</v>
      </c>
    </row>
    <row r="783" spans="1:12" x14ac:dyDescent="0.25">
      <c r="A783">
        <v>148</v>
      </c>
      <c r="B783" s="10" t="s">
        <v>316</v>
      </c>
      <c r="C783" s="10" t="s">
        <v>66</v>
      </c>
      <c r="D783" s="10" t="s">
        <v>115</v>
      </c>
      <c r="E783" s="10" t="s">
        <v>116</v>
      </c>
      <c r="F783" s="10" t="s">
        <v>113</v>
      </c>
      <c r="G783" s="10" t="s">
        <v>105</v>
      </c>
      <c r="H783" s="10" t="s">
        <v>65</v>
      </c>
      <c r="I783" s="10" t="s">
        <v>16</v>
      </c>
      <c r="J783" s="10" t="s">
        <v>314</v>
      </c>
      <c r="K783" s="10" t="s">
        <v>315</v>
      </c>
      <c r="L783" s="10" t="s">
        <v>67</v>
      </c>
    </row>
    <row r="784" spans="1:12" x14ac:dyDescent="0.25">
      <c r="A784">
        <v>159</v>
      </c>
      <c r="B784" s="10" t="s">
        <v>843</v>
      </c>
      <c r="C784" s="10" t="s">
        <v>137</v>
      </c>
      <c r="D784" s="10" t="s">
        <v>202</v>
      </c>
      <c r="E784" s="10" t="s">
        <v>203</v>
      </c>
      <c r="F784" s="10" t="s">
        <v>69</v>
      </c>
      <c r="G784" s="10" t="s">
        <v>68</v>
      </c>
      <c r="H784" s="10" t="s">
        <v>65</v>
      </c>
      <c r="I784" s="10" t="s">
        <v>16</v>
      </c>
      <c r="J784" s="10" t="s">
        <v>460</v>
      </c>
      <c r="K784" s="10" t="s">
        <v>461</v>
      </c>
      <c r="L784" s="10" t="s">
        <v>67</v>
      </c>
    </row>
    <row r="785" spans="1:12" x14ac:dyDescent="0.25">
      <c r="A785">
        <v>159</v>
      </c>
      <c r="B785" s="10" t="s">
        <v>843</v>
      </c>
      <c r="C785" s="10" t="s">
        <v>137</v>
      </c>
      <c r="D785" s="10" t="s">
        <v>202</v>
      </c>
      <c r="E785" s="10" t="s">
        <v>203</v>
      </c>
      <c r="F785" s="10" t="s">
        <v>71</v>
      </c>
      <c r="G785" s="10" t="s">
        <v>68</v>
      </c>
      <c r="H785" s="10" t="s">
        <v>72</v>
      </c>
      <c r="I785" s="10" t="s">
        <v>18</v>
      </c>
      <c r="J785" s="10" t="s">
        <v>54</v>
      </c>
      <c r="K785" s="10" t="s">
        <v>54</v>
      </c>
      <c r="L785" s="10" t="s">
        <v>54</v>
      </c>
    </row>
    <row r="786" spans="1:12" x14ac:dyDescent="0.25">
      <c r="A786">
        <v>159</v>
      </c>
      <c r="B786" s="10" t="s">
        <v>843</v>
      </c>
      <c r="C786" s="10" t="s">
        <v>137</v>
      </c>
      <c r="D786" s="10" t="s">
        <v>202</v>
      </c>
      <c r="E786" s="10" t="s">
        <v>203</v>
      </c>
      <c r="F786" s="10" t="s">
        <v>73</v>
      </c>
      <c r="G786" s="10" t="s">
        <v>68</v>
      </c>
      <c r="H786" s="10" t="s">
        <v>65</v>
      </c>
      <c r="I786" s="10" t="s">
        <v>16</v>
      </c>
      <c r="J786" s="10" t="s">
        <v>844</v>
      </c>
      <c r="K786" s="10" t="s">
        <v>845</v>
      </c>
      <c r="L786" s="10" t="s">
        <v>67</v>
      </c>
    </row>
    <row r="787" spans="1:12" x14ac:dyDescent="0.25">
      <c r="A787">
        <v>159</v>
      </c>
      <c r="B787" s="10" t="s">
        <v>843</v>
      </c>
      <c r="C787" s="10" t="s">
        <v>137</v>
      </c>
      <c r="D787" s="10" t="s">
        <v>202</v>
      </c>
      <c r="E787" s="10" t="s">
        <v>203</v>
      </c>
      <c r="F787" s="10" t="s">
        <v>74</v>
      </c>
      <c r="G787" s="10" t="s">
        <v>68</v>
      </c>
      <c r="H787" s="10" t="s">
        <v>65</v>
      </c>
      <c r="I787" s="10" t="s">
        <v>16</v>
      </c>
      <c r="J787" s="10" t="s">
        <v>846</v>
      </c>
      <c r="K787" s="10" t="s">
        <v>847</v>
      </c>
      <c r="L787" s="10" t="s">
        <v>67</v>
      </c>
    </row>
    <row r="788" spans="1:12" x14ac:dyDescent="0.25">
      <c r="A788">
        <v>159</v>
      </c>
      <c r="B788" s="10" t="s">
        <v>843</v>
      </c>
      <c r="C788" s="10" t="s">
        <v>137</v>
      </c>
      <c r="D788" s="10" t="s">
        <v>202</v>
      </c>
      <c r="E788" s="10" t="s">
        <v>203</v>
      </c>
      <c r="F788" s="10" t="s">
        <v>75</v>
      </c>
      <c r="G788" s="10" t="s">
        <v>68</v>
      </c>
      <c r="H788" s="10" t="s">
        <v>72</v>
      </c>
      <c r="I788" s="10" t="s">
        <v>18</v>
      </c>
      <c r="J788" s="10" t="s">
        <v>54</v>
      </c>
      <c r="K788" s="10" t="s">
        <v>54</v>
      </c>
      <c r="L788" s="10" t="s">
        <v>54</v>
      </c>
    </row>
    <row r="789" spans="1:12" x14ac:dyDescent="0.25">
      <c r="A789">
        <v>159</v>
      </c>
      <c r="B789" s="10" t="s">
        <v>843</v>
      </c>
      <c r="C789" s="10" t="s">
        <v>137</v>
      </c>
      <c r="D789" s="10" t="s">
        <v>202</v>
      </c>
      <c r="E789" s="10" t="s">
        <v>203</v>
      </c>
      <c r="F789" s="10" t="s">
        <v>76</v>
      </c>
      <c r="G789" s="10" t="s">
        <v>77</v>
      </c>
      <c r="H789" s="10" t="s">
        <v>65</v>
      </c>
      <c r="I789" s="10" t="s">
        <v>16</v>
      </c>
      <c r="J789" s="10" t="s">
        <v>504</v>
      </c>
      <c r="K789" s="10" t="s">
        <v>848</v>
      </c>
      <c r="L789" s="10" t="s">
        <v>67</v>
      </c>
    </row>
    <row r="790" spans="1:12" x14ac:dyDescent="0.25">
      <c r="A790">
        <v>159</v>
      </c>
      <c r="B790" s="10" t="s">
        <v>843</v>
      </c>
      <c r="C790" s="10" t="s">
        <v>137</v>
      </c>
      <c r="D790" s="10" t="s">
        <v>202</v>
      </c>
      <c r="E790" s="10" t="s">
        <v>203</v>
      </c>
      <c r="F790" s="10" t="s">
        <v>78</v>
      </c>
      <c r="G790" s="10" t="s">
        <v>77</v>
      </c>
      <c r="H790" s="10" t="s">
        <v>65</v>
      </c>
      <c r="I790" s="10" t="s">
        <v>16</v>
      </c>
      <c r="J790" s="10" t="s">
        <v>79</v>
      </c>
      <c r="K790" s="10" t="s">
        <v>849</v>
      </c>
      <c r="L790" s="10" t="s">
        <v>67</v>
      </c>
    </row>
    <row r="791" spans="1:12" x14ac:dyDescent="0.25">
      <c r="A791">
        <v>159</v>
      </c>
      <c r="B791" s="10" t="s">
        <v>843</v>
      </c>
      <c r="C791" s="10" t="s">
        <v>137</v>
      </c>
      <c r="D791" s="10" t="s">
        <v>202</v>
      </c>
      <c r="E791" s="10" t="s">
        <v>203</v>
      </c>
      <c r="F791" s="10" t="s">
        <v>80</v>
      </c>
      <c r="G791" s="10" t="s">
        <v>77</v>
      </c>
      <c r="H791" s="10" t="s">
        <v>65</v>
      </c>
      <c r="I791" s="10" t="s">
        <v>16</v>
      </c>
      <c r="J791" s="10" t="s">
        <v>79</v>
      </c>
      <c r="K791" s="10" t="s">
        <v>813</v>
      </c>
      <c r="L791" s="10" t="s">
        <v>67</v>
      </c>
    </row>
    <row r="792" spans="1:12" x14ac:dyDescent="0.25">
      <c r="A792">
        <v>159</v>
      </c>
      <c r="B792" s="10" t="s">
        <v>843</v>
      </c>
      <c r="C792" s="10" t="s">
        <v>137</v>
      </c>
      <c r="D792" s="10" t="s">
        <v>202</v>
      </c>
      <c r="E792" s="10" t="s">
        <v>203</v>
      </c>
      <c r="F792" s="10" t="s">
        <v>81</v>
      </c>
      <c r="G792" s="10" t="s">
        <v>77</v>
      </c>
      <c r="H792" s="10" t="s">
        <v>65</v>
      </c>
      <c r="I792" s="10" t="s">
        <v>16</v>
      </c>
      <c r="J792" s="10" t="s">
        <v>772</v>
      </c>
      <c r="K792" s="10" t="s">
        <v>773</v>
      </c>
      <c r="L792" s="10" t="s">
        <v>67</v>
      </c>
    </row>
    <row r="793" spans="1:12" x14ac:dyDescent="0.25">
      <c r="A793">
        <v>159</v>
      </c>
      <c r="B793" s="10" t="s">
        <v>843</v>
      </c>
      <c r="C793" s="10" t="s">
        <v>137</v>
      </c>
      <c r="D793" s="10" t="s">
        <v>202</v>
      </c>
      <c r="E793" s="10" t="s">
        <v>203</v>
      </c>
      <c r="F793" s="10" t="s">
        <v>82</v>
      </c>
      <c r="G793" s="10" t="s">
        <v>83</v>
      </c>
      <c r="H793" s="10" t="s">
        <v>65</v>
      </c>
      <c r="I793" s="10" t="s">
        <v>16</v>
      </c>
      <c r="J793" s="10" t="s">
        <v>772</v>
      </c>
      <c r="K793" s="10" t="s">
        <v>773</v>
      </c>
      <c r="L793" s="10" t="s">
        <v>67</v>
      </c>
    </row>
    <row r="794" spans="1:12" x14ac:dyDescent="0.25">
      <c r="A794">
        <v>159</v>
      </c>
      <c r="B794" s="10" t="s">
        <v>843</v>
      </c>
      <c r="C794" s="10" t="s">
        <v>137</v>
      </c>
      <c r="D794" s="10" t="s">
        <v>202</v>
      </c>
      <c r="E794" s="10" t="s">
        <v>203</v>
      </c>
      <c r="F794" s="10" t="s">
        <v>84</v>
      </c>
      <c r="G794" s="10" t="s">
        <v>83</v>
      </c>
      <c r="H794" s="10" t="s">
        <v>65</v>
      </c>
      <c r="I794" s="10" t="s">
        <v>16</v>
      </c>
      <c r="J794" s="10" t="s">
        <v>743</v>
      </c>
      <c r="K794" s="10" t="s">
        <v>744</v>
      </c>
      <c r="L794" s="10" t="s">
        <v>67</v>
      </c>
    </row>
    <row r="795" spans="1:12" x14ac:dyDescent="0.25">
      <c r="A795">
        <v>159</v>
      </c>
      <c r="B795" s="10" t="s">
        <v>843</v>
      </c>
      <c r="C795" s="10" t="s">
        <v>137</v>
      </c>
      <c r="D795" s="10" t="s">
        <v>202</v>
      </c>
      <c r="E795" s="10" t="s">
        <v>203</v>
      </c>
      <c r="F795" s="10" t="s">
        <v>93</v>
      </c>
      <c r="G795" s="10" t="s">
        <v>94</v>
      </c>
      <c r="H795" s="10" t="s">
        <v>65</v>
      </c>
      <c r="I795" s="10" t="s">
        <v>16</v>
      </c>
      <c r="J795" s="10" t="s">
        <v>850</v>
      </c>
      <c r="K795" s="10" t="s">
        <v>851</v>
      </c>
      <c r="L795" s="10" t="s">
        <v>67</v>
      </c>
    </row>
    <row r="796" spans="1:12" x14ac:dyDescent="0.25">
      <c r="A796">
        <v>159</v>
      </c>
      <c r="B796" s="10" t="s">
        <v>843</v>
      </c>
      <c r="C796" s="10" t="s">
        <v>137</v>
      </c>
      <c r="D796" s="10" t="s">
        <v>202</v>
      </c>
      <c r="E796" s="10" t="s">
        <v>203</v>
      </c>
      <c r="F796" s="10" t="s">
        <v>95</v>
      </c>
      <c r="G796" s="10" t="s">
        <v>94</v>
      </c>
      <c r="H796" s="10" t="s">
        <v>65</v>
      </c>
      <c r="I796" s="10" t="s">
        <v>16</v>
      </c>
      <c r="J796" s="10" t="s">
        <v>850</v>
      </c>
      <c r="K796" s="10" t="s">
        <v>851</v>
      </c>
      <c r="L796" s="10" t="s">
        <v>67</v>
      </c>
    </row>
    <row r="797" spans="1:12" x14ac:dyDescent="0.25">
      <c r="A797">
        <v>159</v>
      </c>
      <c r="B797" s="10" t="s">
        <v>843</v>
      </c>
      <c r="C797" s="10" t="s">
        <v>137</v>
      </c>
      <c r="D797" s="10" t="s">
        <v>202</v>
      </c>
      <c r="E797" s="10" t="s">
        <v>203</v>
      </c>
      <c r="F797" s="10" t="s">
        <v>96</v>
      </c>
      <c r="G797" s="10" t="s">
        <v>94</v>
      </c>
      <c r="H797" s="10" t="s">
        <v>65</v>
      </c>
      <c r="I797" s="10" t="s">
        <v>16</v>
      </c>
      <c r="J797" s="10" t="s">
        <v>79</v>
      </c>
      <c r="K797" s="10" t="s">
        <v>444</v>
      </c>
      <c r="L797" s="10" t="s">
        <v>67</v>
      </c>
    </row>
    <row r="798" spans="1:12" x14ac:dyDescent="0.25">
      <c r="A798">
        <v>159</v>
      </c>
      <c r="B798" s="10" t="s">
        <v>843</v>
      </c>
      <c r="C798" s="10" t="s">
        <v>137</v>
      </c>
      <c r="D798" s="10" t="s">
        <v>202</v>
      </c>
      <c r="E798" s="10" t="s">
        <v>203</v>
      </c>
      <c r="F798" s="10" t="s">
        <v>97</v>
      </c>
      <c r="G798" s="10" t="s">
        <v>98</v>
      </c>
      <c r="H798" s="10" t="s">
        <v>65</v>
      </c>
      <c r="I798" s="10" t="s">
        <v>16</v>
      </c>
      <c r="J798" s="10" t="s">
        <v>382</v>
      </c>
      <c r="K798" s="10" t="s">
        <v>360</v>
      </c>
      <c r="L798" s="10" t="s">
        <v>67</v>
      </c>
    </row>
    <row r="799" spans="1:12" x14ac:dyDescent="0.25">
      <c r="A799">
        <v>159</v>
      </c>
      <c r="B799" s="10" t="s">
        <v>843</v>
      </c>
      <c r="C799" s="10" t="s">
        <v>137</v>
      </c>
      <c r="D799" s="10" t="s">
        <v>202</v>
      </c>
      <c r="E799" s="10" t="s">
        <v>203</v>
      </c>
      <c r="F799" s="10" t="s">
        <v>101</v>
      </c>
      <c r="G799" s="10" t="s">
        <v>102</v>
      </c>
      <c r="H799" s="10" t="s">
        <v>65</v>
      </c>
      <c r="I799" s="10" t="s">
        <v>16</v>
      </c>
      <c r="J799" s="10" t="s">
        <v>79</v>
      </c>
      <c r="K799" s="10" t="s">
        <v>852</v>
      </c>
      <c r="L799" s="10" t="s">
        <v>67</v>
      </c>
    </row>
    <row r="800" spans="1:12" x14ac:dyDescent="0.25">
      <c r="A800">
        <v>159</v>
      </c>
      <c r="B800" s="10" t="s">
        <v>843</v>
      </c>
      <c r="C800" s="10" t="s">
        <v>137</v>
      </c>
      <c r="D800" s="10" t="s">
        <v>202</v>
      </c>
      <c r="E800" s="10" t="s">
        <v>203</v>
      </c>
      <c r="F800" s="10" t="s">
        <v>103</v>
      </c>
      <c r="G800" s="10" t="s">
        <v>102</v>
      </c>
      <c r="H800" s="10" t="s">
        <v>65</v>
      </c>
      <c r="I800" s="10" t="s">
        <v>16</v>
      </c>
      <c r="J800" s="10" t="s">
        <v>652</v>
      </c>
      <c r="K800" s="10" t="s">
        <v>653</v>
      </c>
      <c r="L800" s="10" t="s">
        <v>67</v>
      </c>
    </row>
    <row r="801" spans="1:12" x14ac:dyDescent="0.25">
      <c r="A801">
        <v>159</v>
      </c>
      <c r="B801" s="10" t="s">
        <v>843</v>
      </c>
      <c r="C801" s="10" t="s">
        <v>137</v>
      </c>
      <c r="D801" s="10" t="s">
        <v>202</v>
      </c>
      <c r="E801" s="10" t="s">
        <v>203</v>
      </c>
      <c r="F801" s="10" t="s">
        <v>104</v>
      </c>
      <c r="G801" s="10" t="s">
        <v>105</v>
      </c>
      <c r="H801" s="10" t="s">
        <v>65</v>
      </c>
      <c r="I801" s="10" t="s">
        <v>16</v>
      </c>
      <c r="J801" s="10" t="s">
        <v>314</v>
      </c>
      <c r="K801" s="10" t="s">
        <v>315</v>
      </c>
      <c r="L801" s="10" t="s">
        <v>67</v>
      </c>
    </row>
    <row r="802" spans="1:12" x14ac:dyDescent="0.25">
      <c r="A802">
        <v>159</v>
      </c>
      <c r="B802" s="10" t="s">
        <v>843</v>
      </c>
      <c r="C802" s="10" t="s">
        <v>137</v>
      </c>
      <c r="D802" s="10" t="s">
        <v>202</v>
      </c>
      <c r="E802" s="10" t="s">
        <v>203</v>
      </c>
      <c r="F802" s="10" t="s">
        <v>106</v>
      </c>
      <c r="G802" s="10" t="s">
        <v>105</v>
      </c>
      <c r="H802" s="10" t="s">
        <v>65</v>
      </c>
      <c r="I802" s="10" t="s">
        <v>16</v>
      </c>
      <c r="J802" s="10" t="s">
        <v>382</v>
      </c>
      <c r="K802" s="10" t="s">
        <v>360</v>
      </c>
      <c r="L802" s="10" t="s">
        <v>67</v>
      </c>
    </row>
    <row r="803" spans="1:12" x14ac:dyDescent="0.25">
      <c r="A803">
        <v>159</v>
      </c>
      <c r="B803" s="10" t="s">
        <v>843</v>
      </c>
      <c r="C803" s="10" t="s">
        <v>137</v>
      </c>
      <c r="D803" s="10" t="s">
        <v>202</v>
      </c>
      <c r="E803" s="10" t="s">
        <v>203</v>
      </c>
      <c r="F803" s="10" t="s">
        <v>107</v>
      </c>
      <c r="G803" s="10" t="s">
        <v>105</v>
      </c>
      <c r="H803" s="10" t="s">
        <v>65</v>
      </c>
      <c r="I803" s="10" t="s">
        <v>16</v>
      </c>
      <c r="J803" s="10" t="s">
        <v>386</v>
      </c>
      <c r="K803" s="10" t="s">
        <v>360</v>
      </c>
      <c r="L803" s="10" t="s">
        <v>67</v>
      </c>
    </row>
    <row r="804" spans="1:12" x14ac:dyDescent="0.25">
      <c r="A804">
        <v>159</v>
      </c>
      <c r="B804" s="10" t="s">
        <v>843</v>
      </c>
      <c r="C804" s="10" t="s">
        <v>137</v>
      </c>
      <c r="D804" s="10" t="s">
        <v>202</v>
      </c>
      <c r="E804" s="10" t="s">
        <v>203</v>
      </c>
      <c r="F804" s="10" t="s">
        <v>108</v>
      </c>
      <c r="G804" s="10" t="s">
        <v>105</v>
      </c>
      <c r="H804" s="10" t="s">
        <v>65</v>
      </c>
      <c r="I804" s="10" t="s">
        <v>16</v>
      </c>
      <c r="J804" s="10" t="s">
        <v>742</v>
      </c>
      <c r="K804" s="10" t="s">
        <v>456</v>
      </c>
      <c r="L804" s="10" t="s">
        <v>67</v>
      </c>
    </row>
    <row r="805" spans="1:12" x14ac:dyDescent="0.25">
      <c r="A805">
        <v>159</v>
      </c>
      <c r="B805" s="10" t="s">
        <v>843</v>
      </c>
      <c r="C805" s="10" t="s">
        <v>137</v>
      </c>
      <c r="D805" s="10" t="s">
        <v>202</v>
      </c>
      <c r="E805" s="10" t="s">
        <v>203</v>
      </c>
      <c r="F805" s="10" t="s">
        <v>109</v>
      </c>
      <c r="G805" s="10" t="s">
        <v>105</v>
      </c>
      <c r="H805" s="10" t="s">
        <v>65</v>
      </c>
      <c r="I805" s="10" t="s">
        <v>16</v>
      </c>
      <c r="J805" s="10" t="s">
        <v>314</v>
      </c>
      <c r="K805" s="10" t="s">
        <v>315</v>
      </c>
      <c r="L805" s="10" t="s">
        <v>67</v>
      </c>
    </row>
    <row r="806" spans="1:12" x14ac:dyDescent="0.25">
      <c r="A806">
        <v>159</v>
      </c>
      <c r="B806" s="10" t="s">
        <v>843</v>
      </c>
      <c r="C806" s="10" t="s">
        <v>137</v>
      </c>
      <c r="D806" s="10" t="s">
        <v>202</v>
      </c>
      <c r="E806" s="10" t="s">
        <v>203</v>
      </c>
      <c r="F806" s="10" t="s">
        <v>110</v>
      </c>
      <c r="G806" s="10" t="s">
        <v>105</v>
      </c>
      <c r="H806" s="10" t="s">
        <v>65</v>
      </c>
      <c r="I806" s="10" t="s">
        <v>16</v>
      </c>
      <c r="J806" s="10" t="s">
        <v>79</v>
      </c>
      <c r="K806" s="10" t="s">
        <v>360</v>
      </c>
      <c r="L806" s="10" t="s">
        <v>67</v>
      </c>
    </row>
    <row r="807" spans="1:12" x14ac:dyDescent="0.25">
      <c r="A807">
        <v>159</v>
      </c>
      <c r="B807" s="10" t="s">
        <v>843</v>
      </c>
      <c r="C807" s="10" t="s">
        <v>137</v>
      </c>
      <c r="D807" s="10" t="s">
        <v>202</v>
      </c>
      <c r="E807" s="10" t="s">
        <v>203</v>
      </c>
      <c r="F807" s="10" t="s">
        <v>111</v>
      </c>
      <c r="G807" s="10" t="s">
        <v>105</v>
      </c>
      <c r="H807" s="10" t="s">
        <v>65</v>
      </c>
      <c r="I807" s="10" t="s">
        <v>16</v>
      </c>
      <c r="J807" s="10" t="s">
        <v>743</v>
      </c>
      <c r="K807" s="10" t="s">
        <v>744</v>
      </c>
      <c r="L807" s="10" t="s">
        <v>67</v>
      </c>
    </row>
    <row r="808" spans="1:12" x14ac:dyDescent="0.25">
      <c r="A808">
        <v>159</v>
      </c>
      <c r="B808" s="10" t="s">
        <v>843</v>
      </c>
      <c r="C808" s="10" t="s">
        <v>137</v>
      </c>
      <c r="D808" s="10" t="s">
        <v>202</v>
      </c>
      <c r="E808" s="10" t="s">
        <v>203</v>
      </c>
      <c r="F808" s="10" t="s">
        <v>112</v>
      </c>
      <c r="G808" s="10" t="s">
        <v>105</v>
      </c>
      <c r="H808" s="10" t="s">
        <v>65</v>
      </c>
      <c r="I808" s="10" t="s">
        <v>16</v>
      </c>
      <c r="J808" s="10" t="s">
        <v>314</v>
      </c>
      <c r="K808" s="10" t="s">
        <v>315</v>
      </c>
      <c r="L808" s="10" t="s">
        <v>67</v>
      </c>
    </row>
    <row r="809" spans="1:12" x14ac:dyDescent="0.25">
      <c r="A809">
        <v>159</v>
      </c>
      <c r="B809" s="10" t="s">
        <v>843</v>
      </c>
      <c r="C809" s="10" t="s">
        <v>137</v>
      </c>
      <c r="D809" s="10" t="s">
        <v>202</v>
      </c>
      <c r="E809" s="10" t="s">
        <v>203</v>
      </c>
      <c r="F809" s="10" t="s">
        <v>113</v>
      </c>
      <c r="G809" s="10" t="s">
        <v>105</v>
      </c>
      <c r="H809" s="10" t="s">
        <v>65</v>
      </c>
      <c r="I809" s="10" t="s">
        <v>16</v>
      </c>
      <c r="J809" s="10" t="s">
        <v>772</v>
      </c>
      <c r="K809" s="10" t="s">
        <v>773</v>
      </c>
      <c r="L809" s="10" t="s">
        <v>67</v>
      </c>
    </row>
    <row r="810" spans="1:12" x14ac:dyDescent="0.25">
      <c r="A810">
        <v>159</v>
      </c>
      <c r="B810" s="10" t="s">
        <v>843</v>
      </c>
      <c r="C810" s="10" t="s">
        <v>137</v>
      </c>
      <c r="D810" s="10" t="s">
        <v>202</v>
      </c>
      <c r="E810" s="10" t="s">
        <v>203</v>
      </c>
      <c r="F810" s="10" t="s">
        <v>124</v>
      </c>
      <c r="G810" s="10" t="s">
        <v>125</v>
      </c>
      <c r="H810" s="10" t="s">
        <v>72</v>
      </c>
      <c r="I810" s="10" t="s">
        <v>18</v>
      </c>
      <c r="J810" s="10" t="s">
        <v>54</v>
      </c>
      <c r="K810" s="10" t="s">
        <v>54</v>
      </c>
      <c r="L810" s="10" t="s">
        <v>54</v>
      </c>
    </row>
    <row r="811" spans="1:12" x14ac:dyDescent="0.25">
      <c r="A811">
        <v>159</v>
      </c>
      <c r="B811" s="10" t="s">
        <v>843</v>
      </c>
      <c r="C811" s="10" t="s">
        <v>137</v>
      </c>
      <c r="D811" s="10" t="s">
        <v>202</v>
      </c>
      <c r="E811" s="10" t="s">
        <v>203</v>
      </c>
      <c r="F811" s="10" t="s">
        <v>131</v>
      </c>
      <c r="G811" s="10" t="s">
        <v>68</v>
      </c>
      <c r="H811" s="10" t="s">
        <v>65</v>
      </c>
      <c r="I811" s="10" t="s">
        <v>16</v>
      </c>
      <c r="J811" s="10" t="s">
        <v>853</v>
      </c>
      <c r="K811" s="10" t="s">
        <v>854</v>
      </c>
      <c r="L811" s="10" t="s">
        <v>67</v>
      </c>
    </row>
    <row r="812" spans="1:12" x14ac:dyDescent="0.25">
      <c r="A812">
        <v>159</v>
      </c>
      <c r="B812" s="10" t="s">
        <v>843</v>
      </c>
      <c r="C812" s="10" t="s">
        <v>137</v>
      </c>
      <c r="D812" s="10" t="s">
        <v>202</v>
      </c>
      <c r="E812" s="10" t="s">
        <v>203</v>
      </c>
      <c r="F812" s="10" t="s">
        <v>132</v>
      </c>
      <c r="G812" s="10" t="s">
        <v>68</v>
      </c>
      <c r="H812" s="10" t="s">
        <v>65</v>
      </c>
      <c r="I812" s="10" t="s">
        <v>16</v>
      </c>
      <c r="J812" s="10" t="s">
        <v>855</v>
      </c>
      <c r="K812" s="10" t="s">
        <v>856</v>
      </c>
      <c r="L812" s="10" t="s">
        <v>54</v>
      </c>
    </row>
    <row r="813" spans="1:12" x14ac:dyDescent="0.25">
      <c r="A813">
        <v>159</v>
      </c>
      <c r="B813" s="10" t="s">
        <v>843</v>
      </c>
      <c r="C813" s="10" t="s">
        <v>137</v>
      </c>
      <c r="D813" s="10" t="s">
        <v>202</v>
      </c>
      <c r="E813" s="10" t="s">
        <v>203</v>
      </c>
      <c r="F813" s="10" t="s">
        <v>136</v>
      </c>
      <c r="G813" s="10" t="s">
        <v>68</v>
      </c>
      <c r="H813" s="10" t="s">
        <v>65</v>
      </c>
      <c r="I813" s="10" t="s">
        <v>16</v>
      </c>
      <c r="J813" s="10" t="s">
        <v>857</v>
      </c>
      <c r="K813" s="10" t="s">
        <v>858</v>
      </c>
      <c r="L813" s="10" t="s">
        <v>67</v>
      </c>
    </row>
    <row r="814" spans="1:12" x14ac:dyDescent="0.25">
      <c r="A814">
        <v>114</v>
      </c>
      <c r="B814" s="10" t="s">
        <v>1044</v>
      </c>
      <c r="C814" s="10" t="s">
        <v>130</v>
      </c>
      <c r="D814" s="10" t="s">
        <v>244</v>
      </c>
      <c r="E814" s="10" t="s">
        <v>245</v>
      </c>
      <c r="F814" s="10" t="s">
        <v>69</v>
      </c>
      <c r="G814" s="10" t="s">
        <v>68</v>
      </c>
      <c r="H814" s="10" t="s">
        <v>65</v>
      </c>
      <c r="I814" s="10" t="s">
        <v>16</v>
      </c>
      <c r="J814" s="10" t="s">
        <v>1045</v>
      </c>
      <c r="K814" s="10" t="s">
        <v>1046</v>
      </c>
      <c r="L814" s="10" t="s">
        <v>54</v>
      </c>
    </row>
    <row r="815" spans="1:12" x14ac:dyDescent="0.25">
      <c r="A815">
        <v>114</v>
      </c>
      <c r="B815" s="10" t="s">
        <v>1044</v>
      </c>
      <c r="C815" s="10" t="s">
        <v>130</v>
      </c>
      <c r="D815" s="10" t="s">
        <v>244</v>
      </c>
      <c r="E815" s="10" t="s">
        <v>245</v>
      </c>
      <c r="F815" s="10" t="s">
        <v>70</v>
      </c>
      <c r="G815" s="10" t="s">
        <v>68</v>
      </c>
      <c r="H815" s="10" t="s">
        <v>65</v>
      </c>
      <c r="I815" s="10" t="s">
        <v>16</v>
      </c>
      <c r="J815" s="10" t="s">
        <v>1047</v>
      </c>
      <c r="K815" s="10" t="s">
        <v>1048</v>
      </c>
      <c r="L815" s="10" t="s">
        <v>67</v>
      </c>
    </row>
    <row r="816" spans="1:12" x14ac:dyDescent="0.25">
      <c r="A816">
        <v>114</v>
      </c>
      <c r="B816" s="10" t="s">
        <v>1044</v>
      </c>
      <c r="C816" s="10" t="s">
        <v>130</v>
      </c>
      <c r="D816" s="10" t="s">
        <v>244</v>
      </c>
      <c r="E816" s="10" t="s">
        <v>245</v>
      </c>
      <c r="F816" s="10" t="s">
        <v>71</v>
      </c>
      <c r="G816" s="10" t="s">
        <v>68</v>
      </c>
      <c r="H816" s="10" t="s">
        <v>72</v>
      </c>
      <c r="I816" s="10" t="s">
        <v>18</v>
      </c>
      <c r="J816" s="10" t="s">
        <v>54</v>
      </c>
      <c r="K816" s="10" t="s">
        <v>54</v>
      </c>
      <c r="L816" s="10" t="s">
        <v>54</v>
      </c>
    </row>
    <row r="817" spans="1:12" x14ac:dyDescent="0.25">
      <c r="A817">
        <v>114</v>
      </c>
      <c r="B817" s="10" t="s">
        <v>1044</v>
      </c>
      <c r="C817" s="10" t="s">
        <v>130</v>
      </c>
      <c r="D817" s="10" t="s">
        <v>244</v>
      </c>
      <c r="E817" s="10" t="s">
        <v>245</v>
      </c>
      <c r="F817" s="10" t="s">
        <v>73</v>
      </c>
      <c r="G817" s="10" t="s">
        <v>68</v>
      </c>
      <c r="H817" s="10" t="s">
        <v>65</v>
      </c>
      <c r="I817" s="10" t="s">
        <v>16</v>
      </c>
      <c r="J817" s="10" t="s">
        <v>656</v>
      </c>
      <c r="K817" s="10" t="s">
        <v>1049</v>
      </c>
      <c r="L817" s="10" t="s">
        <v>67</v>
      </c>
    </row>
    <row r="818" spans="1:12" x14ac:dyDescent="0.25">
      <c r="A818">
        <v>114</v>
      </c>
      <c r="B818" s="10" t="s">
        <v>1044</v>
      </c>
      <c r="C818" s="10" t="s">
        <v>130</v>
      </c>
      <c r="D818" s="10" t="s">
        <v>244</v>
      </c>
      <c r="E818" s="10" t="s">
        <v>245</v>
      </c>
      <c r="F818" s="10" t="s">
        <v>74</v>
      </c>
      <c r="G818" s="10" t="s">
        <v>68</v>
      </c>
      <c r="H818" s="10" t="s">
        <v>65</v>
      </c>
      <c r="I818" s="10" t="s">
        <v>16</v>
      </c>
      <c r="J818" s="10" t="s">
        <v>326</v>
      </c>
      <c r="K818" s="10" t="s">
        <v>502</v>
      </c>
      <c r="L818" s="10" t="s">
        <v>67</v>
      </c>
    </row>
    <row r="819" spans="1:12" x14ac:dyDescent="0.25">
      <c r="A819">
        <v>114</v>
      </c>
      <c r="B819" s="10" t="s">
        <v>1044</v>
      </c>
      <c r="C819" s="10" t="s">
        <v>130</v>
      </c>
      <c r="D819" s="10" t="s">
        <v>244</v>
      </c>
      <c r="E819" s="10" t="s">
        <v>245</v>
      </c>
      <c r="F819" s="10" t="s">
        <v>75</v>
      </c>
      <c r="G819" s="10" t="s">
        <v>68</v>
      </c>
      <c r="H819" s="10" t="s">
        <v>72</v>
      </c>
      <c r="I819" s="10" t="s">
        <v>24</v>
      </c>
      <c r="J819" s="10" t="s">
        <v>326</v>
      </c>
      <c r="K819" s="10" t="s">
        <v>637</v>
      </c>
      <c r="L819" s="10" t="s">
        <v>67</v>
      </c>
    </row>
    <row r="820" spans="1:12" x14ac:dyDescent="0.25">
      <c r="A820">
        <v>114</v>
      </c>
      <c r="B820" s="10" t="s">
        <v>1044</v>
      </c>
      <c r="C820" s="10" t="s">
        <v>130</v>
      </c>
      <c r="D820" s="10" t="s">
        <v>244</v>
      </c>
      <c r="E820" s="10" t="s">
        <v>245</v>
      </c>
      <c r="F820" s="10" t="s">
        <v>76</v>
      </c>
      <c r="G820" s="10" t="s">
        <v>77</v>
      </c>
      <c r="H820" s="10" t="s">
        <v>65</v>
      </c>
      <c r="I820" s="10" t="s">
        <v>16</v>
      </c>
      <c r="J820" s="10" t="s">
        <v>883</v>
      </c>
      <c r="K820" s="10" t="s">
        <v>884</v>
      </c>
      <c r="L820" s="10" t="s">
        <v>67</v>
      </c>
    </row>
    <row r="821" spans="1:12" x14ac:dyDescent="0.25">
      <c r="A821">
        <v>114</v>
      </c>
      <c r="B821" s="10" t="s">
        <v>1044</v>
      </c>
      <c r="C821" s="10" t="s">
        <v>130</v>
      </c>
      <c r="D821" s="10" t="s">
        <v>244</v>
      </c>
      <c r="E821" s="10" t="s">
        <v>245</v>
      </c>
      <c r="F821" s="10" t="s">
        <v>78</v>
      </c>
      <c r="G821" s="10" t="s">
        <v>77</v>
      </c>
      <c r="H821" s="10" t="s">
        <v>65</v>
      </c>
      <c r="I821" s="10" t="s">
        <v>16</v>
      </c>
      <c r="J821" s="10" t="s">
        <v>79</v>
      </c>
      <c r="K821" s="10" t="s">
        <v>1050</v>
      </c>
      <c r="L821" s="10" t="s">
        <v>67</v>
      </c>
    </row>
    <row r="822" spans="1:12" x14ac:dyDescent="0.25">
      <c r="A822">
        <v>114</v>
      </c>
      <c r="B822" s="10" t="s">
        <v>1044</v>
      </c>
      <c r="C822" s="10" t="s">
        <v>130</v>
      </c>
      <c r="D822" s="10" t="s">
        <v>244</v>
      </c>
      <c r="E822" s="10" t="s">
        <v>245</v>
      </c>
      <c r="F822" s="10" t="s">
        <v>80</v>
      </c>
      <c r="G822" s="10" t="s">
        <v>77</v>
      </c>
      <c r="H822" s="10" t="s">
        <v>65</v>
      </c>
      <c r="I822" s="10" t="s">
        <v>16</v>
      </c>
      <c r="J822" s="10" t="s">
        <v>79</v>
      </c>
      <c r="K822" s="10" t="s">
        <v>1041</v>
      </c>
      <c r="L822" s="10" t="s">
        <v>67</v>
      </c>
    </row>
    <row r="823" spans="1:12" x14ac:dyDescent="0.25">
      <c r="A823">
        <v>114</v>
      </c>
      <c r="B823" s="10" t="s">
        <v>1044</v>
      </c>
      <c r="C823" s="10" t="s">
        <v>130</v>
      </c>
      <c r="D823" s="10" t="s">
        <v>244</v>
      </c>
      <c r="E823" s="10" t="s">
        <v>245</v>
      </c>
      <c r="F823" s="10" t="s">
        <v>81</v>
      </c>
      <c r="G823" s="10" t="s">
        <v>77</v>
      </c>
      <c r="H823" s="10" t="s">
        <v>65</v>
      </c>
      <c r="I823" s="10" t="s">
        <v>16</v>
      </c>
      <c r="J823" s="10" t="s">
        <v>1051</v>
      </c>
      <c r="K823" s="10" t="s">
        <v>1052</v>
      </c>
      <c r="L823" s="10" t="s">
        <v>67</v>
      </c>
    </row>
    <row r="824" spans="1:12" x14ac:dyDescent="0.25">
      <c r="A824">
        <v>114</v>
      </c>
      <c r="B824" s="10" t="s">
        <v>1044</v>
      </c>
      <c r="C824" s="10" t="s">
        <v>130</v>
      </c>
      <c r="D824" s="10" t="s">
        <v>244</v>
      </c>
      <c r="E824" s="10" t="s">
        <v>245</v>
      </c>
      <c r="F824" s="10" t="s">
        <v>82</v>
      </c>
      <c r="G824" s="10" t="s">
        <v>83</v>
      </c>
      <c r="H824" s="10" t="s">
        <v>65</v>
      </c>
      <c r="I824" s="10" t="s">
        <v>16</v>
      </c>
      <c r="J824" s="10" t="s">
        <v>358</v>
      </c>
      <c r="K824" s="10" t="s">
        <v>359</v>
      </c>
      <c r="L824" s="10" t="s">
        <v>67</v>
      </c>
    </row>
    <row r="825" spans="1:12" x14ac:dyDescent="0.25">
      <c r="A825">
        <v>114</v>
      </c>
      <c r="B825" s="10" t="s">
        <v>1044</v>
      </c>
      <c r="C825" s="10" t="s">
        <v>130</v>
      </c>
      <c r="D825" s="10" t="s">
        <v>244</v>
      </c>
      <c r="E825" s="10" t="s">
        <v>245</v>
      </c>
      <c r="F825" s="10" t="s">
        <v>84</v>
      </c>
      <c r="G825" s="10" t="s">
        <v>83</v>
      </c>
      <c r="H825" s="10" t="s">
        <v>65</v>
      </c>
      <c r="I825" s="10" t="s">
        <v>16</v>
      </c>
      <c r="J825" s="10" t="s">
        <v>832</v>
      </c>
      <c r="K825" s="10" t="s">
        <v>833</v>
      </c>
      <c r="L825" s="10" t="s">
        <v>67</v>
      </c>
    </row>
    <row r="826" spans="1:12" x14ac:dyDescent="0.25">
      <c r="A826">
        <v>114</v>
      </c>
      <c r="B826" s="10" t="s">
        <v>1044</v>
      </c>
      <c r="C826" s="10" t="s">
        <v>130</v>
      </c>
      <c r="D826" s="10" t="s">
        <v>244</v>
      </c>
      <c r="E826" s="10" t="s">
        <v>245</v>
      </c>
      <c r="F826" s="10" t="s">
        <v>91</v>
      </c>
      <c r="G826" s="10" t="s">
        <v>86</v>
      </c>
      <c r="H826" s="10" t="s">
        <v>65</v>
      </c>
      <c r="I826" s="10" t="s">
        <v>16</v>
      </c>
      <c r="J826" s="10" t="s">
        <v>79</v>
      </c>
      <c r="K826" s="10" t="s">
        <v>1053</v>
      </c>
      <c r="L826" s="10" t="s">
        <v>67</v>
      </c>
    </row>
    <row r="827" spans="1:12" x14ac:dyDescent="0.25">
      <c r="A827">
        <v>114</v>
      </c>
      <c r="B827" s="10" t="s">
        <v>1044</v>
      </c>
      <c r="C827" s="10" t="s">
        <v>130</v>
      </c>
      <c r="D827" s="10" t="s">
        <v>244</v>
      </c>
      <c r="E827" s="10" t="s">
        <v>245</v>
      </c>
      <c r="F827" s="10" t="s">
        <v>93</v>
      </c>
      <c r="G827" s="10" t="s">
        <v>94</v>
      </c>
      <c r="H827" s="10" t="s">
        <v>65</v>
      </c>
      <c r="I827" s="10" t="s">
        <v>16</v>
      </c>
      <c r="J827" s="10" t="s">
        <v>1054</v>
      </c>
      <c r="K827" s="10" t="s">
        <v>1055</v>
      </c>
      <c r="L827" s="10" t="s">
        <v>67</v>
      </c>
    </row>
    <row r="828" spans="1:12" x14ac:dyDescent="0.25">
      <c r="A828">
        <v>114</v>
      </c>
      <c r="B828" s="10" t="s">
        <v>1044</v>
      </c>
      <c r="C828" s="10" t="s">
        <v>130</v>
      </c>
      <c r="D828" s="10" t="s">
        <v>244</v>
      </c>
      <c r="E828" s="10" t="s">
        <v>245</v>
      </c>
      <c r="F828" s="10" t="s">
        <v>95</v>
      </c>
      <c r="G828" s="10" t="s">
        <v>94</v>
      </c>
      <c r="H828" s="10" t="s">
        <v>65</v>
      </c>
      <c r="I828" s="10" t="s">
        <v>16</v>
      </c>
      <c r="J828" s="10" t="s">
        <v>1054</v>
      </c>
      <c r="K828" s="10" t="s">
        <v>1055</v>
      </c>
      <c r="L828" s="10" t="s">
        <v>67</v>
      </c>
    </row>
    <row r="829" spans="1:12" x14ac:dyDescent="0.25">
      <c r="A829">
        <v>114</v>
      </c>
      <c r="B829" s="10" t="s">
        <v>1044</v>
      </c>
      <c r="C829" s="10" t="s">
        <v>130</v>
      </c>
      <c r="D829" s="10" t="s">
        <v>244</v>
      </c>
      <c r="E829" s="10" t="s">
        <v>245</v>
      </c>
      <c r="F829" s="10" t="s">
        <v>96</v>
      </c>
      <c r="G829" s="10" t="s">
        <v>94</v>
      </c>
      <c r="H829" s="10" t="s">
        <v>65</v>
      </c>
      <c r="I829" s="10" t="s">
        <v>16</v>
      </c>
      <c r="J829" s="10" t="s">
        <v>79</v>
      </c>
      <c r="K829" s="10" t="s">
        <v>1056</v>
      </c>
      <c r="L829" s="10" t="s">
        <v>67</v>
      </c>
    </row>
    <row r="830" spans="1:12" x14ac:dyDescent="0.25">
      <c r="A830">
        <v>114</v>
      </c>
      <c r="B830" s="10" t="s">
        <v>1044</v>
      </c>
      <c r="C830" s="10" t="s">
        <v>130</v>
      </c>
      <c r="D830" s="10" t="s">
        <v>244</v>
      </c>
      <c r="E830" s="10" t="s">
        <v>245</v>
      </c>
      <c r="F830" s="10" t="s">
        <v>97</v>
      </c>
      <c r="G830" s="10" t="s">
        <v>98</v>
      </c>
      <c r="H830" s="10" t="s">
        <v>65</v>
      </c>
      <c r="I830" s="10" t="s">
        <v>16</v>
      </c>
      <c r="J830" s="10" t="s">
        <v>1057</v>
      </c>
      <c r="K830" s="10" t="s">
        <v>829</v>
      </c>
      <c r="L830" s="10" t="s">
        <v>67</v>
      </c>
    </row>
    <row r="831" spans="1:12" x14ac:dyDescent="0.25">
      <c r="A831">
        <v>114</v>
      </c>
      <c r="B831" s="10" t="s">
        <v>1044</v>
      </c>
      <c r="C831" s="10" t="s">
        <v>130</v>
      </c>
      <c r="D831" s="10" t="s">
        <v>244</v>
      </c>
      <c r="E831" s="10" t="s">
        <v>245</v>
      </c>
      <c r="F831" s="10" t="s">
        <v>101</v>
      </c>
      <c r="G831" s="10" t="s">
        <v>102</v>
      </c>
      <c r="H831" s="10" t="s">
        <v>65</v>
      </c>
      <c r="I831" s="10" t="s">
        <v>16</v>
      </c>
      <c r="J831" s="10" t="s">
        <v>79</v>
      </c>
      <c r="K831" s="10" t="s">
        <v>1058</v>
      </c>
      <c r="L831" s="10" t="s">
        <v>67</v>
      </c>
    </row>
    <row r="832" spans="1:12" x14ac:dyDescent="0.25">
      <c r="A832">
        <v>114</v>
      </c>
      <c r="B832" s="10" t="s">
        <v>1044</v>
      </c>
      <c r="C832" s="10" t="s">
        <v>130</v>
      </c>
      <c r="D832" s="10" t="s">
        <v>244</v>
      </c>
      <c r="E832" s="10" t="s">
        <v>245</v>
      </c>
      <c r="F832" s="10" t="s">
        <v>103</v>
      </c>
      <c r="G832" s="10" t="s">
        <v>102</v>
      </c>
      <c r="H832" s="10" t="s">
        <v>65</v>
      </c>
      <c r="I832" s="10" t="s">
        <v>16</v>
      </c>
      <c r="J832" s="10" t="s">
        <v>358</v>
      </c>
      <c r="K832" s="10" t="s">
        <v>359</v>
      </c>
      <c r="L832" s="10" t="s">
        <v>67</v>
      </c>
    </row>
    <row r="833" spans="1:12" x14ac:dyDescent="0.25">
      <c r="A833">
        <v>114</v>
      </c>
      <c r="B833" s="10" t="s">
        <v>1044</v>
      </c>
      <c r="C833" s="10" t="s">
        <v>130</v>
      </c>
      <c r="D833" s="10" t="s">
        <v>244</v>
      </c>
      <c r="E833" s="10" t="s">
        <v>245</v>
      </c>
      <c r="F833" s="10" t="s">
        <v>104</v>
      </c>
      <c r="G833" s="10" t="s">
        <v>105</v>
      </c>
      <c r="H833" s="10" t="s">
        <v>65</v>
      </c>
      <c r="I833" s="10" t="s">
        <v>16</v>
      </c>
      <c r="J833" s="10" t="s">
        <v>1059</v>
      </c>
      <c r="K833" s="10" t="s">
        <v>1060</v>
      </c>
      <c r="L833" s="10" t="s">
        <v>67</v>
      </c>
    </row>
    <row r="834" spans="1:12" x14ac:dyDescent="0.25">
      <c r="A834">
        <v>114</v>
      </c>
      <c r="B834" s="10" t="s">
        <v>1044</v>
      </c>
      <c r="C834" s="10" t="s">
        <v>130</v>
      </c>
      <c r="D834" s="10" t="s">
        <v>244</v>
      </c>
      <c r="E834" s="10" t="s">
        <v>245</v>
      </c>
      <c r="F834" s="10" t="s">
        <v>106</v>
      </c>
      <c r="G834" s="10" t="s">
        <v>105</v>
      </c>
      <c r="H834" s="10" t="s">
        <v>65</v>
      </c>
      <c r="I834" s="10" t="s">
        <v>16</v>
      </c>
      <c r="J834" s="10" t="s">
        <v>1057</v>
      </c>
      <c r="K834" s="10" t="s">
        <v>829</v>
      </c>
      <c r="L834" s="10" t="s">
        <v>67</v>
      </c>
    </row>
    <row r="835" spans="1:12" x14ac:dyDescent="0.25">
      <c r="A835">
        <v>114</v>
      </c>
      <c r="B835" s="10" t="s">
        <v>1044</v>
      </c>
      <c r="C835" s="10" t="s">
        <v>130</v>
      </c>
      <c r="D835" s="10" t="s">
        <v>244</v>
      </c>
      <c r="E835" s="10" t="s">
        <v>245</v>
      </c>
      <c r="F835" s="10" t="s">
        <v>107</v>
      </c>
      <c r="G835" s="10" t="s">
        <v>105</v>
      </c>
      <c r="H835" s="10" t="s">
        <v>65</v>
      </c>
      <c r="I835" s="10" t="s">
        <v>16</v>
      </c>
      <c r="J835" s="10" t="s">
        <v>828</v>
      </c>
      <c r="K835" s="10" t="s">
        <v>829</v>
      </c>
      <c r="L835" s="10" t="s">
        <v>67</v>
      </c>
    </row>
    <row r="836" spans="1:12" x14ac:dyDescent="0.25">
      <c r="A836">
        <v>114</v>
      </c>
      <c r="B836" s="10" t="s">
        <v>1044</v>
      </c>
      <c r="C836" s="10" t="s">
        <v>130</v>
      </c>
      <c r="D836" s="10" t="s">
        <v>244</v>
      </c>
      <c r="E836" s="10" t="s">
        <v>245</v>
      </c>
      <c r="F836" s="10" t="s">
        <v>108</v>
      </c>
      <c r="G836" s="10" t="s">
        <v>105</v>
      </c>
      <c r="H836" s="10" t="s">
        <v>65</v>
      </c>
      <c r="I836" s="10" t="s">
        <v>16</v>
      </c>
      <c r="J836" s="10" t="s">
        <v>1061</v>
      </c>
      <c r="K836" s="10" t="s">
        <v>1062</v>
      </c>
      <c r="L836" s="10" t="s">
        <v>67</v>
      </c>
    </row>
    <row r="837" spans="1:12" x14ac:dyDescent="0.25">
      <c r="A837">
        <v>114</v>
      </c>
      <c r="B837" s="10" t="s">
        <v>1044</v>
      </c>
      <c r="C837" s="10" t="s">
        <v>130</v>
      </c>
      <c r="D837" s="10" t="s">
        <v>244</v>
      </c>
      <c r="E837" s="10" t="s">
        <v>245</v>
      </c>
      <c r="F837" s="10" t="s">
        <v>109</v>
      </c>
      <c r="G837" s="10" t="s">
        <v>105</v>
      </c>
      <c r="H837" s="10" t="s">
        <v>65</v>
      </c>
      <c r="I837" s="10" t="s">
        <v>16</v>
      </c>
      <c r="J837" s="10" t="s">
        <v>1063</v>
      </c>
      <c r="K837" s="10" t="s">
        <v>1064</v>
      </c>
      <c r="L837" s="10" t="s">
        <v>67</v>
      </c>
    </row>
    <row r="838" spans="1:12" x14ac:dyDescent="0.25">
      <c r="A838">
        <v>114</v>
      </c>
      <c r="B838" s="10" t="s">
        <v>1044</v>
      </c>
      <c r="C838" s="10" t="s">
        <v>130</v>
      </c>
      <c r="D838" s="10" t="s">
        <v>244</v>
      </c>
      <c r="E838" s="10" t="s">
        <v>245</v>
      </c>
      <c r="F838" s="10" t="s">
        <v>110</v>
      </c>
      <c r="G838" s="10" t="s">
        <v>105</v>
      </c>
      <c r="H838" s="10" t="s">
        <v>65</v>
      </c>
      <c r="I838" s="10" t="s">
        <v>16</v>
      </c>
      <c r="J838" s="10" t="s">
        <v>79</v>
      </c>
      <c r="K838" s="10" t="s">
        <v>829</v>
      </c>
      <c r="L838" s="10" t="s">
        <v>67</v>
      </c>
    </row>
    <row r="839" spans="1:12" x14ac:dyDescent="0.25">
      <c r="A839">
        <v>114</v>
      </c>
      <c r="B839" s="10" t="s">
        <v>1044</v>
      </c>
      <c r="C839" s="10" t="s">
        <v>130</v>
      </c>
      <c r="D839" s="10" t="s">
        <v>244</v>
      </c>
      <c r="E839" s="10" t="s">
        <v>245</v>
      </c>
      <c r="F839" s="10" t="s">
        <v>111</v>
      </c>
      <c r="G839" s="10" t="s">
        <v>105</v>
      </c>
      <c r="H839" s="10" t="s">
        <v>65</v>
      </c>
      <c r="I839" s="10" t="s">
        <v>16</v>
      </c>
      <c r="J839" s="10" t="s">
        <v>1059</v>
      </c>
      <c r="K839" s="10" t="s">
        <v>1060</v>
      </c>
      <c r="L839" s="10" t="s">
        <v>67</v>
      </c>
    </row>
    <row r="840" spans="1:12" x14ac:dyDescent="0.25">
      <c r="A840">
        <v>114</v>
      </c>
      <c r="B840" s="10" t="s">
        <v>1044</v>
      </c>
      <c r="C840" s="10" t="s">
        <v>130</v>
      </c>
      <c r="D840" s="10" t="s">
        <v>244</v>
      </c>
      <c r="E840" s="10" t="s">
        <v>245</v>
      </c>
      <c r="F840" s="10" t="s">
        <v>112</v>
      </c>
      <c r="G840" s="10" t="s">
        <v>105</v>
      </c>
      <c r="H840" s="10" t="s">
        <v>65</v>
      </c>
      <c r="I840" s="10" t="s">
        <v>16</v>
      </c>
      <c r="J840" s="10" t="s">
        <v>1065</v>
      </c>
      <c r="K840" s="10" t="s">
        <v>1066</v>
      </c>
      <c r="L840" s="10" t="s">
        <v>67</v>
      </c>
    </row>
    <row r="841" spans="1:12" x14ac:dyDescent="0.25">
      <c r="A841">
        <v>114</v>
      </c>
      <c r="B841" s="10" t="s">
        <v>1044</v>
      </c>
      <c r="C841" s="10" t="s">
        <v>130</v>
      </c>
      <c r="D841" s="10" t="s">
        <v>244</v>
      </c>
      <c r="E841" s="10" t="s">
        <v>245</v>
      </c>
      <c r="F841" s="10" t="s">
        <v>113</v>
      </c>
      <c r="G841" s="10" t="s">
        <v>105</v>
      </c>
      <c r="H841" s="10" t="s">
        <v>65</v>
      </c>
      <c r="I841" s="10" t="s">
        <v>16</v>
      </c>
      <c r="J841" s="10" t="s">
        <v>1051</v>
      </c>
      <c r="K841" s="10" t="s">
        <v>1052</v>
      </c>
      <c r="L841" s="10" t="s">
        <v>67</v>
      </c>
    </row>
    <row r="842" spans="1:12" x14ac:dyDescent="0.25">
      <c r="A842">
        <v>114</v>
      </c>
      <c r="B842" s="10" t="s">
        <v>1044</v>
      </c>
      <c r="C842" s="10" t="s">
        <v>130</v>
      </c>
      <c r="D842" s="10" t="s">
        <v>244</v>
      </c>
      <c r="E842" s="10" t="s">
        <v>245</v>
      </c>
      <c r="F842" s="10" t="s">
        <v>124</v>
      </c>
      <c r="G842" s="10" t="s">
        <v>125</v>
      </c>
      <c r="H842" s="10" t="s">
        <v>72</v>
      </c>
      <c r="I842" s="10" t="s">
        <v>18</v>
      </c>
      <c r="J842" s="10" t="s">
        <v>54</v>
      </c>
      <c r="K842" s="10" t="s">
        <v>54</v>
      </c>
      <c r="L842" s="10" t="s">
        <v>54</v>
      </c>
    </row>
    <row r="843" spans="1:12" x14ac:dyDescent="0.25">
      <c r="A843">
        <v>114</v>
      </c>
      <c r="B843" s="10" t="s">
        <v>1044</v>
      </c>
      <c r="C843" s="10" t="s">
        <v>130</v>
      </c>
      <c r="D843" s="10" t="s">
        <v>244</v>
      </c>
      <c r="E843" s="10" t="s">
        <v>245</v>
      </c>
      <c r="F843" s="10" t="s">
        <v>129</v>
      </c>
      <c r="G843" s="10" t="s">
        <v>68</v>
      </c>
      <c r="H843" s="10" t="s">
        <v>65</v>
      </c>
      <c r="I843" s="10" t="s">
        <v>16</v>
      </c>
      <c r="J843" s="10" t="s">
        <v>1045</v>
      </c>
      <c r="K843" s="10" t="s">
        <v>1046</v>
      </c>
      <c r="L843" s="10" t="s">
        <v>54</v>
      </c>
    </row>
    <row r="844" spans="1:12" x14ac:dyDescent="0.25">
      <c r="A844">
        <v>114</v>
      </c>
      <c r="B844" s="10" t="s">
        <v>1044</v>
      </c>
      <c r="C844" s="10" t="s">
        <v>130</v>
      </c>
      <c r="D844" s="10" t="s">
        <v>244</v>
      </c>
      <c r="E844" s="10" t="s">
        <v>245</v>
      </c>
      <c r="F844" s="10" t="s">
        <v>131</v>
      </c>
      <c r="G844" s="10" t="s">
        <v>68</v>
      </c>
      <c r="H844" s="10" t="s">
        <v>65</v>
      </c>
      <c r="I844" s="10" t="s">
        <v>16</v>
      </c>
      <c r="J844" s="10" t="s">
        <v>1045</v>
      </c>
      <c r="K844" s="10" t="s">
        <v>1046</v>
      </c>
      <c r="L844" s="10" t="s">
        <v>67</v>
      </c>
    </row>
    <row r="845" spans="1:12" x14ac:dyDescent="0.25">
      <c r="A845">
        <v>114</v>
      </c>
      <c r="B845" s="10" t="s">
        <v>1044</v>
      </c>
      <c r="C845" s="10" t="s">
        <v>130</v>
      </c>
      <c r="D845" s="10" t="s">
        <v>244</v>
      </c>
      <c r="E845" s="10" t="s">
        <v>245</v>
      </c>
      <c r="F845" s="10" t="s">
        <v>132</v>
      </c>
      <c r="G845" s="10" t="s">
        <v>68</v>
      </c>
      <c r="H845" s="10" t="s">
        <v>65</v>
      </c>
      <c r="I845" s="10" t="s">
        <v>16</v>
      </c>
      <c r="J845" s="10" t="s">
        <v>1047</v>
      </c>
      <c r="K845" s="10" t="s">
        <v>1048</v>
      </c>
      <c r="L845" s="10" t="s">
        <v>54</v>
      </c>
    </row>
    <row r="846" spans="1:12" x14ac:dyDescent="0.25">
      <c r="A846">
        <v>114</v>
      </c>
      <c r="B846" s="10" t="s">
        <v>1044</v>
      </c>
      <c r="C846" s="10" t="s">
        <v>130</v>
      </c>
      <c r="D846" s="10" t="s">
        <v>244</v>
      </c>
      <c r="E846" s="10" t="s">
        <v>245</v>
      </c>
      <c r="F846" s="10" t="s">
        <v>122</v>
      </c>
      <c r="G846" s="10" t="s">
        <v>94</v>
      </c>
      <c r="H846" s="10" t="s">
        <v>65</v>
      </c>
      <c r="I846" s="10" t="s">
        <v>18</v>
      </c>
      <c r="J846" s="10" t="s">
        <v>54</v>
      </c>
      <c r="K846" s="10" t="s">
        <v>54</v>
      </c>
      <c r="L846" s="10" t="s">
        <v>54</v>
      </c>
    </row>
    <row r="847" spans="1:12" x14ac:dyDescent="0.25">
      <c r="A847">
        <v>180</v>
      </c>
      <c r="B847" s="10" t="s">
        <v>936</v>
      </c>
      <c r="C847" s="10" t="s">
        <v>164</v>
      </c>
      <c r="D847" s="10" t="s">
        <v>220</v>
      </c>
      <c r="E847" s="10" t="s">
        <v>221</v>
      </c>
      <c r="F847" s="10" t="s">
        <v>71</v>
      </c>
      <c r="G847" s="10" t="s">
        <v>68</v>
      </c>
      <c r="H847" s="10" t="s">
        <v>72</v>
      </c>
      <c r="I847" s="10" t="s">
        <v>16</v>
      </c>
      <c r="J847" s="10" t="s">
        <v>937</v>
      </c>
      <c r="K847" s="10" t="s">
        <v>938</v>
      </c>
      <c r="L847" s="10" t="s">
        <v>54</v>
      </c>
    </row>
    <row r="848" spans="1:12" x14ac:dyDescent="0.25">
      <c r="A848">
        <v>180</v>
      </c>
      <c r="B848" s="10" t="s">
        <v>936</v>
      </c>
      <c r="C848" s="10" t="s">
        <v>164</v>
      </c>
      <c r="D848" s="10" t="s">
        <v>220</v>
      </c>
      <c r="E848" s="10" t="s">
        <v>221</v>
      </c>
      <c r="F848" s="10" t="s">
        <v>73</v>
      </c>
      <c r="G848" s="10" t="s">
        <v>68</v>
      </c>
      <c r="H848" s="10" t="s">
        <v>65</v>
      </c>
      <c r="I848" s="10" t="s">
        <v>16</v>
      </c>
      <c r="J848" s="10" t="s">
        <v>423</v>
      </c>
      <c r="K848" s="10" t="s">
        <v>424</v>
      </c>
      <c r="L848" s="10" t="s">
        <v>67</v>
      </c>
    </row>
    <row r="849" spans="1:12" x14ac:dyDescent="0.25">
      <c r="A849">
        <v>180</v>
      </c>
      <c r="B849" s="10" t="s">
        <v>936</v>
      </c>
      <c r="C849" s="10" t="s">
        <v>164</v>
      </c>
      <c r="D849" s="10" t="s">
        <v>220</v>
      </c>
      <c r="E849" s="10" t="s">
        <v>221</v>
      </c>
      <c r="F849" s="10" t="s">
        <v>74</v>
      </c>
      <c r="G849" s="10" t="s">
        <v>68</v>
      </c>
      <c r="H849" s="10" t="s">
        <v>65</v>
      </c>
      <c r="I849" s="10" t="s">
        <v>16</v>
      </c>
      <c r="J849" s="10" t="s">
        <v>861</v>
      </c>
      <c r="K849" s="10" t="s">
        <v>825</v>
      </c>
      <c r="L849" s="10" t="s">
        <v>67</v>
      </c>
    </row>
    <row r="850" spans="1:12" x14ac:dyDescent="0.25">
      <c r="A850">
        <v>180</v>
      </c>
      <c r="B850" s="10" t="s">
        <v>936</v>
      </c>
      <c r="C850" s="10" t="s">
        <v>164</v>
      </c>
      <c r="D850" s="10" t="s">
        <v>220</v>
      </c>
      <c r="E850" s="10" t="s">
        <v>221</v>
      </c>
      <c r="F850" s="10" t="s">
        <v>75</v>
      </c>
      <c r="G850" s="10" t="s">
        <v>68</v>
      </c>
      <c r="H850" s="10" t="s">
        <v>72</v>
      </c>
      <c r="I850" s="10" t="s">
        <v>24</v>
      </c>
      <c r="J850" s="10" t="s">
        <v>326</v>
      </c>
      <c r="K850" s="10" t="s">
        <v>417</v>
      </c>
      <c r="L850" s="10" t="s">
        <v>67</v>
      </c>
    </row>
    <row r="851" spans="1:12" x14ac:dyDescent="0.25">
      <c r="A851">
        <v>180</v>
      </c>
      <c r="B851" s="10" t="s">
        <v>936</v>
      </c>
      <c r="C851" s="10" t="s">
        <v>164</v>
      </c>
      <c r="D851" s="10" t="s">
        <v>220</v>
      </c>
      <c r="E851" s="10" t="s">
        <v>221</v>
      </c>
      <c r="F851" s="10" t="s">
        <v>76</v>
      </c>
      <c r="G851" s="10" t="s">
        <v>77</v>
      </c>
      <c r="H851" s="10" t="s">
        <v>65</v>
      </c>
      <c r="I851" s="10" t="s">
        <v>16</v>
      </c>
      <c r="J851" s="10" t="s">
        <v>808</v>
      </c>
      <c r="K851" s="10" t="s">
        <v>809</v>
      </c>
      <c r="L851" s="10" t="s">
        <v>67</v>
      </c>
    </row>
    <row r="852" spans="1:12" x14ac:dyDescent="0.25">
      <c r="A852">
        <v>180</v>
      </c>
      <c r="B852" s="10" t="s">
        <v>936</v>
      </c>
      <c r="C852" s="10" t="s">
        <v>164</v>
      </c>
      <c r="D852" s="10" t="s">
        <v>220</v>
      </c>
      <c r="E852" s="10" t="s">
        <v>221</v>
      </c>
      <c r="F852" s="10" t="s">
        <v>80</v>
      </c>
      <c r="G852" s="10" t="s">
        <v>77</v>
      </c>
      <c r="H852" s="10" t="s">
        <v>65</v>
      </c>
      <c r="I852" s="10" t="s">
        <v>16</v>
      </c>
      <c r="J852" s="10" t="s">
        <v>79</v>
      </c>
      <c r="K852" s="10" t="s">
        <v>939</v>
      </c>
      <c r="L852" s="10" t="s">
        <v>67</v>
      </c>
    </row>
    <row r="853" spans="1:12" x14ac:dyDescent="0.25">
      <c r="A853">
        <v>180</v>
      </c>
      <c r="B853" s="10" t="s">
        <v>936</v>
      </c>
      <c r="C853" s="10" t="s">
        <v>164</v>
      </c>
      <c r="D853" s="10" t="s">
        <v>220</v>
      </c>
      <c r="E853" s="10" t="s">
        <v>221</v>
      </c>
      <c r="F853" s="10" t="s">
        <v>84</v>
      </c>
      <c r="G853" s="10" t="s">
        <v>83</v>
      </c>
      <c r="H853" s="10" t="s">
        <v>65</v>
      </c>
      <c r="I853" s="10" t="s">
        <v>16</v>
      </c>
      <c r="J853" s="10" t="s">
        <v>743</v>
      </c>
      <c r="K853" s="10" t="s">
        <v>744</v>
      </c>
      <c r="L853" s="10" t="s">
        <v>67</v>
      </c>
    </row>
    <row r="854" spans="1:12" x14ac:dyDescent="0.25">
      <c r="A854">
        <v>180</v>
      </c>
      <c r="B854" s="10" t="s">
        <v>936</v>
      </c>
      <c r="C854" s="10" t="s">
        <v>164</v>
      </c>
      <c r="D854" s="10" t="s">
        <v>220</v>
      </c>
      <c r="E854" s="10" t="s">
        <v>221</v>
      </c>
      <c r="F854" s="10" t="s">
        <v>93</v>
      </c>
      <c r="G854" s="10" t="s">
        <v>94</v>
      </c>
      <c r="H854" s="10" t="s">
        <v>65</v>
      </c>
      <c r="I854" s="10" t="s">
        <v>16</v>
      </c>
      <c r="J854" s="10" t="s">
        <v>940</v>
      </c>
      <c r="K854" s="10" t="s">
        <v>941</v>
      </c>
      <c r="L854" s="10" t="s">
        <v>67</v>
      </c>
    </row>
    <row r="855" spans="1:12" x14ac:dyDescent="0.25">
      <c r="A855">
        <v>180</v>
      </c>
      <c r="B855" s="10" t="s">
        <v>936</v>
      </c>
      <c r="C855" s="10" t="s">
        <v>164</v>
      </c>
      <c r="D855" s="10" t="s">
        <v>220</v>
      </c>
      <c r="E855" s="10" t="s">
        <v>221</v>
      </c>
      <c r="F855" s="10" t="s">
        <v>95</v>
      </c>
      <c r="G855" s="10" t="s">
        <v>94</v>
      </c>
      <c r="H855" s="10" t="s">
        <v>65</v>
      </c>
      <c r="I855" s="10" t="s">
        <v>16</v>
      </c>
      <c r="J855" s="10" t="s">
        <v>940</v>
      </c>
      <c r="K855" s="10" t="s">
        <v>941</v>
      </c>
      <c r="L855" s="10" t="s">
        <v>67</v>
      </c>
    </row>
    <row r="856" spans="1:12" x14ac:dyDescent="0.25">
      <c r="A856">
        <v>180</v>
      </c>
      <c r="B856" s="10" t="s">
        <v>936</v>
      </c>
      <c r="C856" s="10" t="s">
        <v>164</v>
      </c>
      <c r="D856" s="10" t="s">
        <v>220</v>
      </c>
      <c r="E856" s="10" t="s">
        <v>221</v>
      </c>
      <c r="F856" s="10" t="s">
        <v>97</v>
      </c>
      <c r="G856" s="10" t="s">
        <v>98</v>
      </c>
      <c r="H856" s="10" t="s">
        <v>65</v>
      </c>
      <c r="I856" s="10" t="s">
        <v>16</v>
      </c>
      <c r="J856" s="10" t="s">
        <v>475</v>
      </c>
      <c r="K856" s="10" t="s">
        <v>476</v>
      </c>
      <c r="L856" s="10" t="s">
        <v>67</v>
      </c>
    </row>
    <row r="857" spans="1:12" x14ac:dyDescent="0.25">
      <c r="A857">
        <v>180</v>
      </c>
      <c r="B857" s="10" t="s">
        <v>936</v>
      </c>
      <c r="C857" s="10" t="s">
        <v>164</v>
      </c>
      <c r="D857" s="10" t="s">
        <v>220</v>
      </c>
      <c r="E857" s="10" t="s">
        <v>221</v>
      </c>
      <c r="F857" s="10" t="s">
        <v>100</v>
      </c>
      <c r="G857" s="10" t="s">
        <v>98</v>
      </c>
      <c r="H857" s="10" t="s">
        <v>72</v>
      </c>
      <c r="I857" s="10" t="s">
        <v>18</v>
      </c>
      <c r="J857" s="10" t="s">
        <v>54</v>
      </c>
      <c r="K857" s="10" t="s">
        <v>54</v>
      </c>
      <c r="L857" s="10" t="s">
        <v>54</v>
      </c>
    </row>
    <row r="858" spans="1:12" x14ac:dyDescent="0.25">
      <c r="A858">
        <v>180</v>
      </c>
      <c r="B858" s="10" t="s">
        <v>936</v>
      </c>
      <c r="C858" s="10" t="s">
        <v>164</v>
      </c>
      <c r="D858" s="10" t="s">
        <v>220</v>
      </c>
      <c r="E858" s="10" t="s">
        <v>221</v>
      </c>
      <c r="F858" s="10" t="s">
        <v>101</v>
      </c>
      <c r="G858" s="10" t="s">
        <v>102</v>
      </c>
      <c r="H858" s="10" t="s">
        <v>65</v>
      </c>
      <c r="I858" s="10" t="s">
        <v>16</v>
      </c>
      <c r="J858" s="10" t="s">
        <v>79</v>
      </c>
      <c r="K858" s="10" t="s">
        <v>465</v>
      </c>
      <c r="L858" s="10" t="s">
        <v>67</v>
      </c>
    </row>
    <row r="859" spans="1:12" x14ac:dyDescent="0.25">
      <c r="A859">
        <v>180</v>
      </c>
      <c r="B859" s="10" t="s">
        <v>936</v>
      </c>
      <c r="C859" s="10" t="s">
        <v>164</v>
      </c>
      <c r="D859" s="10" t="s">
        <v>220</v>
      </c>
      <c r="E859" s="10" t="s">
        <v>221</v>
      </c>
      <c r="F859" s="10" t="s">
        <v>103</v>
      </c>
      <c r="G859" s="10" t="s">
        <v>102</v>
      </c>
      <c r="H859" s="10" t="s">
        <v>65</v>
      </c>
      <c r="I859" s="10" t="s">
        <v>16</v>
      </c>
      <c r="J859" s="10" t="s">
        <v>814</v>
      </c>
      <c r="K859" s="10" t="s">
        <v>815</v>
      </c>
      <c r="L859" s="10" t="s">
        <v>67</v>
      </c>
    </row>
    <row r="860" spans="1:12" x14ac:dyDescent="0.25">
      <c r="A860">
        <v>180</v>
      </c>
      <c r="B860" s="10" t="s">
        <v>936</v>
      </c>
      <c r="C860" s="10" t="s">
        <v>164</v>
      </c>
      <c r="D860" s="10" t="s">
        <v>220</v>
      </c>
      <c r="E860" s="10" t="s">
        <v>221</v>
      </c>
      <c r="F860" s="10" t="s">
        <v>104</v>
      </c>
      <c r="G860" s="10" t="s">
        <v>105</v>
      </c>
      <c r="H860" s="10" t="s">
        <v>65</v>
      </c>
      <c r="I860" s="10" t="s">
        <v>16</v>
      </c>
      <c r="J860" s="10" t="s">
        <v>332</v>
      </c>
      <c r="K860" s="10" t="s">
        <v>333</v>
      </c>
      <c r="L860" s="10" t="s">
        <v>67</v>
      </c>
    </row>
    <row r="861" spans="1:12" x14ac:dyDescent="0.25">
      <c r="A861">
        <v>180</v>
      </c>
      <c r="B861" s="10" t="s">
        <v>936</v>
      </c>
      <c r="C861" s="10" t="s">
        <v>164</v>
      </c>
      <c r="D861" s="10" t="s">
        <v>220</v>
      </c>
      <c r="E861" s="10" t="s">
        <v>221</v>
      </c>
      <c r="F861" s="10" t="s">
        <v>106</v>
      </c>
      <c r="G861" s="10" t="s">
        <v>105</v>
      </c>
      <c r="H861" s="10" t="s">
        <v>65</v>
      </c>
      <c r="I861" s="10" t="s">
        <v>16</v>
      </c>
      <c r="J861" s="10" t="s">
        <v>475</v>
      </c>
      <c r="K861" s="10" t="s">
        <v>476</v>
      </c>
      <c r="L861" s="10" t="s">
        <v>67</v>
      </c>
    </row>
    <row r="862" spans="1:12" x14ac:dyDescent="0.25">
      <c r="A862">
        <v>180</v>
      </c>
      <c r="B862" s="10" t="s">
        <v>936</v>
      </c>
      <c r="C862" s="10" t="s">
        <v>164</v>
      </c>
      <c r="D862" s="10" t="s">
        <v>220</v>
      </c>
      <c r="E862" s="10" t="s">
        <v>221</v>
      </c>
      <c r="F862" s="10" t="s">
        <v>107</v>
      </c>
      <c r="G862" s="10" t="s">
        <v>105</v>
      </c>
      <c r="H862" s="10" t="s">
        <v>65</v>
      </c>
      <c r="I862" s="10" t="s">
        <v>16</v>
      </c>
      <c r="J862" s="10" t="s">
        <v>372</v>
      </c>
      <c r="K862" s="10" t="s">
        <v>476</v>
      </c>
      <c r="L862" s="10" t="s">
        <v>67</v>
      </c>
    </row>
    <row r="863" spans="1:12" x14ac:dyDescent="0.25">
      <c r="A863">
        <v>180</v>
      </c>
      <c r="B863" s="10" t="s">
        <v>936</v>
      </c>
      <c r="C863" s="10" t="s">
        <v>164</v>
      </c>
      <c r="D863" s="10" t="s">
        <v>220</v>
      </c>
      <c r="E863" s="10" t="s">
        <v>221</v>
      </c>
      <c r="F863" s="10" t="s">
        <v>108</v>
      </c>
      <c r="G863" s="10" t="s">
        <v>105</v>
      </c>
      <c r="H863" s="10" t="s">
        <v>65</v>
      </c>
      <c r="I863" s="10" t="s">
        <v>16</v>
      </c>
      <c r="J863" s="10" t="s">
        <v>477</v>
      </c>
      <c r="K863" s="10" t="s">
        <v>478</v>
      </c>
      <c r="L863" s="10" t="s">
        <v>67</v>
      </c>
    </row>
    <row r="864" spans="1:12" x14ac:dyDescent="0.25">
      <c r="A864">
        <v>180</v>
      </c>
      <c r="B864" s="10" t="s">
        <v>936</v>
      </c>
      <c r="C864" s="10" t="s">
        <v>164</v>
      </c>
      <c r="D864" s="10" t="s">
        <v>220</v>
      </c>
      <c r="E864" s="10" t="s">
        <v>221</v>
      </c>
      <c r="F864" s="10" t="s">
        <v>109</v>
      </c>
      <c r="G864" s="10" t="s">
        <v>105</v>
      </c>
      <c r="H864" s="10" t="s">
        <v>65</v>
      </c>
      <c r="I864" s="10" t="s">
        <v>16</v>
      </c>
      <c r="J864" s="10" t="s">
        <v>332</v>
      </c>
      <c r="K864" s="10" t="s">
        <v>333</v>
      </c>
      <c r="L864" s="10" t="s">
        <v>67</v>
      </c>
    </row>
    <row r="865" spans="1:12" x14ac:dyDescent="0.25">
      <c r="A865">
        <v>180</v>
      </c>
      <c r="B865" s="10" t="s">
        <v>936</v>
      </c>
      <c r="C865" s="10" t="s">
        <v>164</v>
      </c>
      <c r="D865" s="10" t="s">
        <v>220</v>
      </c>
      <c r="E865" s="10" t="s">
        <v>221</v>
      </c>
      <c r="F865" s="10" t="s">
        <v>110</v>
      </c>
      <c r="G865" s="10" t="s">
        <v>105</v>
      </c>
      <c r="H865" s="10" t="s">
        <v>65</v>
      </c>
      <c r="I865" s="10" t="s">
        <v>16</v>
      </c>
      <c r="J865" s="10" t="s">
        <v>79</v>
      </c>
      <c r="K865" s="10" t="s">
        <v>942</v>
      </c>
      <c r="L865" s="10" t="s">
        <v>67</v>
      </c>
    </row>
    <row r="866" spans="1:12" x14ac:dyDescent="0.25">
      <c r="A866">
        <v>180</v>
      </c>
      <c r="B866" s="10" t="s">
        <v>936</v>
      </c>
      <c r="C866" s="10" t="s">
        <v>164</v>
      </c>
      <c r="D866" s="10" t="s">
        <v>220</v>
      </c>
      <c r="E866" s="10" t="s">
        <v>221</v>
      </c>
      <c r="F866" s="10" t="s">
        <v>111</v>
      </c>
      <c r="G866" s="10" t="s">
        <v>105</v>
      </c>
      <c r="H866" s="10" t="s">
        <v>65</v>
      </c>
      <c r="I866" s="10" t="s">
        <v>16</v>
      </c>
      <c r="J866" s="10" t="s">
        <v>743</v>
      </c>
      <c r="K866" s="10" t="s">
        <v>744</v>
      </c>
      <c r="L866" s="10" t="s">
        <v>67</v>
      </c>
    </row>
    <row r="867" spans="1:12" x14ac:dyDescent="0.25">
      <c r="A867">
        <v>180</v>
      </c>
      <c r="B867" s="10" t="s">
        <v>936</v>
      </c>
      <c r="C867" s="10" t="s">
        <v>164</v>
      </c>
      <c r="D867" s="10" t="s">
        <v>220</v>
      </c>
      <c r="E867" s="10" t="s">
        <v>221</v>
      </c>
      <c r="F867" s="10" t="s">
        <v>112</v>
      </c>
      <c r="G867" s="10" t="s">
        <v>105</v>
      </c>
      <c r="H867" s="10" t="s">
        <v>65</v>
      </c>
      <c r="I867" s="10" t="s">
        <v>16</v>
      </c>
      <c r="J867" s="10" t="s">
        <v>850</v>
      </c>
      <c r="K867" s="10" t="s">
        <v>851</v>
      </c>
      <c r="L867" s="10" t="s">
        <v>67</v>
      </c>
    </row>
    <row r="868" spans="1:12" x14ac:dyDescent="0.25">
      <c r="A868">
        <v>180</v>
      </c>
      <c r="B868" s="10" t="s">
        <v>936</v>
      </c>
      <c r="C868" s="10" t="s">
        <v>164</v>
      </c>
      <c r="D868" s="10" t="s">
        <v>220</v>
      </c>
      <c r="E868" s="10" t="s">
        <v>221</v>
      </c>
      <c r="F868" s="10" t="s">
        <v>113</v>
      </c>
      <c r="G868" s="10" t="s">
        <v>105</v>
      </c>
      <c r="H868" s="10" t="s">
        <v>65</v>
      </c>
      <c r="I868" s="10" t="s">
        <v>16</v>
      </c>
      <c r="J868" s="10" t="s">
        <v>772</v>
      </c>
      <c r="K868" s="10" t="s">
        <v>773</v>
      </c>
      <c r="L868" s="10" t="s">
        <v>67</v>
      </c>
    </row>
    <row r="869" spans="1:12" x14ac:dyDescent="0.25">
      <c r="A869">
        <v>180</v>
      </c>
      <c r="B869" s="10" t="s">
        <v>936</v>
      </c>
      <c r="C869" s="10" t="s">
        <v>164</v>
      </c>
      <c r="D869" s="10" t="s">
        <v>220</v>
      </c>
      <c r="E869" s="10" t="s">
        <v>221</v>
      </c>
      <c r="F869" s="10" t="s">
        <v>124</v>
      </c>
      <c r="G869" s="10" t="s">
        <v>125</v>
      </c>
      <c r="H869" s="10" t="s">
        <v>72</v>
      </c>
      <c r="I869" s="10" t="s">
        <v>18</v>
      </c>
      <c r="J869" s="10" t="s">
        <v>54</v>
      </c>
      <c r="K869" s="10" t="s">
        <v>54</v>
      </c>
      <c r="L869" s="10" t="s">
        <v>54</v>
      </c>
    </row>
    <row r="870" spans="1:12" x14ac:dyDescent="0.25">
      <c r="A870">
        <v>180</v>
      </c>
      <c r="B870" s="10" t="s">
        <v>936</v>
      </c>
      <c r="C870" s="10" t="s">
        <v>164</v>
      </c>
      <c r="D870" s="10" t="s">
        <v>220</v>
      </c>
      <c r="E870" s="10" t="s">
        <v>221</v>
      </c>
      <c r="F870" s="10" t="s">
        <v>131</v>
      </c>
      <c r="G870" s="10" t="s">
        <v>68</v>
      </c>
      <c r="H870" s="10" t="s">
        <v>72</v>
      </c>
      <c r="I870" s="10" t="s">
        <v>16</v>
      </c>
      <c r="J870" s="10" t="s">
        <v>943</v>
      </c>
      <c r="K870" s="10" t="s">
        <v>944</v>
      </c>
      <c r="L870" s="10" t="s">
        <v>67</v>
      </c>
    </row>
    <row r="871" spans="1:12" x14ac:dyDescent="0.25">
      <c r="A871">
        <v>180</v>
      </c>
      <c r="B871" s="10" t="s">
        <v>936</v>
      </c>
      <c r="C871" s="10" t="s">
        <v>164</v>
      </c>
      <c r="D871" s="10" t="s">
        <v>220</v>
      </c>
      <c r="E871" s="10" t="s">
        <v>221</v>
      </c>
      <c r="F871" s="10" t="s">
        <v>156</v>
      </c>
      <c r="G871" s="10" t="s">
        <v>125</v>
      </c>
      <c r="H871" s="10" t="s">
        <v>65</v>
      </c>
      <c r="I871" s="10" t="s">
        <v>16</v>
      </c>
      <c r="J871" s="10" t="s">
        <v>945</v>
      </c>
      <c r="K871" s="10" t="s">
        <v>946</v>
      </c>
      <c r="L871" s="10" t="s">
        <v>67</v>
      </c>
    </row>
    <row r="872" spans="1:12" x14ac:dyDescent="0.25">
      <c r="A872">
        <v>180</v>
      </c>
      <c r="B872" s="10" t="s">
        <v>936</v>
      </c>
      <c r="C872" s="10" t="s">
        <v>164</v>
      </c>
      <c r="D872" s="10" t="s">
        <v>220</v>
      </c>
      <c r="E872" s="10" t="s">
        <v>221</v>
      </c>
      <c r="F872" s="10" t="s">
        <v>163</v>
      </c>
      <c r="G872" s="10" t="s">
        <v>68</v>
      </c>
      <c r="H872" s="10" t="s">
        <v>65</v>
      </c>
      <c r="I872" s="10" t="s">
        <v>16</v>
      </c>
      <c r="J872" s="10" t="s">
        <v>947</v>
      </c>
      <c r="K872" s="10" t="s">
        <v>948</v>
      </c>
      <c r="L872" s="10" t="s">
        <v>67</v>
      </c>
    </row>
    <row r="873" spans="1:12" x14ac:dyDescent="0.25">
      <c r="A873">
        <v>180</v>
      </c>
      <c r="B873" s="10" t="s">
        <v>936</v>
      </c>
      <c r="C873" s="10" t="s">
        <v>164</v>
      </c>
      <c r="D873" s="10" t="s">
        <v>220</v>
      </c>
      <c r="E873" s="10" t="s">
        <v>221</v>
      </c>
      <c r="F873" s="10" t="s">
        <v>165</v>
      </c>
      <c r="G873" s="10" t="s">
        <v>68</v>
      </c>
      <c r="H873" s="10" t="s">
        <v>72</v>
      </c>
      <c r="I873" s="10" t="s">
        <v>16</v>
      </c>
      <c r="J873" s="10" t="s">
        <v>79</v>
      </c>
      <c r="K873" s="10" t="s">
        <v>949</v>
      </c>
      <c r="L873" s="10" t="s">
        <v>67</v>
      </c>
    </row>
    <row r="874" spans="1:12" x14ac:dyDescent="0.25">
      <c r="A874">
        <v>154</v>
      </c>
      <c r="B874" s="10" t="s">
        <v>799</v>
      </c>
      <c r="C874" s="10" t="s">
        <v>130</v>
      </c>
      <c r="D874" s="10" t="s">
        <v>196</v>
      </c>
      <c r="E874" s="10" t="s">
        <v>197</v>
      </c>
      <c r="F874" s="10" t="s">
        <v>69</v>
      </c>
      <c r="G874" s="10" t="s">
        <v>68</v>
      </c>
      <c r="H874" s="10" t="s">
        <v>65</v>
      </c>
      <c r="I874" s="10" t="s">
        <v>16</v>
      </c>
      <c r="J874" s="10" t="s">
        <v>800</v>
      </c>
      <c r="K874" s="10" t="s">
        <v>669</v>
      </c>
      <c r="L874" s="10" t="s">
        <v>67</v>
      </c>
    </row>
    <row r="875" spans="1:12" x14ac:dyDescent="0.25">
      <c r="A875">
        <v>154</v>
      </c>
      <c r="B875" s="10" t="s">
        <v>799</v>
      </c>
      <c r="C875" s="10" t="s">
        <v>130</v>
      </c>
      <c r="D875" s="10" t="s">
        <v>196</v>
      </c>
      <c r="E875" s="10" t="s">
        <v>197</v>
      </c>
      <c r="F875" s="10" t="s">
        <v>70</v>
      </c>
      <c r="G875" s="10" t="s">
        <v>68</v>
      </c>
      <c r="H875" s="10" t="s">
        <v>65</v>
      </c>
      <c r="I875" s="10" t="s">
        <v>16</v>
      </c>
      <c r="J875" s="10" t="s">
        <v>801</v>
      </c>
      <c r="K875" s="10" t="s">
        <v>802</v>
      </c>
      <c r="L875" s="10" t="s">
        <v>67</v>
      </c>
    </row>
    <row r="876" spans="1:12" x14ac:dyDescent="0.25">
      <c r="A876">
        <v>154</v>
      </c>
      <c r="B876" s="10" t="s">
        <v>799</v>
      </c>
      <c r="C876" s="10" t="s">
        <v>130</v>
      </c>
      <c r="D876" s="10" t="s">
        <v>196</v>
      </c>
      <c r="E876" s="10" t="s">
        <v>197</v>
      </c>
      <c r="F876" s="10" t="s">
        <v>71</v>
      </c>
      <c r="G876" s="10" t="s">
        <v>68</v>
      </c>
      <c r="H876" s="10" t="s">
        <v>72</v>
      </c>
      <c r="I876" s="10" t="s">
        <v>16</v>
      </c>
      <c r="J876" s="10" t="s">
        <v>803</v>
      </c>
      <c r="K876" s="10" t="s">
        <v>669</v>
      </c>
      <c r="L876" s="10" t="s">
        <v>67</v>
      </c>
    </row>
    <row r="877" spans="1:12" x14ac:dyDescent="0.25">
      <c r="A877">
        <v>154</v>
      </c>
      <c r="B877" s="10" t="s">
        <v>799</v>
      </c>
      <c r="C877" s="10" t="s">
        <v>130</v>
      </c>
      <c r="D877" s="10" t="s">
        <v>196</v>
      </c>
      <c r="E877" s="10" t="s">
        <v>197</v>
      </c>
      <c r="F877" s="10" t="s">
        <v>73</v>
      </c>
      <c r="G877" s="10" t="s">
        <v>68</v>
      </c>
      <c r="H877" s="10" t="s">
        <v>65</v>
      </c>
      <c r="I877" s="10" t="s">
        <v>16</v>
      </c>
      <c r="J877" s="10" t="s">
        <v>804</v>
      </c>
      <c r="K877" s="10" t="s">
        <v>805</v>
      </c>
      <c r="L877" s="10" t="s">
        <v>67</v>
      </c>
    </row>
    <row r="878" spans="1:12" x14ac:dyDescent="0.25">
      <c r="A878">
        <v>154</v>
      </c>
      <c r="B878" s="10" t="s">
        <v>799</v>
      </c>
      <c r="C878" s="10" t="s">
        <v>130</v>
      </c>
      <c r="D878" s="10" t="s">
        <v>196</v>
      </c>
      <c r="E878" s="10" t="s">
        <v>197</v>
      </c>
      <c r="F878" s="10" t="s">
        <v>74</v>
      </c>
      <c r="G878" s="10" t="s">
        <v>68</v>
      </c>
      <c r="H878" s="10" t="s">
        <v>65</v>
      </c>
      <c r="I878" s="10" t="s">
        <v>16</v>
      </c>
      <c r="J878" s="10" t="s">
        <v>806</v>
      </c>
      <c r="K878" s="10" t="s">
        <v>807</v>
      </c>
      <c r="L878" s="10" t="s">
        <v>67</v>
      </c>
    </row>
    <row r="879" spans="1:12" x14ac:dyDescent="0.25">
      <c r="A879">
        <v>154</v>
      </c>
      <c r="B879" s="10" t="s">
        <v>799</v>
      </c>
      <c r="C879" s="10" t="s">
        <v>130</v>
      </c>
      <c r="D879" s="10" t="s">
        <v>196</v>
      </c>
      <c r="E879" s="10" t="s">
        <v>197</v>
      </c>
      <c r="F879" s="10" t="s">
        <v>75</v>
      </c>
      <c r="G879" s="10" t="s">
        <v>68</v>
      </c>
      <c r="H879" s="10" t="s">
        <v>72</v>
      </c>
      <c r="I879" s="10" t="s">
        <v>24</v>
      </c>
      <c r="J879" s="10" t="s">
        <v>326</v>
      </c>
      <c r="K879" s="10" t="s">
        <v>417</v>
      </c>
      <c r="L879" s="10" t="s">
        <v>67</v>
      </c>
    </row>
    <row r="880" spans="1:12" x14ac:dyDescent="0.25">
      <c r="A880">
        <v>154</v>
      </c>
      <c r="B880" s="10" t="s">
        <v>799</v>
      </c>
      <c r="C880" s="10" t="s">
        <v>130</v>
      </c>
      <c r="D880" s="10" t="s">
        <v>196</v>
      </c>
      <c r="E880" s="10" t="s">
        <v>197</v>
      </c>
      <c r="F880" s="10" t="s">
        <v>76</v>
      </c>
      <c r="G880" s="10" t="s">
        <v>77</v>
      </c>
      <c r="H880" s="10" t="s">
        <v>65</v>
      </c>
      <c r="I880" s="10" t="s">
        <v>16</v>
      </c>
      <c r="J880" s="10" t="s">
        <v>808</v>
      </c>
      <c r="K880" s="10" t="s">
        <v>809</v>
      </c>
      <c r="L880" s="10" t="s">
        <v>67</v>
      </c>
    </row>
    <row r="881" spans="1:12" x14ac:dyDescent="0.25">
      <c r="A881">
        <v>154</v>
      </c>
      <c r="B881" s="10" t="s">
        <v>799</v>
      </c>
      <c r="C881" s="10" t="s">
        <v>130</v>
      </c>
      <c r="D881" s="10" t="s">
        <v>196</v>
      </c>
      <c r="E881" s="10" t="s">
        <v>197</v>
      </c>
      <c r="F881" s="10" t="s">
        <v>78</v>
      </c>
      <c r="G881" s="10" t="s">
        <v>77</v>
      </c>
      <c r="H881" s="10" t="s">
        <v>65</v>
      </c>
      <c r="I881" s="10" t="s">
        <v>16</v>
      </c>
      <c r="J881" s="10" t="s">
        <v>79</v>
      </c>
      <c r="K881" s="10" t="s">
        <v>810</v>
      </c>
      <c r="L881" s="10" t="s">
        <v>67</v>
      </c>
    </row>
    <row r="882" spans="1:12" x14ac:dyDescent="0.25">
      <c r="A882">
        <v>154</v>
      </c>
      <c r="B882" s="10" t="s">
        <v>799</v>
      </c>
      <c r="C882" s="10" t="s">
        <v>130</v>
      </c>
      <c r="D882" s="10" t="s">
        <v>196</v>
      </c>
      <c r="E882" s="10" t="s">
        <v>197</v>
      </c>
      <c r="F882" s="10" t="s">
        <v>80</v>
      </c>
      <c r="G882" s="10" t="s">
        <v>77</v>
      </c>
      <c r="H882" s="10" t="s">
        <v>65</v>
      </c>
      <c r="I882" s="10" t="s">
        <v>16</v>
      </c>
      <c r="J882" s="10" t="s">
        <v>79</v>
      </c>
      <c r="K882" s="10" t="s">
        <v>811</v>
      </c>
      <c r="L882" s="10" t="s">
        <v>67</v>
      </c>
    </row>
    <row r="883" spans="1:12" x14ac:dyDescent="0.25">
      <c r="A883">
        <v>154</v>
      </c>
      <c r="B883" s="10" t="s">
        <v>799</v>
      </c>
      <c r="C883" s="10" t="s">
        <v>130</v>
      </c>
      <c r="D883" s="10" t="s">
        <v>196</v>
      </c>
      <c r="E883" s="10" t="s">
        <v>197</v>
      </c>
      <c r="F883" s="10" t="s">
        <v>81</v>
      </c>
      <c r="G883" s="10" t="s">
        <v>77</v>
      </c>
      <c r="H883" s="10" t="s">
        <v>65</v>
      </c>
      <c r="I883" s="10" t="s">
        <v>16</v>
      </c>
      <c r="J883" s="10" t="s">
        <v>499</v>
      </c>
      <c r="K883" s="10" t="s">
        <v>500</v>
      </c>
      <c r="L883" s="10" t="s">
        <v>67</v>
      </c>
    </row>
    <row r="884" spans="1:12" x14ac:dyDescent="0.25">
      <c r="A884">
        <v>154</v>
      </c>
      <c r="B884" s="10" t="s">
        <v>799</v>
      </c>
      <c r="C884" s="10" t="s">
        <v>130</v>
      </c>
      <c r="D884" s="10" t="s">
        <v>196</v>
      </c>
      <c r="E884" s="10" t="s">
        <v>197</v>
      </c>
      <c r="F884" s="10" t="s">
        <v>82</v>
      </c>
      <c r="G884" s="10" t="s">
        <v>83</v>
      </c>
      <c r="H884" s="10" t="s">
        <v>65</v>
      </c>
      <c r="I884" s="10" t="s">
        <v>16</v>
      </c>
      <c r="J884" s="10" t="s">
        <v>772</v>
      </c>
      <c r="K884" s="10" t="s">
        <v>773</v>
      </c>
      <c r="L884" s="10" t="s">
        <v>67</v>
      </c>
    </row>
    <row r="885" spans="1:12" x14ac:dyDescent="0.25">
      <c r="A885">
        <v>154</v>
      </c>
      <c r="B885" s="10" t="s">
        <v>799</v>
      </c>
      <c r="C885" s="10" t="s">
        <v>130</v>
      </c>
      <c r="D885" s="10" t="s">
        <v>196</v>
      </c>
      <c r="E885" s="10" t="s">
        <v>197</v>
      </c>
      <c r="F885" s="10" t="s">
        <v>84</v>
      </c>
      <c r="G885" s="10" t="s">
        <v>83</v>
      </c>
      <c r="H885" s="10" t="s">
        <v>65</v>
      </c>
      <c r="I885" s="10" t="s">
        <v>16</v>
      </c>
      <c r="J885" s="10" t="s">
        <v>743</v>
      </c>
      <c r="K885" s="10" t="s">
        <v>744</v>
      </c>
      <c r="L885" s="10" t="s">
        <v>67</v>
      </c>
    </row>
    <row r="886" spans="1:12" x14ac:dyDescent="0.25">
      <c r="A886">
        <v>154</v>
      </c>
      <c r="B886" s="10" t="s">
        <v>799</v>
      </c>
      <c r="C886" s="10" t="s">
        <v>130</v>
      </c>
      <c r="D886" s="10" t="s">
        <v>196</v>
      </c>
      <c r="E886" s="10" t="s">
        <v>197</v>
      </c>
      <c r="F886" s="10" t="s">
        <v>91</v>
      </c>
      <c r="G886" s="10" t="s">
        <v>86</v>
      </c>
      <c r="H886" s="10" t="s">
        <v>65</v>
      </c>
      <c r="I886" s="10" t="s">
        <v>16</v>
      </c>
      <c r="J886" s="10" t="s">
        <v>79</v>
      </c>
      <c r="K886" s="10" t="s">
        <v>725</v>
      </c>
      <c r="L886" s="10" t="s">
        <v>67</v>
      </c>
    </row>
    <row r="887" spans="1:12" x14ac:dyDescent="0.25">
      <c r="A887">
        <v>154</v>
      </c>
      <c r="B887" s="10" t="s">
        <v>799</v>
      </c>
      <c r="C887" s="10" t="s">
        <v>130</v>
      </c>
      <c r="D887" s="10" t="s">
        <v>196</v>
      </c>
      <c r="E887" s="10" t="s">
        <v>197</v>
      </c>
      <c r="F887" s="10" t="s">
        <v>93</v>
      </c>
      <c r="G887" s="10" t="s">
        <v>94</v>
      </c>
      <c r="H887" s="10" t="s">
        <v>65</v>
      </c>
      <c r="I887" s="10" t="s">
        <v>16</v>
      </c>
      <c r="J887" s="10" t="s">
        <v>727</v>
      </c>
      <c r="K887" s="10" t="s">
        <v>728</v>
      </c>
      <c r="L887" s="10" t="s">
        <v>67</v>
      </c>
    </row>
    <row r="888" spans="1:12" x14ac:dyDescent="0.25">
      <c r="A888">
        <v>154</v>
      </c>
      <c r="B888" s="10" t="s">
        <v>799</v>
      </c>
      <c r="C888" s="10" t="s">
        <v>130</v>
      </c>
      <c r="D888" s="10" t="s">
        <v>196</v>
      </c>
      <c r="E888" s="10" t="s">
        <v>197</v>
      </c>
      <c r="F888" s="10" t="s">
        <v>95</v>
      </c>
      <c r="G888" s="10" t="s">
        <v>94</v>
      </c>
      <c r="H888" s="10" t="s">
        <v>65</v>
      </c>
      <c r="I888" s="10" t="s">
        <v>16</v>
      </c>
      <c r="J888" s="10" t="s">
        <v>727</v>
      </c>
      <c r="K888" s="10" t="s">
        <v>728</v>
      </c>
      <c r="L888" s="10" t="s">
        <v>67</v>
      </c>
    </row>
    <row r="889" spans="1:12" x14ac:dyDescent="0.25">
      <c r="A889">
        <v>154</v>
      </c>
      <c r="B889" s="10" t="s">
        <v>799</v>
      </c>
      <c r="C889" s="10" t="s">
        <v>130</v>
      </c>
      <c r="D889" s="10" t="s">
        <v>196</v>
      </c>
      <c r="E889" s="10" t="s">
        <v>197</v>
      </c>
      <c r="F889" s="10" t="s">
        <v>96</v>
      </c>
      <c r="G889" s="10" t="s">
        <v>94</v>
      </c>
      <c r="H889" s="10" t="s">
        <v>65</v>
      </c>
      <c r="I889" s="10" t="s">
        <v>16</v>
      </c>
      <c r="J889" s="10" t="s">
        <v>79</v>
      </c>
      <c r="K889" s="10" t="s">
        <v>721</v>
      </c>
      <c r="L889" s="10" t="s">
        <v>67</v>
      </c>
    </row>
    <row r="890" spans="1:12" x14ac:dyDescent="0.25">
      <c r="A890">
        <v>154</v>
      </c>
      <c r="B890" s="10" t="s">
        <v>799</v>
      </c>
      <c r="C890" s="10" t="s">
        <v>130</v>
      </c>
      <c r="D890" s="10" t="s">
        <v>196</v>
      </c>
      <c r="E890" s="10" t="s">
        <v>197</v>
      </c>
      <c r="F890" s="10" t="s">
        <v>97</v>
      </c>
      <c r="G890" s="10" t="s">
        <v>98</v>
      </c>
      <c r="H890" s="10" t="s">
        <v>65</v>
      </c>
      <c r="I890" s="10" t="s">
        <v>16</v>
      </c>
      <c r="J890" s="10" t="s">
        <v>812</v>
      </c>
      <c r="K890" s="10" t="s">
        <v>813</v>
      </c>
      <c r="L890" s="10" t="s">
        <v>67</v>
      </c>
    </row>
    <row r="891" spans="1:12" x14ac:dyDescent="0.25">
      <c r="A891">
        <v>154</v>
      </c>
      <c r="B891" s="10" t="s">
        <v>799</v>
      </c>
      <c r="C891" s="10" t="s">
        <v>130</v>
      </c>
      <c r="D891" s="10" t="s">
        <v>196</v>
      </c>
      <c r="E891" s="10" t="s">
        <v>197</v>
      </c>
      <c r="F891" s="10" t="s">
        <v>101</v>
      </c>
      <c r="G891" s="10" t="s">
        <v>102</v>
      </c>
      <c r="H891" s="10" t="s">
        <v>65</v>
      </c>
      <c r="I891" s="10" t="s">
        <v>16</v>
      </c>
      <c r="J891" s="10" t="s">
        <v>79</v>
      </c>
      <c r="K891" s="10" t="s">
        <v>350</v>
      </c>
      <c r="L891" s="10" t="s">
        <v>67</v>
      </c>
    </row>
    <row r="892" spans="1:12" x14ac:dyDescent="0.25">
      <c r="A892">
        <v>154</v>
      </c>
      <c r="B892" s="10" t="s">
        <v>799</v>
      </c>
      <c r="C892" s="10" t="s">
        <v>130</v>
      </c>
      <c r="D892" s="10" t="s">
        <v>196</v>
      </c>
      <c r="E892" s="10" t="s">
        <v>197</v>
      </c>
      <c r="F892" s="10" t="s">
        <v>103</v>
      </c>
      <c r="G892" s="10" t="s">
        <v>102</v>
      </c>
      <c r="H892" s="10" t="s">
        <v>65</v>
      </c>
      <c r="I892" s="10" t="s">
        <v>16</v>
      </c>
      <c r="J892" s="10" t="s">
        <v>814</v>
      </c>
      <c r="K892" s="10" t="s">
        <v>815</v>
      </c>
      <c r="L892" s="10" t="s">
        <v>67</v>
      </c>
    </row>
    <row r="893" spans="1:12" x14ac:dyDescent="0.25">
      <c r="A893">
        <v>154</v>
      </c>
      <c r="B893" s="10" t="s">
        <v>799</v>
      </c>
      <c r="C893" s="10" t="s">
        <v>130</v>
      </c>
      <c r="D893" s="10" t="s">
        <v>196</v>
      </c>
      <c r="E893" s="10" t="s">
        <v>197</v>
      </c>
      <c r="F893" s="10" t="s">
        <v>104</v>
      </c>
      <c r="G893" s="10" t="s">
        <v>105</v>
      </c>
      <c r="H893" s="10" t="s">
        <v>65</v>
      </c>
      <c r="I893" s="10" t="s">
        <v>16</v>
      </c>
      <c r="J893" s="10" t="s">
        <v>816</v>
      </c>
      <c r="K893" s="10" t="s">
        <v>817</v>
      </c>
      <c r="L893" s="10" t="s">
        <v>67</v>
      </c>
    </row>
    <row r="894" spans="1:12" x14ac:dyDescent="0.25">
      <c r="A894">
        <v>154</v>
      </c>
      <c r="B894" s="10" t="s">
        <v>799</v>
      </c>
      <c r="C894" s="10" t="s">
        <v>130</v>
      </c>
      <c r="D894" s="10" t="s">
        <v>196</v>
      </c>
      <c r="E894" s="10" t="s">
        <v>197</v>
      </c>
      <c r="F894" s="10" t="s">
        <v>106</v>
      </c>
      <c r="G894" s="10" t="s">
        <v>105</v>
      </c>
      <c r="H894" s="10" t="s">
        <v>65</v>
      </c>
      <c r="I894" s="10" t="s">
        <v>16</v>
      </c>
      <c r="J894" s="10" t="s">
        <v>812</v>
      </c>
      <c r="K894" s="10" t="s">
        <v>813</v>
      </c>
      <c r="L894" s="10" t="s">
        <v>67</v>
      </c>
    </row>
    <row r="895" spans="1:12" x14ac:dyDescent="0.25">
      <c r="A895">
        <v>154</v>
      </c>
      <c r="B895" s="10" t="s">
        <v>799</v>
      </c>
      <c r="C895" s="10" t="s">
        <v>130</v>
      </c>
      <c r="D895" s="10" t="s">
        <v>196</v>
      </c>
      <c r="E895" s="10" t="s">
        <v>197</v>
      </c>
      <c r="F895" s="10" t="s">
        <v>107</v>
      </c>
      <c r="G895" s="10" t="s">
        <v>105</v>
      </c>
      <c r="H895" s="10" t="s">
        <v>65</v>
      </c>
      <c r="I895" s="10" t="s">
        <v>16</v>
      </c>
      <c r="J895" s="10" t="s">
        <v>384</v>
      </c>
      <c r="K895" s="10" t="s">
        <v>813</v>
      </c>
      <c r="L895" s="10" t="s">
        <v>67</v>
      </c>
    </row>
    <row r="896" spans="1:12" x14ac:dyDescent="0.25">
      <c r="A896">
        <v>154</v>
      </c>
      <c r="B896" s="10" t="s">
        <v>799</v>
      </c>
      <c r="C896" s="10" t="s">
        <v>130</v>
      </c>
      <c r="D896" s="10" t="s">
        <v>196</v>
      </c>
      <c r="E896" s="10" t="s">
        <v>197</v>
      </c>
      <c r="F896" s="10" t="s">
        <v>108</v>
      </c>
      <c r="G896" s="10" t="s">
        <v>105</v>
      </c>
      <c r="H896" s="10" t="s">
        <v>65</v>
      </c>
      <c r="I896" s="10" t="s">
        <v>16</v>
      </c>
      <c r="J896" s="10" t="s">
        <v>477</v>
      </c>
      <c r="K896" s="10" t="s">
        <v>478</v>
      </c>
      <c r="L896" s="10" t="s">
        <v>67</v>
      </c>
    </row>
    <row r="897" spans="1:12" x14ac:dyDescent="0.25">
      <c r="A897">
        <v>154</v>
      </c>
      <c r="B897" s="10" t="s">
        <v>799</v>
      </c>
      <c r="C897" s="10" t="s">
        <v>130</v>
      </c>
      <c r="D897" s="10" t="s">
        <v>196</v>
      </c>
      <c r="E897" s="10" t="s">
        <v>197</v>
      </c>
      <c r="F897" s="10" t="s">
        <v>109</v>
      </c>
      <c r="G897" s="10" t="s">
        <v>105</v>
      </c>
      <c r="H897" s="10" t="s">
        <v>65</v>
      </c>
      <c r="I897" s="10" t="s">
        <v>16</v>
      </c>
      <c r="J897" s="10" t="s">
        <v>727</v>
      </c>
      <c r="K897" s="10" t="s">
        <v>728</v>
      </c>
      <c r="L897" s="10" t="s">
        <v>67</v>
      </c>
    </row>
    <row r="898" spans="1:12" x14ac:dyDescent="0.25">
      <c r="A898">
        <v>154</v>
      </c>
      <c r="B898" s="10" t="s">
        <v>799</v>
      </c>
      <c r="C898" s="10" t="s">
        <v>130</v>
      </c>
      <c r="D898" s="10" t="s">
        <v>196</v>
      </c>
      <c r="E898" s="10" t="s">
        <v>197</v>
      </c>
      <c r="F898" s="10" t="s">
        <v>110</v>
      </c>
      <c r="G898" s="10" t="s">
        <v>105</v>
      </c>
      <c r="H898" s="10" t="s">
        <v>65</v>
      </c>
      <c r="I898" s="10" t="s">
        <v>16</v>
      </c>
      <c r="J898" s="10" t="s">
        <v>79</v>
      </c>
      <c r="K898" s="10" t="s">
        <v>813</v>
      </c>
      <c r="L898" s="10" t="s">
        <v>67</v>
      </c>
    </row>
    <row r="899" spans="1:12" x14ac:dyDescent="0.25">
      <c r="A899">
        <v>154</v>
      </c>
      <c r="B899" s="10" t="s">
        <v>799</v>
      </c>
      <c r="C899" s="10" t="s">
        <v>130</v>
      </c>
      <c r="D899" s="10" t="s">
        <v>196</v>
      </c>
      <c r="E899" s="10" t="s">
        <v>197</v>
      </c>
      <c r="F899" s="10" t="s">
        <v>111</v>
      </c>
      <c r="G899" s="10" t="s">
        <v>105</v>
      </c>
      <c r="H899" s="10" t="s">
        <v>65</v>
      </c>
      <c r="I899" s="10" t="s">
        <v>16</v>
      </c>
      <c r="J899" s="10" t="s">
        <v>818</v>
      </c>
      <c r="K899" s="10" t="s">
        <v>819</v>
      </c>
      <c r="L899" s="10" t="s">
        <v>67</v>
      </c>
    </row>
    <row r="900" spans="1:12" x14ac:dyDescent="0.25">
      <c r="A900">
        <v>154</v>
      </c>
      <c r="B900" s="10" t="s">
        <v>799</v>
      </c>
      <c r="C900" s="10" t="s">
        <v>130</v>
      </c>
      <c r="D900" s="10" t="s">
        <v>196</v>
      </c>
      <c r="E900" s="10" t="s">
        <v>197</v>
      </c>
      <c r="F900" s="10" t="s">
        <v>112</v>
      </c>
      <c r="G900" s="10" t="s">
        <v>105</v>
      </c>
      <c r="H900" s="10" t="s">
        <v>65</v>
      </c>
      <c r="I900" s="10" t="s">
        <v>16</v>
      </c>
      <c r="J900" s="10" t="s">
        <v>434</v>
      </c>
      <c r="K900" s="10" t="s">
        <v>435</v>
      </c>
      <c r="L900" s="10" t="s">
        <v>67</v>
      </c>
    </row>
    <row r="901" spans="1:12" x14ac:dyDescent="0.25">
      <c r="A901">
        <v>154</v>
      </c>
      <c r="B901" s="10" t="s">
        <v>799</v>
      </c>
      <c r="C901" s="10" t="s">
        <v>130</v>
      </c>
      <c r="D901" s="10" t="s">
        <v>196</v>
      </c>
      <c r="E901" s="10" t="s">
        <v>197</v>
      </c>
      <c r="F901" s="10" t="s">
        <v>113</v>
      </c>
      <c r="G901" s="10" t="s">
        <v>105</v>
      </c>
      <c r="H901" s="10" t="s">
        <v>65</v>
      </c>
      <c r="I901" s="10" t="s">
        <v>16</v>
      </c>
      <c r="J901" s="10" t="s">
        <v>434</v>
      </c>
      <c r="K901" s="10" t="s">
        <v>435</v>
      </c>
      <c r="L901" s="10" t="s">
        <v>67</v>
      </c>
    </row>
    <row r="902" spans="1:12" x14ac:dyDescent="0.25">
      <c r="A902">
        <v>154</v>
      </c>
      <c r="B902" s="10" t="s">
        <v>799</v>
      </c>
      <c r="C902" s="10" t="s">
        <v>130</v>
      </c>
      <c r="D902" s="10" t="s">
        <v>196</v>
      </c>
      <c r="E902" s="10" t="s">
        <v>197</v>
      </c>
      <c r="F902" s="10" t="s">
        <v>124</v>
      </c>
      <c r="G902" s="10" t="s">
        <v>125</v>
      </c>
      <c r="H902" s="10" t="s">
        <v>72</v>
      </c>
      <c r="I902" s="10" t="s">
        <v>18</v>
      </c>
      <c r="J902" s="10" t="s">
        <v>54</v>
      </c>
      <c r="K902" s="10" t="s">
        <v>54</v>
      </c>
      <c r="L902" s="10" t="s">
        <v>54</v>
      </c>
    </row>
    <row r="903" spans="1:12" x14ac:dyDescent="0.25">
      <c r="A903">
        <v>154</v>
      </c>
      <c r="B903" s="10" t="s">
        <v>799</v>
      </c>
      <c r="C903" s="10" t="s">
        <v>130</v>
      </c>
      <c r="D903" s="10" t="s">
        <v>196</v>
      </c>
      <c r="E903" s="10" t="s">
        <v>197</v>
      </c>
      <c r="F903" s="10" t="s">
        <v>129</v>
      </c>
      <c r="G903" s="10" t="s">
        <v>68</v>
      </c>
      <c r="H903" s="10" t="s">
        <v>65</v>
      </c>
      <c r="I903" s="10" t="s">
        <v>16</v>
      </c>
      <c r="J903" s="10" t="s">
        <v>820</v>
      </c>
      <c r="K903" s="10" t="s">
        <v>821</v>
      </c>
      <c r="L903" s="10" t="s">
        <v>67</v>
      </c>
    </row>
    <row r="904" spans="1:12" x14ac:dyDescent="0.25">
      <c r="A904">
        <v>154</v>
      </c>
      <c r="B904" s="10" t="s">
        <v>799</v>
      </c>
      <c r="C904" s="10" t="s">
        <v>130</v>
      </c>
      <c r="D904" s="10" t="s">
        <v>196</v>
      </c>
      <c r="E904" s="10" t="s">
        <v>197</v>
      </c>
      <c r="F904" s="10" t="s">
        <v>131</v>
      </c>
      <c r="G904" s="10" t="s">
        <v>68</v>
      </c>
      <c r="H904" s="10" t="s">
        <v>65</v>
      </c>
      <c r="I904" s="10" t="s">
        <v>16</v>
      </c>
      <c r="J904" s="10" t="s">
        <v>800</v>
      </c>
      <c r="K904" s="10" t="s">
        <v>669</v>
      </c>
      <c r="L904" s="10" t="s">
        <v>54</v>
      </c>
    </row>
    <row r="905" spans="1:12" x14ac:dyDescent="0.25">
      <c r="A905">
        <v>154</v>
      </c>
      <c r="B905" s="10" t="s">
        <v>799</v>
      </c>
      <c r="C905" s="10" t="s">
        <v>130</v>
      </c>
      <c r="D905" s="10" t="s">
        <v>196</v>
      </c>
      <c r="E905" s="10" t="s">
        <v>197</v>
      </c>
      <c r="F905" s="10" t="s">
        <v>132</v>
      </c>
      <c r="G905" s="10" t="s">
        <v>68</v>
      </c>
      <c r="H905" s="10" t="s">
        <v>65</v>
      </c>
      <c r="I905" s="10" t="s">
        <v>16</v>
      </c>
      <c r="J905" s="10" t="s">
        <v>801</v>
      </c>
      <c r="K905" s="10" t="s">
        <v>802</v>
      </c>
      <c r="L905" s="10" t="s">
        <v>54</v>
      </c>
    </row>
    <row r="906" spans="1:12" x14ac:dyDescent="0.25">
      <c r="A906">
        <v>154</v>
      </c>
      <c r="B906" s="10" t="s">
        <v>799</v>
      </c>
      <c r="C906" s="10" t="s">
        <v>130</v>
      </c>
      <c r="D906" s="10" t="s">
        <v>196</v>
      </c>
      <c r="E906" s="10" t="s">
        <v>197</v>
      </c>
      <c r="F906" s="10" t="s">
        <v>122</v>
      </c>
      <c r="G906" s="10" t="s">
        <v>94</v>
      </c>
      <c r="H906" s="10" t="s">
        <v>65</v>
      </c>
      <c r="I906" s="10" t="s">
        <v>16</v>
      </c>
      <c r="J906" s="10" t="s">
        <v>79</v>
      </c>
      <c r="K906" s="10" t="s">
        <v>822</v>
      </c>
      <c r="L906" s="10" t="s">
        <v>67</v>
      </c>
    </row>
    <row r="907" spans="1:12" x14ac:dyDescent="0.25">
      <c r="A907">
        <v>151</v>
      </c>
      <c r="B907" s="10" t="s">
        <v>1013</v>
      </c>
      <c r="C907" s="10" t="s">
        <v>66</v>
      </c>
      <c r="D907" s="10" t="s">
        <v>238</v>
      </c>
      <c r="E907" s="10" t="s">
        <v>239</v>
      </c>
      <c r="F907" s="10" t="s">
        <v>64</v>
      </c>
      <c r="G907" s="10" t="s">
        <v>68</v>
      </c>
      <c r="H907" s="10" t="s">
        <v>65</v>
      </c>
      <c r="I907" s="10" t="s">
        <v>16</v>
      </c>
      <c r="J907" s="10" t="s">
        <v>608</v>
      </c>
      <c r="K907" s="10" t="s">
        <v>949</v>
      </c>
      <c r="L907" s="10" t="s">
        <v>67</v>
      </c>
    </row>
    <row r="908" spans="1:12" x14ac:dyDescent="0.25">
      <c r="A908">
        <v>151</v>
      </c>
      <c r="B908" s="10" t="s">
        <v>1013</v>
      </c>
      <c r="C908" s="10" t="s">
        <v>66</v>
      </c>
      <c r="D908" s="10" t="s">
        <v>238</v>
      </c>
      <c r="E908" s="10" t="s">
        <v>239</v>
      </c>
      <c r="F908" s="10" t="s">
        <v>69</v>
      </c>
      <c r="G908" s="10" t="s">
        <v>68</v>
      </c>
      <c r="H908" s="10" t="s">
        <v>65</v>
      </c>
      <c r="I908" s="10" t="s">
        <v>16</v>
      </c>
      <c r="J908" s="10" t="s">
        <v>608</v>
      </c>
      <c r="K908" s="10" t="s">
        <v>949</v>
      </c>
      <c r="L908" s="10" t="s">
        <v>54</v>
      </c>
    </row>
    <row r="909" spans="1:12" x14ac:dyDescent="0.25">
      <c r="A909">
        <v>151</v>
      </c>
      <c r="B909" s="10" t="s">
        <v>1013</v>
      </c>
      <c r="C909" s="10" t="s">
        <v>66</v>
      </c>
      <c r="D909" s="10" t="s">
        <v>238</v>
      </c>
      <c r="E909" s="10" t="s">
        <v>239</v>
      </c>
      <c r="F909" s="10" t="s">
        <v>70</v>
      </c>
      <c r="G909" s="10" t="s">
        <v>68</v>
      </c>
      <c r="H909" s="10" t="s">
        <v>65</v>
      </c>
      <c r="I909" s="10" t="s">
        <v>16</v>
      </c>
      <c r="J909" s="10" t="s">
        <v>482</v>
      </c>
      <c r="K909" s="10" t="s">
        <v>483</v>
      </c>
      <c r="L909" s="10" t="s">
        <v>67</v>
      </c>
    </row>
    <row r="910" spans="1:12" x14ac:dyDescent="0.25">
      <c r="A910">
        <v>151</v>
      </c>
      <c r="B910" s="10" t="s">
        <v>1013</v>
      </c>
      <c r="C910" s="10" t="s">
        <v>66</v>
      </c>
      <c r="D910" s="10" t="s">
        <v>238</v>
      </c>
      <c r="E910" s="10" t="s">
        <v>239</v>
      </c>
      <c r="F910" s="10" t="s">
        <v>71</v>
      </c>
      <c r="G910" s="10" t="s">
        <v>68</v>
      </c>
      <c r="H910" s="10" t="s">
        <v>72</v>
      </c>
      <c r="I910" s="10" t="s">
        <v>18</v>
      </c>
      <c r="J910" s="10" t="s">
        <v>54</v>
      </c>
      <c r="K910" s="10" t="s">
        <v>54</v>
      </c>
      <c r="L910" s="10" t="s">
        <v>54</v>
      </c>
    </row>
    <row r="911" spans="1:12" x14ac:dyDescent="0.25">
      <c r="A911">
        <v>151</v>
      </c>
      <c r="B911" s="10" t="s">
        <v>1013</v>
      </c>
      <c r="C911" s="10" t="s">
        <v>66</v>
      </c>
      <c r="D911" s="10" t="s">
        <v>238</v>
      </c>
      <c r="E911" s="10" t="s">
        <v>239</v>
      </c>
      <c r="F911" s="10" t="s">
        <v>73</v>
      </c>
      <c r="G911" s="10" t="s">
        <v>68</v>
      </c>
      <c r="H911" s="10" t="s">
        <v>65</v>
      </c>
      <c r="I911" s="10" t="s">
        <v>16</v>
      </c>
      <c r="J911" s="10" t="s">
        <v>1014</v>
      </c>
      <c r="K911" s="10" t="s">
        <v>847</v>
      </c>
      <c r="L911" s="10" t="s">
        <v>67</v>
      </c>
    </row>
    <row r="912" spans="1:12" x14ac:dyDescent="0.25">
      <c r="A912">
        <v>151</v>
      </c>
      <c r="B912" s="10" t="s">
        <v>1013</v>
      </c>
      <c r="C912" s="10" t="s">
        <v>66</v>
      </c>
      <c r="D912" s="10" t="s">
        <v>238</v>
      </c>
      <c r="E912" s="10" t="s">
        <v>239</v>
      </c>
      <c r="F912" s="10" t="s">
        <v>74</v>
      </c>
      <c r="G912" s="10" t="s">
        <v>68</v>
      </c>
      <c r="H912" s="10" t="s">
        <v>65</v>
      </c>
      <c r="I912" s="10" t="s">
        <v>16</v>
      </c>
      <c r="J912" s="10" t="s">
        <v>326</v>
      </c>
      <c r="K912" s="10" t="s">
        <v>1015</v>
      </c>
      <c r="L912" s="10" t="s">
        <v>67</v>
      </c>
    </row>
    <row r="913" spans="1:12" x14ac:dyDescent="0.25">
      <c r="A913">
        <v>151</v>
      </c>
      <c r="B913" s="10" t="s">
        <v>1013</v>
      </c>
      <c r="C913" s="10" t="s">
        <v>66</v>
      </c>
      <c r="D913" s="10" t="s">
        <v>238</v>
      </c>
      <c r="E913" s="10" t="s">
        <v>239</v>
      </c>
      <c r="F913" s="10" t="s">
        <v>75</v>
      </c>
      <c r="G913" s="10" t="s">
        <v>68</v>
      </c>
      <c r="H913" s="10" t="s">
        <v>72</v>
      </c>
      <c r="I913" s="10" t="s">
        <v>18</v>
      </c>
      <c r="J913" s="10" t="s">
        <v>54</v>
      </c>
      <c r="K913" s="10" t="s">
        <v>54</v>
      </c>
      <c r="L913" s="10" t="s">
        <v>54</v>
      </c>
    </row>
    <row r="914" spans="1:12" x14ac:dyDescent="0.25">
      <c r="A914">
        <v>151</v>
      </c>
      <c r="B914" s="10" t="s">
        <v>1013</v>
      </c>
      <c r="C914" s="10" t="s">
        <v>66</v>
      </c>
      <c r="D914" s="10" t="s">
        <v>238</v>
      </c>
      <c r="E914" s="10" t="s">
        <v>239</v>
      </c>
      <c r="F914" s="10" t="s">
        <v>76</v>
      </c>
      <c r="G914" s="10" t="s">
        <v>77</v>
      </c>
      <c r="H914" s="10" t="s">
        <v>65</v>
      </c>
      <c r="I914" s="10" t="s">
        <v>16</v>
      </c>
      <c r="J914" s="10" t="s">
        <v>275</v>
      </c>
      <c r="K914" s="10" t="s">
        <v>276</v>
      </c>
      <c r="L914" s="10" t="s">
        <v>67</v>
      </c>
    </row>
    <row r="915" spans="1:12" x14ac:dyDescent="0.25">
      <c r="A915">
        <v>151</v>
      </c>
      <c r="B915" s="10" t="s">
        <v>1013</v>
      </c>
      <c r="C915" s="10" t="s">
        <v>66</v>
      </c>
      <c r="D915" s="10" t="s">
        <v>238</v>
      </c>
      <c r="E915" s="10" t="s">
        <v>239</v>
      </c>
      <c r="F915" s="10" t="s">
        <v>78</v>
      </c>
      <c r="G915" s="10" t="s">
        <v>77</v>
      </c>
      <c r="H915" s="10" t="s">
        <v>65</v>
      </c>
      <c r="I915" s="10" t="s">
        <v>16</v>
      </c>
      <c r="J915" s="10" t="s">
        <v>79</v>
      </c>
      <c r="K915" s="10" t="s">
        <v>559</v>
      </c>
      <c r="L915" s="10" t="s">
        <v>67</v>
      </c>
    </row>
    <row r="916" spans="1:12" x14ac:dyDescent="0.25">
      <c r="A916">
        <v>151</v>
      </c>
      <c r="B916" s="10" t="s">
        <v>1013</v>
      </c>
      <c r="C916" s="10" t="s">
        <v>66</v>
      </c>
      <c r="D916" s="10" t="s">
        <v>238</v>
      </c>
      <c r="E916" s="10" t="s">
        <v>239</v>
      </c>
      <c r="F916" s="10" t="s">
        <v>80</v>
      </c>
      <c r="G916" s="10" t="s">
        <v>77</v>
      </c>
      <c r="H916" s="10" t="s">
        <v>65</v>
      </c>
      <c r="I916" s="10" t="s">
        <v>16</v>
      </c>
      <c r="J916" s="10" t="s">
        <v>79</v>
      </c>
      <c r="K916" s="10" t="s">
        <v>1016</v>
      </c>
      <c r="L916" s="10" t="s">
        <v>67</v>
      </c>
    </row>
    <row r="917" spans="1:12" x14ac:dyDescent="0.25">
      <c r="A917">
        <v>151</v>
      </c>
      <c r="B917" s="10" t="s">
        <v>1013</v>
      </c>
      <c r="C917" s="10" t="s">
        <v>66</v>
      </c>
      <c r="D917" s="10" t="s">
        <v>238</v>
      </c>
      <c r="E917" s="10" t="s">
        <v>239</v>
      </c>
      <c r="F917" s="10" t="s">
        <v>81</v>
      </c>
      <c r="G917" s="10" t="s">
        <v>77</v>
      </c>
      <c r="H917" s="10" t="s">
        <v>65</v>
      </c>
      <c r="I917" s="10" t="s">
        <v>16</v>
      </c>
      <c r="J917" s="10" t="s">
        <v>362</v>
      </c>
      <c r="K917" s="10" t="s">
        <v>378</v>
      </c>
      <c r="L917" s="10" t="s">
        <v>67</v>
      </c>
    </row>
    <row r="918" spans="1:12" x14ac:dyDescent="0.25">
      <c r="A918">
        <v>151</v>
      </c>
      <c r="B918" s="10" t="s">
        <v>1013</v>
      </c>
      <c r="C918" s="10" t="s">
        <v>66</v>
      </c>
      <c r="D918" s="10" t="s">
        <v>238</v>
      </c>
      <c r="E918" s="10" t="s">
        <v>239</v>
      </c>
      <c r="F918" s="10" t="s">
        <v>82</v>
      </c>
      <c r="G918" s="10" t="s">
        <v>83</v>
      </c>
      <c r="H918" s="10" t="s">
        <v>65</v>
      </c>
      <c r="I918" s="10" t="s">
        <v>16</v>
      </c>
      <c r="J918" s="10" t="s">
        <v>362</v>
      </c>
      <c r="K918" s="10" t="s">
        <v>378</v>
      </c>
      <c r="L918" s="10" t="s">
        <v>67</v>
      </c>
    </row>
    <row r="919" spans="1:12" x14ac:dyDescent="0.25">
      <c r="A919">
        <v>151</v>
      </c>
      <c r="B919" s="10" t="s">
        <v>1013</v>
      </c>
      <c r="C919" s="10" t="s">
        <v>66</v>
      </c>
      <c r="D919" s="10" t="s">
        <v>238</v>
      </c>
      <c r="E919" s="10" t="s">
        <v>239</v>
      </c>
      <c r="F919" s="10" t="s">
        <v>84</v>
      </c>
      <c r="G919" s="10" t="s">
        <v>83</v>
      </c>
      <c r="H919" s="10" t="s">
        <v>65</v>
      </c>
      <c r="I919" s="10" t="s">
        <v>16</v>
      </c>
      <c r="J919" s="10" t="s">
        <v>470</v>
      </c>
      <c r="K919" s="10" t="s">
        <v>471</v>
      </c>
      <c r="L919" s="10" t="s">
        <v>67</v>
      </c>
    </row>
    <row r="920" spans="1:12" x14ac:dyDescent="0.25">
      <c r="A920">
        <v>151</v>
      </c>
      <c r="B920" s="10" t="s">
        <v>1013</v>
      </c>
      <c r="C920" s="10" t="s">
        <v>66</v>
      </c>
      <c r="D920" s="10" t="s">
        <v>238</v>
      </c>
      <c r="E920" s="10" t="s">
        <v>239</v>
      </c>
      <c r="F920" s="10" t="s">
        <v>85</v>
      </c>
      <c r="G920" s="10" t="s">
        <v>86</v>
      </c>
      <c r="H920" s="10" t="s">
        <v>65</v>
      </c>
      <c r="I920" s="10" t="s">
        <v>16</v>
      </c>
      <c r="J920" s="10" t="s">
        <v>79</v>
      </c>
      <c r="K920" s="10" t="s">
        <v>1017</v>
      </c>
      <c r="L920" s="10" t="s">
        <v>54</v>
      </c>
    </row>
    <row r="921" spans="1:12" x14ac:dyDescent="0.25">
      <c r="A921">
        <v>151</v>
      </c>
      <c r="B921" s="10" t="s">
        <v>1013</v>
      </c>
      <c r="C921" s="10" t="s">
        <v>66</v>
      </c>
      <c r="D921" s="10" t="s">
        <v>238</v>
      </c>
      <c r="E921" s="10" t="s">
        <v>239</v>
      </c>
      <c r="F921" s="10" t="s">
        <v>87</v>
      </c>
      <c r="G921" s="10" t="s">
        <v>86</v>
      </c>
      <c r="H921" s="10" t="s">
        <v>65</v>
      </c>
      <c r="I921" s="10" t="s">
        <v>16</v>
      </c>
      <c r="J921" s="10" t="s">
        <v>79</v>
      </c>
      <c r="K921" s="10" t="s">
        <v>1018</v>
      </c>
      <c r="L921" s="10" t="s">
        <v>67</v>
      </c>
    </row>
    <row r="922" spans="1:12" x14ac:dyDescent="0.25">
      <c r="A922">
        <v>151</v>
      </c>
      <c r="B922" s="10" t="s">
        <v>1013</v>
      </c>
      <c r="C922" s="10" t="s">
        <v>66</v>
      </c>
      <c r="D922" s="10" t="s">
        <v>238</v>
      </c>
      <c r="E922" s="10" t="s">
        <v>239</v>
      </c>
      <c r="F922" s="10" t="s">
        <v>88</v>
      </c>
      <c r="G922" s="10" t="s">
        <v>86</v>
      </c>
      <c r="H922" s="10" t="s">
        <v>65</v>
      </c>
      <c r="I922" s="10" t="s">
        <v>16</v>
      </c>
      <c r="J922" s="10" t="s">
        <v>79</v>
      </c>
      <c r="K922" s="10" t="s">
        <v>1019</v>
      </c>
      <c r="L922" s="10" t="s">
        <v>67</v>
      </c>
    </row>
    <row r="923" spans="1:12" x14ac:dyDescent="0.25">
      <c r="A923">
        <v>151</v>
      </c>
      <c r="B923" s="10" t="s">
        <v>1013</v>
      </c>
      <c r="C923" s="10" t="s">
        <v>66</v>
      </c>
      <c r="D923" s="10" t="s">
        <v>238</v>
      </c>
      <c r="E923" s="10" t="s">
        <v>239</v>
      </c>
      <c r="F923" s="10" t="s">
        <v>89</v>
      </c>
      <c r="G923" s="10" t="s">
        <v>86</v>
      </c>
      <c r="H923" s="10" t="s">
        <v>65</v>
      </c>
      <c r="I923" s="10" t="s">
        <v>16</v>
      </c>
      <c r="J923" s="10" t="s">
        <v>79</v>
      </c>
      <c r="K923" s="10" t="s">
        <v>1020</v>
      </c>
      <c r="L923" s="10" t="s">
        <v>67</v>
      </c>
    </row>
    <row r="924" spans="1:12" x14ac:dyDescent="0.25">
      <c r="A924">
        <v>151</v>
      </c>
      <c r="B924" s="10" t="s">
        <v>1013</v>
      </c>
      <c r="C924" s="10" t="s">
        <v>66</v>
      </c>
      <c r="D924" s="10" t="s">
        <v>238</v>
      </c>
      <c r="E924" s="10" t="s">
        <v>239</v>
      </c>
      <c r="F924" s="10" t="s">
        <v>90</v>
      </c>
      <c r="G924" s="10" t="s">
        <v>86</v>
      </c>
      <c r="H924" s="10" t="s">
        <v>65</v>
      </c>
      <c r="I924" s="10" t="s">
        <v>16</v>
      </c>
      <c r="J924" s="10" t="s">
        <v>79</v>
      </c>
      <c r="K924" s="10" t="s">
        <v>1020</v>
      </c>
      <c r="L924" s="10" t="s">
        <v>67</v>
      </c>
    </row>
    <row r="925" spans="1:12" x14ac:dyDescent="0.25">
      <c r="A925">
        <v>151</v>
      </c>
      <c r="B925" s="10" t="s">
        <v>1013</v>
      </c>
      <c r="C925" s="10" t="s">
        <v>66</v>
      </c>
      <c r="D925" s="10" t="s">
        <v>238</v>
      </c>
      <c r="E925" s="10" t="s">
        <v>239</v>
      </c>
      <c r="F925" s="10" t="s">
        <v>91</v>
      </c>
      <c r="G925" s="10" t="s">
        <v>86</v>
      </c>
      <c r="H925" s="10" t="s">
        <v>65</v>
      </c>
      <c r="I925" s="10" t="s">
        <v>16</v>
      </c>
      <c r="J925" s="10" t="s">
        <v>79</v>
      </c>
      <c r="K925" s="10" t="s">
        <v>1021</v>
      </c>
      <c r="L925" s="10" t="s">
        <v>67</v>
      </c>
    </row>
    <row r="926" spans="1:12" x14ac:dyDescent="0.25">
      <c r="A926">
        <v>151</v>
      </c>
      <c r="B926" s="10" t="s">
        <v>1013</v>
      </c>
      <c r="C926" s="10" t="s">
        <v>66</v>
      </c>
      <c r="D926" s="10" t="s">
        <v>238</v>
      </c>
      <c r="E926" s="10" t="s">
        <v>239</v>
      </c>
      <c r="F926" s="10" t="s">
        <v>92</v>
      </c>
      <c r="G926" s="10" t="s">
        <v>86</v>
      </c>
      <c r="H926" s="10" t="s">
        <v>65</v>
      </c>
      <c r="I926" s="10" t="s">
        <v>16</v>
      </c>
      <c r="J926" s="10" t="s">
        <v>1022</v>
      </c>
      <c r="K926" s="10" t="s">
        <v>1023</v>
      </c>
      <c r="L926" s="10" t="s">
        <v>67</v>
      </c>
    </row>
    <row r="927" spans="1:12" x14ac:dyDescent="0.25">
      <c r="A927">
        <v>151</v>
      </c>
      <c r="B927" s="10" t="s">
        <v>1013</v>
      </c>
      <c r="C927" s="10" t="s">
        <v>66</v>
      </c>
      <c r="D927" s="10" t="s">
        <v>238</v>
      </c>
      <c r="E927" s="10" t="s">
        <v>239</v>
      </c>
      <c r="F927" s="10" t="s">
        <v>93</v>
      </c>
      <c r="G927" s="10" t="s">
        <v>94</v>
      </c>
      <c r="H927" s="10" t="s">
        <v>65</v>
      </c>
      <c r="I927" s="10" t="s">
        <v>16</v>
      </c>
      <c r="J927" s="10" t="s">
        <v>410</v>
      </c>
      <c r="K927" s="10" t="s">
        <v>411</v>
      </c>
      <c r="L927" s="10" t="s">
        <v>67</v>
      </c>
    </row>
    <row r="928" spans="1:12" x14ac:dyDescent="0.25">
      <c r="A928">
        <v>151</v>
      </c>
      <c r="B928" s="10" t="s">
        <v>1013</v>
      </c>
      <c r="C928" s="10" t="s">
        <v>66</v>
      </c>
      <c r="D928" s="10" t="s">
        <v>238</v>
      </c>
      <c r="E928" s="10" t="s">
        <v>239</v>
      </c>
      <c r="F928" s="10" t="s">
        <v>95</v>
      </c>
      <c r="G928" s="10" t="s">
        <v>94</v>
      </c>
      <c r="H928" s="10" t="s">
        <v>65</v>
      </c>
      <c r="I928" s="10" t="s">
        <v>16</v>
      </c>
      <c r="J928" s="10" t="s">
        <v>410</v>
      </c>
      <c r="K928" s="10" t="s">
        <v>411</v>
      </c>
      <c r="L928" s="10" t="s">
        <v>67</v>
      </c>
    </row>
    <row r="929" spans="1:12" x14ac:dyDescent="0.25">
      <c r="A929">
        <v>151</v>
      </c>
      <c r="B929" s="10" t="s">
        <v>1013</v>
      </c>
      <c r="C929" s="10" t="s">
        <v>66</v>
      </c>
      <c r="D929" s="10" t="s">
        <v>238</v>
      </c>
      <c r="E929" s="10" t="s">
        <v>239</v>
      </c>
      <c r="F929" s="10" t="s">
        <v>96</v>
      </c>
      <c r="G929" s="10" t="s">
        <v>94</v>
      </c>
      <c r="H929" s="10" t="s">
        <v>65</v>
      </c>
      <c r="I929" s="10" t="s">
        <v>16</v>
      </c>
      <c r="J929" s="10" t="s">
        <v>79</v>
      </c>
      <c r="K929" s="10" t="s">
        <v>653</v>
      </c>
      <c r="L929" s="10" t="s">
        <v>67</v>
      </c>
    </row>
    <row r="930" spans="1:12" x14ac:dyDescent="0.25">
      <c r="A930">
        <v>151</v>
      </c>
      <c r="B930" s="10" t="s">
        <v>1013</v>
      </c>
      <c r="C930" s="10" t="s">
        <v>66</v>
      </c>
      <c r="D930" s="10" t="s">
        <v>238</v>
      </c>
      <c r="E930" s="10" t="s">
        <v>239</v>
      </c>
      <c r="F930" s="10" t="s">
        <v>97</v>
      </c>
      <c r="G930" s="10" t="s">
        <v>98</v>
      </c>
      <c r="H930" s="10" t="s">
        <v>65</v>
      </c>
      <c r="I930" s="10" t="s">
        <v>16</v>
      </c>
      <c r="J930" s="10" t="s">
        <v>1024</v>
      </c>
      <c r="K930" s="10" t="s">
        <v>1017</v>
      </c>
      <c r="L930" s="10" t="s">
        <v>67</v>
      </c>
    </row>
    <row r="931" spans="1:12" x14ac:dyDescent="0.25">
      <c r="A931">
        <v>151</v>
      </c>
      <c r="B931" s="10" t="s">
        <v>1013</v>
      </c>
      <c r="C931" s="10" t="s">
        <v>66</v>
      </c>
      <c r="D931" s="10" t="s">
        <v>238</v>
      </c>
      <c r="E931" s="10" t="s">
        <v>239</v>
      </c>
      <c r="F931" s="10" t="s">
        <v>99</v>
      </c>
      <c r="G931" s="10" t="s">
        <v>98</v>
      </c>
      <c r="H931" s="10" t="s">
        <v>65</v>
      </c>
      <c r="I931" s="10" t="s">
        <v>16</v>
      </c>
      <c r="J931" s="10" t="s">
        <v>1025</v>
      </c>
      <c r="K931" s="10" t="s">
        <v>1026</v>
      </c>
      <c r="L931" s="10" t="s">
        <v>67</v>
      </c>
    </row>
    <row r="932" spans="1:12" x14ac:dyDescent="0.25">
      <c r="A932">
        <v>151</v>
      </c>
      <c r="B932" s="10" t="s">
        <v>1013</v>
      </c>
      <c r="C932" s="10" t="s">
        <v>66</v>
      </c>
      <c r="D932" s="10" t="s">
        <v>238</v>
      </c>
      <c r="E932" s="10" t="s">
        <v>239</v>
      </c>
      <c r="F932" s="10" t="s">
        <v>100</v>
      </c>
      <c r="G932" s="10" t="s">
        <v>98</v>
      </c>
      <c r="H932" s="10" t="s">
        <v>65</v>
      </c>
      <c r="I932" s="10" t="s">
        <v>16</v>
      </c>
      <c r="J932" s="10" t="s">
        <v>1025</v>
      </c>
      <c r="K932" s="10" t="s">
        <v>1026</v>
      </c>
      <c r="L932" s="10" t="s">
        <v>67</v>
      </c>
    </row>
    <row r="933" spans="1:12" x14ac:dyDescent="0.25">
      <c r="A933">
        <v>151</v>
      </c>
      <c r="B933" s="10" t="s">
        <v>1013</v>
      </c>
      <c r="C933" s="10" t="s">
        <v>66</v>
      </c>
      <c r="D933" s="10" t="s">
        <v>238</v>
      </c>
      <c r="E933" s="10" t="s">
        <v>239</v>
      </c>
      <c r="F933" s="10" t="s">
        <v>101</v>
      </c>
      <c r="G933" s="10" t="s">
        <v>102</v>
      </c>
      <c r="H933" s="10" t="s">
        <v>65</v>
      </c>
      <c r="I933" s="10" t="s">
        <v>16</v>
      </c>
      <c r="J933" s="10" t="s">
        <v>79</v>
      </c>
      <c r="K933" s="10" t="s">
        <v>383</v>
      </c>
      <c r="L933" s="10" t="s">
        <v>67</v>
      </c>
    </row>
    <row r="934" spans="1:12" x14ac:dyDescent="0.25">
      <c r="A934">
        <v>151</v>
      </c>
      <c r="B934" s="10" t="s">
        <v>1013</v>
      </c>
      <c r="C934" s="10" t="s">
        <v>66</v>
      </c>
      <c r="D934" s="10" t="s">
        <v>238</v>
      </c>
      <c r="E934" s="10" t="s">
        <v>239</v>
      </c>
      <c r="F934" s="10" t="s">
        <v>103</v>
      </c>
      <c r="G934" s="10" t="s">
        <v>102</v>
      </c>
      <c r="H934" s="10" t="s">
        <v>65</v>
      </c>
      <c r="I934" s="10" t="s">
        <v>16</v>
      </c>
      <c r="J934" s="10" t="s">
        <v>528</v>
      </c>
      <c r="K934" s="10" t="s">
        <v>540</v>
      </c>
      <c r="L934" s="10" t="s">
        <v>67</v>
      </c>
    </row>
    <row r="935" spans="1:12" x14ac:dyDescent="0.25">
      <c r="A935">
        <v>151</v>
      </c>
      <c r="B935" s="10" t="s">
        <v>1013</v>
      </c>
      <c r="C935" s="10" t="s">
        <v>66</v>
      </c>
      <c r="D935" s="10" t="s">
        <v>238</v>
      </c>
      <c r="E935" s="10" t="s">
        <v>239</v>
      </c>
      <c r="F935" s="10" t="s">
        <v>104</v>
      </c>
      <c r="G935" s="10" t="s">
        <v>105</v>
      </c>
      <c r="H935" s="10" t="s">
        <v>65</v>
      </c>
      <c r="I935" s="10" t="s">
        <v>16</v>
      </c>
      <c r="J935" s="10" t="s">
        <v>410</v>
      </c>
      <c r="K935" s="10" t="s">
        <v>411</v>
      </c>
      <c r="L935" s="10" t="s">
        <v>67</v>
      </c>
    </row>
    <row r="936" spans="1:12" x14ac:dyDescent="0.25">
      <c r="A936">
        <v>151</v>
      </c>
      <c r="B936" s="10" t="s">
        <v>1013</v>
      </c>
      <c r="C936" s="10" t="s">
        <v>66</v>
      </c>
      <c r="D936" s="10" t="s">
        <v>238</v>
      </c>
      <c r="E936" s="10" t="s">
        <v>239</v>
      </c>
      <c r="F936" s="10" t="s">
        <v>106</v>
      </c>
      <c r="G936" s="10" t="s">
        <v>105</v>
      </c>
      <c r="H936" s="10" t="s">
        <v>65</v>
      </c>
      <c r="I936" s="10" t="s">
        <v>16</v>
      </c>
      <c r="J936" s="10" t="s">
        <v>1024</v>
      </c>
      <c r="K936" s="10" t="s">
        <v>1017</v>
      </c>
      <c r="L936" s="10" t="s">
        <v>67</v>
      </c>
    </row>
    <row r="937" spans="1:12" x14ac:dyDescent="0.25">
      <c r="A937">
        <v>151</v>
      </c>
      <c r="B937" s="10" t="s">
        <v>1013</v>
      </c>
      <c r="C937" s="10" t="s">
        <v>66</v>
      </c>
      <c r="D937" s="10" t="s">
        <v>238</v>
      </c>
      <c r="E937" s="10" t="s">
        <v>239</v>
      </c>
      <c r="F937" s="10" t="s">
        <v>107</v>
      </c>
      <c r="G937" s="10" t="s">
        <v>105</v>
      </c>
      <c r="H937" s="10" t="s">
        <v>65</v>
      </c>
      <c r="I937" s="10" t="s">
        <v>16</v>
      </c>
      <c r="J937" s="10" t="s">
        <v>1027</v>
      </c>
      <c r="K937" s="10" t="s">
        <v>1017</v>
      </c>
      <c r="L937" s="10" t="s">
        <v>67</v>
      </c>
    </row>
    <row r="938" spans="1:12" x14ac:dyDescent="0.25">
      <c r="A938">
        <v>151</v>
      </c>
      <c r="B938" s="10" t="s">
        <v>1013</v>
      </c>
      <c r="C938" s="10" t="s">
        <v>66</v>
      </c>
      <c r="D938" s="10" t="s">
        <v>238</v>
      </c>
      <c r="E938" s="10" t="s">
        <v>239</v>
      </c>
      <c r="F938" s="10" t="s">
        <v>108</v>
      </c>
      <c r="G938" s="10" t="s">
        <v>105</v>
      </c>
      <c r="H938" s="10" t="s">
        <v>65</v>
      </c>
      <c r="I938" s="10" t="s">
        <v>24</v>
      </c>
      <c r="J938" s="10" t="s">
        <v>1028</v>
      </c>
      <c r="K938" s="10" t="s">
        <v>1029</v>
      </c>
      <c r="L938" s="10" t="s">
        <v>67</v>
      </c>
    </row>
    <row r="939" spans="1:12" x14ac:dyDescent="0.25">
      <c r="A939">
        <v>151</v>
      </c>
      <c r="B939" s="10" t="s">
        <v>1013</v>
      </c>
      <c r="C939" s="10" t="s">
        <v>66</v>
      </c>
      <c r="D939" s="10" t="s">
        <v>238</v>
      </c>
      <c r="E939" s="10" t="s">
        <v>239</v>
      </c>
      <c r="F939" s="10" t="s">
        <v>109</v>
      </c>
      <c r="G939" s="10" t="s">
        <v>105</v>
      </c>
      <c r="H939" s="10" t="s">
        <v>65</v>
      </c>
      <c r="I939" s="10" t="s">
        <v>16</v>
      </c>
      <c r="J939" s="10" t="s">
        <v>410</v>
      </c>
      <c r="K939" s="10" t="s">
        <v>411</v>
      </c>
      <c r="L939" s="10" t="s">
        <v>67</v>
      </c>
    </row>
    <row r="940" spans="1:12" x14ac:dyDescent="0.25">
      <c r="A940">
        <v>151</v>
      </c>
      <c r="B940" s="10" t="s">
        <v>1013</v>
      </c>
      <c r="C940" s="10" t="s">
        <v>66</v>
      </c>
      <c r="D940" s="10" t="s">
        <v>238</v>
      </c>
      <c r="E940" s="10" t="s">
        <v>239</v>
      </c>
      <c r="F940" s="10" t="s">
        <v>110</v>
      </c>
      <c r="G940" s="10" t="s">
        <v>105</v>
      </c>
      <c r="H940" s="10" t="s">
        <v>65</v>
      </c>
      <c r="I940" s="10" t="s">
        <v>16</v>
      </c>
      <c r="J940" s="10" t="s">
        <v>79</v>
      </c>
      <c r="K940" s="10" t="s">
        <v>1017</v>
      </c>
      <c r="L940" s="10" t="s">
        <v>67</v>
      </c>
    </row>
    <row r="941" spans="1:12" x14ac:dyDescent="0.25">
      <c r="A941">
        <v>151</v>
      </c>
      <c r="B941" s="10" t="s">
        <v>1013</v>
      </c>
      <c r="C941" s="10" t="s">
        <v>66</v>
      </c>
      <c r="D941" s="10" t="s">
        <v>238</v>
      </c>
      <c r="E941" s="10" t="s">
        <v>239</v>
      </c>
      <c r="F941" s="10" t="s">
        <v>111</v>
      </c>
      <c r="G941" s="10" t="s">
        <v>105</v>
      </c>
      <c r="H941" s="10" t="s">
        <v>65</v>
      </c>
      <c r="I941" s="10" t="s">
        <v>16</v>
      </c>
      <c r="J941" s="10" t="s">
        <v>410</v>
      </c>
      <c r="K941" s="10" t="s">
        <v>411</v>
      </c>
      <c r="L941" s="10" t="s">
        <v>67</v>
      </c>
    </row>
    <row r="942" spans="1:12" x14ac:dyDescent="0.25">
      <c r="A942">
        <v>151</v>
      </c>
      <c r="B942" s="10" t="s">
        <v>1013</v>
      </c>
      <c r="C942" s="10" t="s">
        <v>66</v>
      </c>
      <c r="D942" s="10" t="s">
        <v>238</v>
      </c>
      <c r="E942" s="10" t="s">
        <v>239</v>
      </c>
      <c r="F942" s="10" t="s">
        <v>112</v>
      </c>
      <c r="G942" s="10" t="s">
        <v>105</v>
      </c>
      <c r="H942" s="10" t="s">
        <v>65</v>
      </c>
      <c r="I942" s="10" t="s">
        <v>16</v>
      </c>
      <c r="J942" s="10" t="s">
        <v>602</v>
      </c>
      <c r="K942" s="10" t="s">
        <v>617</v>
      </c>
      <c r="L942" s="10" t="s">
        <v>67</v>
      </c>
    </row>
    <row r="943" spans="1:12" x14ac:dyDescent="0.25">
      <c r="A943">
        <v>151</v>
      </c>
      <c r="B943" s="10" t="s">
        <v>1013</v>
      </c>
      <c r="C943" s="10" t="s">
        <v>66</v>
      </c>
      <c r="D943" s="10" t="s">
        <v>238</v>
      </c>
      <c r="E943" s="10" t="s">
        <v>239</v>
      </c>
      <c r="F943" s="10" t="s">
        <v>113</v>
      </c>
      <c r="G943" s="10" t="s">
        <v>105</v>
      </c>
      <c r="H943" s="10" t="s">
        <v>65</v>
      </c>
      <c r="I943" s="10" t="s">
        <v>16</v>
      </c>
      <c r="J943" s="10" t="s">
        <v>362</v>
      </c>
      <c r="K943" s="10" t="s">
        <v>378</v>
      </c>
      <c r="L943" s="10" t="s">
        <v>67</v>
      </c>
    </row>
    <row r="944" spans="1:12" x14ac:dyDescent="0.25">
      <c r="A944">
        <v>246</v>
      </c>
      <c r="B944" s="10" t="s">
        <v>1030</v>
      </c>
      <c r="C944" s="10" t="s">
        <v>120</v>
      </c>
      <c r="D944" s="10" t="s">
        <v>241</v>
      </c>
      <c r="E944" s="10" t="s">
        <v>242</v>
      </c>
      <c r="F944" s="10" t="s">
        <v>69</v>
      </c>
      <c r="G944" s="10" t="s">
        <v>68</v>
      </c>
      <c r="H944" s="10" t="s">
        <v>65</v>
      </c>
      <c r="I944" s="10" t="s">
        <v>16</v>
      </c>
      <c r="J944" s="10" t="s">
        <v>1031</v>
      </c>
      <c r="K944" s="10" t="s">
        <v>1032</v>
      </c>
      <c r="L944" s="10" t="s">
        <v>54</v>
      </c>
    </row>
    <row r="945" spans="1:12" x14ac:dyDescent="0.25">
      <c r="A945">
        <v>246</v>
      </c>
      <c r="B945" s="10" t="s">
        <v>1030</v>
      </c>
      <c r="C945" s="10" t="s">
        <v>120</v>
      </c>
      <c r="D945" s="10" t="s">
        <v>241</v>
      </c>
      <c r="E945" s="10" t="s">
        <v>242</v>
      </c>
      <c r="F945" s="10" t="s">
        <v>70</v>
      </c>
      <c r="G945" s="10" t="s">
        <v>68</v>
      </c>
      <c r="H945" s="10" t="s">
        <v>65</v>
      </c>
      <c r="I945" s="10" t="s">
        <v>25</v>
      </c>
      <c r="J945" s="10" t="s">
        <v>1033</v>
      </c>
      <c r="K945" s="10" t="s">
        <v>1034</v>
      </c>
      <c r="L945" s="10" t="s">
        <v>67</v>
      </c>
    </row>
    <row r="946" spans="1:12" x14ac:dyDescent="0.25">
      <c r="A946">
        <v>246</v>
      </c>
      <c r="B946" s="10" t="s">
        <v>1030</v>
      </c>
      <c r="C946" s="10" t="s">
        <v>120</v>
      </c>
      <c r="D946" s="10" t="s">
        <v>241</v>
      </c>
      <c r="E946" s="10" t="s">
        <v>242</v>
      </c>
      <c r="F946" s="10" t="s">
        <v>71</v>
      </c>
      <c r="G946" s="10" t="s">
        <v>68</v>
      </c>
      <c r="H946" s="10" t="s">
        <v>72</v>
      </c>
      <c r="I946" s="10" t="s">
        <v>18</v>
      </c>
      <c r="J946" s="10" t="s">
        <v>54</v>
      </c>
      <c r="K946" s="10" t="s">
        <v>54</v>
      </c>
      <c r="L946" s="10" t="s">
        <v>54</v>
      </c>
    </row>
    <row r="947" spans="1:12" x14ac:dyDescent="0.25">
      <c r="A947">
        <v>246</v>
      </c>
      <c r="B947" s="10" t="s">
        <v>1030</v>
      </c>
      <c r="C947" s="10" t="s">
        <v>120</v>
      </c>
      <c r="D947" s="10" t="s">
        <v>241</v>
      </c>
      <c r="E947" s="10" t="s">
        <v>242</v>
      </c>
      <c r="F947" s="10" t="s">
        <v>73</v>
      </c>
      <c r="G947" s="10" t="s">
        <v>68</v>
      </c>
      <c r="H947" s="10" t="s">
        <v>65</v>
      </c>
      <c r="I947" s="10" t="s">
        <v>25</v>
      </c>
      <c r="J947" s="10" t="s">
        <v>1035</v>
      </c>
      <c r="K947" s="10" t="s">
        <v>287</v>
      </c>
      <c r="L947" s="10" t="s">
        <v>67</v>
      </c>
    </row>
    <row r="948" spans="1:12" x14ac:dyDescent="0.25">
      <c r="A948">
        <v>246</v>
      </c>
      <c r="B948" s="10" t="s">
        <v>1030</v>
      </c>
      <c r="C948" s="10" t="s">
        <v>120</v>
      </c>
      <c r="D948" s="10" t="s">
        <v>241</v>
      </c>
      <c r="E948" s="10" t="s">
        <v>242</v>
      </c>
      <c r="F948" s="10" t="s">
        <v>74</v>
      </c>
      <c r="G948" s="10" t="s">
        <v>68</v>
      </c>
      <c r="H948" s="10" t="s">
        <v>65</v>
      </c>
      <c r="I948" s="10" t="s">
        <v>16</v>
      </c>
      <c r="J948" s="10" t="s">
        <v>883</v>
      </c>
      <c r="K948" s="10" t="s">
        <v>603</v>
      </c>
      <c r="L948" s="10" t="s">
        <v>67</v>
      </c>
    </row>
    <row r="949" spans="1:12" x14ac:dyDescent="0.25">
      <c r="A949">
        <v>246</v>
      </c>
      <c r="B949" s="10" t="s">
        <v>1030</v>
      </c>
      <c r="C949" s="10" t="s">
        <v>120</v>
      </c>
      <c r="D949" s="10" t="s">
        <v>241</v>
      </c>
      <c r="E949" s="10" t="s">
        <v>242</v>
      </c>
      <c r="F949" s="10" t="s">
        <v>75</v>
      </c>
      <c r="G949" s="10" t="s">
        <v>68</v>
      </c>
      <c r="H949" s="10" t="s">
        <v>72</v>
      </c>
      <c r="I949" s="10" t="s">
        <v>18</v>
      </c>
      <c r="J949" s="10" t="s">
        <v>54</v>
      </c>
      <c r="K949" s="10" t="s">
        <v>54</v>
      </c>
      <c r="L949" s="10" t="s">
        <v>54</v>
      </c>
    </row>
    <row r="950" spans="1:12" x14ac:dyDescent="0.25">
      <c r="A950">
        <v>246</v>
      </c>
      <c r="B950" s="10" t="s">
        <v>1030</v>
      </c>
      <c r="C950" s="10" t="s">
        <v>120</v>
      </c>
      <c r="D950" s="10" t="s">
        <v>241</v>
      </c>
      <c r="E950" s="10" t="s">
        <v>242</v>
      </c>
      <c r="F950" s="10" t="s">
        <v>76</v>
      </c>
      <c r="G950" s="10" t="s">
        <v>77</v>
      </c>
      <c r="H950" s="10" t="s">
        <v>65</v>
      </c>
      <c r="I950" s="10" t="s">
        <v>16</v>
      </c>
      <c r="J950" s="10" t="s">
        <v>1036</v>
      </c>
      <c r="K950" s="10" t="s">
        <v>1037</v>
      </c>
      <c r="L950" s="10" t="s">
        <v>67</v>
      </c>
    </row>
    <row r="951" spans="1:12" x14ac:dyDescent="0.25">
      <c r="A951">
        <v>246</v>
      </c>
      <c r="B951" s="10" t="s">
        <v>1030</v>
      </c>
      <c r="C951" s="10" t="s">
        <v>120</v>
      </c>
      <c r="D951" s="10" t="s">
        <v>241</v>
      </c>
      <c r="E951" s="10" t="s">
        <v>242</v>
      </c>
      <c r="F951" s="10" t="s">
        <v>78</v>
      </c>
      <c r="G951" s="10" t="s">
        <v>77</v>
      </c>
      <c r="H951" s="10" t="s">
        <v>65</v>
      </c>
      <c r="I951" s="10" t="s">
        <v>16</v>
      </c>
      <c r="J951" s="10" t="s">
        <v>79</v>
      </c>
      <c r="K951" s="10" t="s">
        <v>1038</v>
      </c>
      <c r="L951" s="10" t="s">
        <v>67</v>
      </c>
    </row>
    <row r="952" spans="1:12" x14ac:dyDescent="0.25">
      <c r="A952">
        <v>246</v>
      </c>
      <c r="B952" s="10" t="s">
        <v>1030</v>
      </c>
      <c r="C952" s="10" t="s">
        <v>120</v>
      </c>
      <c r="D952" s="10" t="s">
        <v>241</v>
      </c>
      <c r="E952" s="10" t="s">
        <v>242</v>
      </c>
      <c r="F952" s="10" t="s">
        <v>80</v>
      </c>
      <c r="G952" s="10" t="s">
        <v>77</v>
      </c>
      <c r="H952" s="10" t="s">
        <v>65</v>
      </c>
      <c r="I952" s="10" t="s">
        <v>16</v>
      </c>
      <c r="J952" s="10" t="s">
        <v>79</v>
      </c>
      <c r="K952" s="10" t="s">
        <v>926</v>
      </c>
      <c r="L952" s="10" t="s">
        <v>67</v>
      </c>
    </row>
    <row r="953" spans="1:12" x14ac:dyDescent="0.25">
      <c r="A953">
        <v>246</v>
      </c>
      <c r="B953" s="10" t="s">
        <v>1030</v>
      </c>
      <c r="C953" s="10" t="s">
        <v>120</v>
      </c>
      <c r="D953" s="10" t="s">
        <v>241</v>
      </c>
      <c r="E953" s="10" t="s">
        <v>242</v>
      </c>
      <c r="F953" s="10" t="s">
        <v>81</v>
      </c>
      <c r="G953" s="10" t="s">
        <v>77</v>
      </c>
      <c r="H953" s="10" t="s">
        <v>65</v>
      </c>
      <c r="I953" s="10" t="s">
        <v>16</v>
      </c>
      <c r="J953" s="10" t="s">
        <v>925</v>
      </c>
      <c r="K953" s="10" t="s">
        <v>926</v>
      </c>
      <c r="L953" s="10" t="s">
        <v>67</v>
      </c>
    </row>
    <row r="954" spans="1:12" x14ac:dyDescent="0.25">
      <c r="A954">
        <v>246</v>
      </c>
      <c r="B954" s="10" t="s">
        <v>1030</v>
      </c>
      <c r="C954" s="10" t="s">
        <v>120</v>
      </c>
      <c r="D954" s="10" t="s">
        <v>241</v>
      </c>
      <c r="E954" s="10" t="s">
        <v>242</v>
      </c>
      <c r="F954" s="10" t="s">
        <v>82</v>
      </c>
      <c r="G954" s="10" t="s">
        <v>83</v>
      </c>
      <c r="H954" s="10" t="s">
        <v>65</v>
      </c>
      <c r="I954" s="10" t="s">
        <v>16</v>
      </c>
      <c r="J954" s="10" t="s">
        <v>925</v>
      </c>
      <c r="K954" s="10" t="s">
        <v>926</v>
      </c>
      <c r="L954" s="10" t="s">
        <v>67</v>
      </c>
    </row>
    <row r="955" spans="1:12" x14ac:dyDescent="0.25">
      <c r="A955">
        <v>246</v>
      </c>
      <c r="B955" s="10" t="s">
        <v>1030</v>
      </c>
      <c r="C955" s="10" t="s">
        <v>120</v>
      </c>
      <c r="D955" s="10" t="s">
        <v>241</v>
      </c>
      <c r="E955" s="10" t="s">
        <v>242</v>
      </c>
      <c r="F955" s="10" t="s">
        <v>84</v>
      </c>
      <c r="G955" s="10" t="s">
        <v>83</v>
      </c>
      <c r="H955" s="10" t="s">
        <v>65</v>
      </c>
      <c r="I955" s="10" t="s">
        <v>16</v>
      </c>
      <c r="J955" s="10" t="s">
        <v>1039</v>
      </c>
      <c r="K955" s="10" t="s">
        <v>1040</v>
      </c>
      <c r="L955" s="10" t="s">
        <v>67</v>
      </c>
    </row>
    <row r="956" spans="1:12" x14ac:dyDescent="0.25">
      <c r="A956">
        <v>246</v>
      </c>
      <c r="B956" s="10" t="s">
        <v>1030</v>
      </c>
      <c r="C956" s="10" t="s">
        <v>120</v>
      </c>
      <c r="D956" s="10" t="s">
        <v>241</v>
      </c>
      <c r="E956" s="10" t="s">
        <v>242</v>
      </c>
      <c r="F956" s="10" t="s">
        <v>91</v>
      </c>
      <c r="G956" s="10" t="s">
        <v>86</v>
      </c>
      <c r="H956" s="10" t="s">
        <v>65</v>
      </c>
      <c r="I956" s="10" t="s">
        <v>18</v>
      </c>
      <c r="J956" s="10" t="s">
        <v>54</v>
      </c>
      <c r="K956" s="10" t="s">
        <v>54</v>
      </c>
      <c r="L956" s="10" t="s">
        <v>54</v>
      </c>
    </row>
    <row r="957" spans="1:12" x14ac:dyDescent="0.25">
      <c r="A957">
        <v>246</v>
      </c>
      <c r="B957" s="10" t="s">
        <v>1030</v>
      </c>
      <c r="C957" s="10" t="s">
        <v>120</v>
      </c>
      <c r="D957" s="10" t="s">
        <v>241</v>
      </c>
      <c r="E957" s="10" t="s">
        <v>242</v>
      </c>
      <c r="F957" s="10" t="s">
        <v>93</v>
      </c>
      <c r="G957" s="10" t="s">
        <v>94</v>
      </c>
      <c r="H957" s="10" t="s">
        <v>65</v>
      </c>
      <c r="I957" s="10" t="s">
        <v>16</v>
      </c>
      <c r="J957" s="10" t="s">
        <v>1039</v>
      </c>
      <c r="K957" s="10" t="s">
        <v>1040</v>
      </c>
      <c r="L957" s="10" t="s">
        <v>67</v>
      </c>
    </row>
    <row r="958" spans="1:12" x14ac:dyDescent="0.25">
      <c r="A958">
        <v>246</v>
      </c>
      <c r="B958" s="10" t="s">
        <v>1030</v>
      </c>
      <c r="C958" s="10" t="s">
        <v>120</v>
      </c>
      <c r="D958" s="10" t="s">
        <v>241</v>
      </c>
      <c r="E958" s="10" t="s">
        <v>242</v>
      </c>
      <c r="F958" s="10" t="s">
        <v>95</v>
      </c>
      <c r="G958" s="10" t="s">
        <v>94</v>
      </c>
      <c r="H958" s="10" t="s">
        <v>65</v>
      </c>
      <c r="I958" s="10" t="s">
        <v>16</v>
      </c>
      <c r="J958" s="10" t="s">
        <v>1039</v>
      </c>
      <c r="K958" s="10" t="s">
        <v>1040</v>
      </c>
      <c r="L958" s="10" t="s">
        <v>67</v>
      </c>
    </row>
    <row r="959" spans="1:12" x14ac:dyDescent="0.25">
      <c r="A959">
        <v>246</v>
      </c>
      <c r="B959" s="10" t="s">
        <v>1030</v>
      </c>
      <c r="C959" s="10" t="s">
        <v>120</v>
      </c>
      <c r="D959" s="10" t="s">
        <v>241</v>
      </c>
      <c r="E959" s="10" t="s">
        <v>242</v>
      </c>
      <c r="F959" s="10" t="s">
        <v>96</v>
      </c>
      <c r="G959" s="10" t="s">
        <v>94</v>
      </c>
      <c r="H959" s="10" t="s">
        <v>65</v>
      </c>
      <c r="I959" s="10" t="s">
        <v>16</v>
      </c>
      <c r="J959" s="10" t="s">
        <v>79</v>
      </c>
      <c r="K959" s="10" t="s">
        <v>1041</v>
      </c>
      <c r="L959" s="10" t="s">
        <v>67</v>
      </c>
    </row>
    <row r="960" spans="1:12" x14ac:dyDescent="0.25">
      <c r="A960">
        <v>246</v>
      </c>
      <c r="B960" s="10" t="s">
        <v>1030</v>
      </c>
      <c r="C960" s="10" t="s">
        <v>120</v>
      </c>
      <c r="D960" s="10" t="s">
        <v>241</v>
      </c>
      <c r="E960" s="10" t="s">
        <v>242</v>
      </c>
      <c r="F960" s="10" t="s">
        <v>97</v>
      </c>
      <c r="G960" s="10" t="s">
        <v>98</v>
      </c>
      <c r="H960" s="10" t="s">
        <v>65</v>
      </c>
      <c r="I960" s="10" t="s">
        <v>16</v>
      </c>
      <c r="J960" s="10" t="s">
        <v>1042</v>
      </c>
      <c r="K960" s="10" t="s">
        <v>1040</v>
      </c>
      <c r="L960" s="10" t="s">
        <v>67</v>
      </c>
    </row>
    <row r="961" spans="1:12" x14ac:dyDescent="0.25">
      <c r="A961">
        <v>246</v>
      </c>
      <c r="B961" s="10" t="s">
        <v>1030</v>
      </c>
      <c r="C961" s="10" t="s">
        <v>120</v>
      </c>
      <c r="D961" s="10" t="s">
        <v>241</v>
      </c>
      <c r="E961" s="10" t="s">
        <v>242</v>
      </c>
      <c r="F961" s="10" t="s">
        <v>101</v>
      </c>
      <c r="G961" s="10" t="s">
        <v>102</v>
      </c>
      <c r="H961" s="10" t="s">
        <v>65</v>
      </c>
      <c r="I961" s="10" t="s">
        <v>18</v>
      </c>
      <c r="J961" s="10" t="s">
        <v>54</v>
      </c>
      <c r="K961" s="10" t="s">
        <v>54</v>
      </c>
      <c r="L961" s="10" t="s">
        <v>54</v>
      </c>
    </row>
    <row r="962" spans="1:12" x14ac:dyDescent="0.25">
      <c r="A962">
        <v>246</v>
      </c>
      <c r="B962" s="10" t="s">
        <v>1030</v>
      </c>
      <c r="C962" s="10" t="s">
        <v>120</v>
      </c>
      <c r="D962" s="10" t="s">
        <v>241</v>
      </c>
      <c r="E962" s="10" t="s">
        <v>242</v>
      </c>
      <c r="F962" s="10" t="s">
        <v>103</v>
      </c>
      <c r="G962" s="10" t="s">
        <v>102</v>
      </c>
      <c r="H962" s="10" t="s">
        <v>65</v>
      </c>
      <c r="I962" s="10" t="s">
        <v>16</v>
      </c>
      <c r="J962" s="10" t="s">
        <v>1039</v>
      </c>
      <c r="K962" s="10" t="s">
        <v>1040</v>
      </c>
      <c r="L962" s="10" t="s">
        <v>67</v>
      </c>
    </row>
    <row r="963" spans="1:12" x14ac:dyDescent="0.25">
      <c r="A963">
        <v>246</v>
      </c>
      <c r="B963" s="10" t="s">
        <v>1030</v>
      </c>
      <c r="C963" s="10" t="s">
        <v>120</v>
      </c>
      <c r="D963" s="10" t="s">
        <v>241</v>
      </c>
      <c r="E963" s="10" t="s">
        <v>242</v>
      </c>
      <c r="F963" s="10" t="s">
        <v>104</v>
      </c>
      <c r="G963" s="10" t="s">
        <v>105</v>
      </c>
      <c r="H963" s="10" t="s">
        <v>65</v>
      </c>
      <c r="I963" s="10" t="s">
        <v>16</v>
      </c>
      <c r="J963" s="10" t="s">
        <v>1039</v>
      </c>
      <c r="K963" s="10" t="s">
        <v>1040</v>
      </c>
      <c r="L963" s="10" t="s">
        <v>67</v>
      </c>
    </row>
    <row r="964" spans="1:12" x14ac:dyDescent="0.25">
      <c r="A964">
        <v>246</v>
      </c>
      <c r="B964" s="10" t="s">
        <v>1030</v>
      </c>
      <c r="C964" s="10" t="s">
        <v>120</v>
      </c>
      <c r="D964" s="10" t="s">
        <v>241</v>
      </c>
      <c r="E964" s="10" t="s">
        <v>242</v>
      </c>
      <c r="F964" s="10" t="s">
        <v>106</v>
      </c>
      <c r="G964" s="10" t="s">
        <v>105</v>
      </c>
      <c r="H964" s="10" t="s">
        <v>65</v>
      </c>
      <c r="I964" s="10" t="s">
        <v>16</v>
      </c>
      <c r="J964" s="10" t="s">
        <v>1042</v>
      </c>
      <c r="K964" s="10" t="s">
        <v>1040</v>
      </c>
      <c r="L964" s="10" t="s">
        <v>67</v>
      </c>
    </row>
    <row r="965" spans="1:12" x14ac:dyDescent="0.25">
      <c r="A965">
        <v>246</v>
      </c>
      <c r="B965" s="10" t="s">
        <v>1030</v>
      </c>
      <c r="C965" s="10" t="s">
        <v>120</v>
      </c>
      <c r="D965" s="10" t="s">
        <v>241</v>
      </c>
      <c r="E965" s="10" t="s">
        <v>242</v>
      </c>
      <c r="F965" s="10" t="s">
        <v>107</v>
      </c>
      <c r="G965" s="10" t="s">
        <v>105</v>
      </c>
      <c r="H965" s="10" t="s">
        <v>65</v>
      </c>
      <c r="I965" s="10" t="s">
        <v>16</v>
      </c>
      <c r="J965" s="10" t="s">
        <v>1043</v>
      </c>
      <c r="K965" s="10" t="s">
        <v>1040</v>
      </c>
      <c r="L965" s="10" t="s">
        <v>67</v>
      </c>
    </row>
    <row r="966" spans="1:12" x14ac:dyDescent="0.25">
      <c r="A966">
        <v>246</v>
      </c>
      <c r="B966" s="10" t="s">
        <v>1030</v>
      </c>
      <c r="C966" s="10" t="s">
        <v>120</v>
      </c>
      <c r="D966" s="10" t="s">
        <v>241</v>
      </c>
      <c r="E966" s="10" t="s">
        <v>242</v>
      </c>
      <c r="F966" s="10" t="s">
        <v>108</v>
      </c>
      <c r="G966" s="10" t="s">
        <v>105</v>
      </c>
      <c r="H966" s="10" t="s">
        <v>65</v>
      </c>
      <c r="I966" s="10" t="s">
        <v>24</v>
      </c>
      <c r="J966" s="10" t="s">
        <v>323</v>
      </c>
      <c r="K966" s="10" t="s">
        <v>1040</v>
      </c>
      <c r="L966" s="10" t="s">
        <v>67</v>
      </c>
    </row>
    <row r="967" spans="1:12" x14ac:dyDescent="0.25">
      <c r="A967">
        <v>246</v>
      </c>
      <c r="B967" s="10" t="s">
        <v>1030</v>
      </c>
      <c r="C967" s="10" t="s">
        <v>120</v>
      </c>
      <c r="D967" s="10" t="s">
        <v>241</v>
      </c>
      <c r="E967" s="10" t="s">
        <v>242</v>
      </c>
      <c r="F967" s="10" t="s">
        <v>109</v>
      </c>
      <c r="G967" s="10" t="s">
        <v>105</v>
      </c>
      <c r="H967" s="10" t="s">
        <v>65</v>
      </c>
      <c r="I967" s="10" t="s">
        <v>16</v>
      </c>
      <c r="J967" s="10" t="s">
        <v>1039</v>
      </c>
      <c r="K967" s="10" t="s">
        <v>1040</v>
      </c>
      <c r="L967" s="10" t="s">
        <v>67</v>
      </c>
    </row>
    <row r="968" spans="1:12" x14ac:dyDescent="0.25">
      <c r="A968">
        <v>246</v>
      </c>
      <c r="B968" s="10" t="s">
        <v>1030</v>
      </c>
      <c r="C968" s="10" t="s">
        <v>120</v>
      </c>
      <c r="D968" s="10" t="s">
        <v>241</v>
      </c>
      <c r="E968" s="10" t="s">
        <v>242</v>
      </c>
      <c r="F968" s="10" t="s">
        <v>110</v>
      </c>
      <c r="G968" s="10" t="s">
        <v>105</v>
      </c>
      <c r="H968" s="10" t="s">
        <v>65</v>
      </c>
      <c r="I968" s="10" t="s">
        <v>16</v>
      </c>
      <c r="J968" s="10" t="s">
        <v>79</v>
      </c>
      <c r="K968" s="10" t="s">
        <v>1040</v>
      </c>
      <c r="L968" s="10" t="s">
        <v>67</v>
      </c>
    </row>
    <row r="969" spans="1:12" x14ac:dyDescent="0.25">
      <c r="A969">
        <v>246</v>
      </c>
      <c r="B969" s="10" t="s">
        <v>1030</v>
      </c>
      <c r="C969" s="10" t="s">
        <v>120</v>
      </c>
      <c r="D969" s="10" t="s">
        <v>241</v>
      </c>
      <c r="E969" s="10" t="s">
        <v>242</v>
      </c>
      <c r="F969" s="10" t="s">
        <v>111</v>
      </c>
      <c r="G969" s="10" t="s">
        <v>105</v>
      </c>
      <c r="H969" s="10" t="s">
        <v>65</v>
      </c>
      <c r="I969" s="10" t="s">
        <v>16</v>
      </c>
      <c r="J969" s="10" t="s">
        <v>1039</v>
      </c>
      <c r="K969" s="10" t="s">
        <v>1040</v>
      </c>
      <c r="L969" s="10" t="s">
        <v>67</v>
      </c>
    </row>
    <row r="970" spans="1:12" x14ac:dyDescent="0.25">
      <c r="A970">
        <v>246</v>
      </c>
      <c r="B970" s="10" t="s">
        <v>1030</v>
      </c>
      <c r="C970" s="10" t="s">
        <v>120</v>
      </c>
      <c r="D970" s="10" t="s">
        <v>241</v>
      </c>
      <c r="E970" s="10" t="s">
        <v>242</v>
      </c>
      <c r="F970" s="10" t="s">
        <v>112</v>
      </c>
      <c r="G970" s="10" t="s">
        <v>105</v>
      </c>
      <c r="H970" s="10" t="s">
        <v>65</v>
      </c>
      <c r="I970" s="10" t="s">
        <v>16</v>
      </c>
      <c r="J970" s="10" t="s">
        <v>1039</v>
      </c>
      <c r="K970" s="10" t="s">
        <v>1040</v>
      </c>
      <c r="L970" s="10" t="s">
        <v>67</v>
      </c>
    </row>
    <row r="971" spans="1:12" x14ac:dyDescent="0.25">
      <c r="A971">
        <v>246</v>
      </c>
      <c r="B971" s="10" t="s">
        <v>1030</v>
      </c>
      <c r="C971" s="10" t="s">
        <v>120</v>
      </c>
      <c r="D971" s="10" t="s">
        <v>241</v>
      </c>
      <c r="E971" s="10" t="s">
        <v>242</v>
      </c>
      <c r="F971" s="10" t="s">
        <v>113</v>
      </c>
      <c r="G971" s="10" t="s">
        <v>105</v>
      </c>
      <c r="H971" s="10" t="s">
        <v>65</v>
      </c>
      <c r="I971" s="10" t="s">
        <v>16</v>
      </c>
      <c r="J971" s="10" t="s">
        <v>1039</v>
      </c>
      <c r="K971" s="10" t="s">
        <v>1040</v>
      </c>
      <c r="L971" s="10" t="s">
        <v>67</v>
      </c>
    </row>
    <row r="972" spans="1:12" x14ac:dyDescent="0.25">
      <c r="A972">
        <v>246</v>
      </c>
      <c r="B972" s="10" t="s">
        <v>1030</v>
      </c>
      <c r="C972" s="10" t="s">
        <v>120</v>
      </c>
      <c r="D972" s="10" t="s">
        <v>241</v>
      </c>
      <c r="E972" s="10" t="s">
        <v>242</v>
      </c>
      <c r="F972" s="10" t="s">
        <v>121</v>
      </c>
      <c r="G972" s="10" t="s">
        <v>68</v>
      </c>
      <c r="H972" s="10" t="s">
        <v>65</v>
      </c>
      <c r="I972" s="10" t="s">
        <v>16</v>
      </c>
      <c r="J972" s="10" t="s">
        <v>1031</v>
      </c>
      <c r="K972" s="10" t="s">
        <v>1032</v>
      </c>
      <c r="L972" s="10" t="s">
        <v>67</v>
      </c>
    </row>
    <row r="973" spans="1:12" x14ac:dyDescent="0.25">
      <c r="A973">
        <v>246</v>
      </c>
      <c r="B973" s="10" t="s">
        <v>1030</v>
      </c>
      <c r="C973" s="10" t="s">
        <v>120</v>
      </c>
      <c r="D973" s="10" t="s">
        <v>241</v>
      </c>
      <c r="E973" s="10" t="s">
        <v>242</v>
      </c>
      <c r="F973" s="10" t="s">
        <v>124</v>
      </c>
      <c r="G973" s="10" t="s">
        <v>125</v>
      </c>
      <c r="H973" s="10" t="s">
        <v>72</v>
      </c>
      <c r="I973" s="10" t="s">
        <v>18</v>
      </c>
      <c r="J973" s="10" t="s">
        <v>54</v>
      </c>
      <c r="K973" s="10" t="s">
        <v>54</v>
      </c>
      <c r="L973" s="10" t="s">
        <v>54</v>
      </c>
    </row>
    <row r="974" spans="1:12" x14ac:dyDescent="0.25">
      <c r="A974">
        <v>152</v>
      </c>
      <c r="B974" s="10" t="s">
        <v>361</v>
      </c>
      <c r="C974" s="10" t="s">
        <v>120</v>
      </c>
      <c r="D974" s="10" t="s">
        <v>118</v>
      </c>
      <c r="E974" s="10" t="s">
        <v>119</v>
      </c>
      <c r="F974" s="10" t="s">
        <v>69</v>
      </c>
      <c r="G974" s="10" t="s">
        <v>68</v>
      </c>
      <c r="H974" s="10" t="s">
        <v>65</v>
      </c>
      <c r="I974" s="10" t="s">
        <v>16</v>
      </c>
      <c r="J974" s="10" t="s">
        <v>362</v>
      </c>
      <c r="K974" s="10" t="s">
        <v>363</v>
      </c>
      <c r="L974" s="10" t="s">
        <v>54</v>
      </c>
    </row>
    <row r="975" spans="1:12" x14ac:dyDescent="0.25">
      <c r="A975">
        <v>152</v>
      </c>
      <c r="B975" s="10" t="s">
        <v>361</v>
      </c>
      <c r="C975" s="10" t="s">
        <v>120</v>
      </c>
      <c r="D975" s="10" t="s">
        <v>118</v>
      </c>
      <c r="E975" s="10" t="s">
        <v>119</v>
      </c>
      <c r="F975" s="10" t="s">
        <v>70</v>
      </c>
      <c r="G975" s="10" t="s">
        <v>68</v>
      </c>
      <c r="H975" s="10" t="s">
        <v>65</v>
      </c>
      <c r="I975" s="10" t="s">
        <v>16</v>
      </c>
      <c r="J975" s="10" t="s">
        <v>364</v>
      </c>
      <c r="K975" s="10" t="s">
        <v>365</v>
      </c>
      <c r="L975" s="10" t="s">
        <v>67</v>
      </c>
    </row>
    <row r="976" spans="1:12" x14ac:dyDescent="0.25">
      <c r="A976">
        <v>152</v>
      </c>
      <c r="B976" s="10" t="s">
        <v>361</v>
      </c>
      <c r="C976" s="10" t="s">
        <v>120</v>
      </c>
      <c r="D976" s="10" t="s">
        <v>118</v>
      </c>
      <c r="E976" s="10" t="s">
        <v>119</v>
      </c>
      <c r="F976" s="10" t="s">
        <v>71</v>
      </c>
      <c r="G976" s="10" t="s">
        <v>68</v>
      </c>
      <c r="H976" s="10" t="s">
        <v>72</v>
      </c>
      <c r="I976" s="10" t="s">
        <v>16</v>
      </c>
      <c r="J976" s="10" t="s">
        <v>366</v>
      </c>
      <c r="K976" s="10" t="s">
        <v>367</v>
      </c>
      <c r="L976" s="10" t="s">
        <v>54</v>
      </c>
    </row>
    <row r="977" spans="1:12" x14ac:dyDescent="0.25">
      <c r="A977">
        <v>152</v>
      </c>
      <c r="B977" s="10" t="s">
        <v>361</v>
      </c>
      <c r="C977" s="10" t="s">
        <v>120</v>
      </c>
      <c r="D977" s="10" t="s">
        <v>118</v>
      </c>
      <c r="E977" s="10" t="s">
        <v>119</v>
      </c>
      <c r="F977" s="10" t="s">
        <v>73</v>
      </c>
      <c r="G977" s="10" t="s">
        <v>68</v>
      </c>
      <c r="H977" s="10" t="s">
        <v>65</v>
      </c>
      <c r="I977" s="10" t="s">
        <v>16</v>
      </c>
      <c r="J977" s="10" t="s">
        <v>368</v>
      </c>
      <c r="K977" s="10" t="s">
        <v>369</v>
      </c>
      <c r="L977" s="10" t="s">
        <v>67</v>
      </c>
    </row>
    <row r="978" spans="1:12" x14ac:dyDescent="0.25">
      <c r="A978">
        <v>152</v>
      </c>
      <c r="B978" s="10" t="s">
        <v>361</v>
      </c>
      <c r="C978" s="10" t="s">
        <v>120</v>
      </c>
      <c r="D978" s="10" t="s">
        <v>118</v>
      </c>
      <c r="E978" s="10" t="s">
        <v>119</v>
      </c>
      <c r="F978" s="10" t="s">
        <v>74</v>
      </c>
      <c r="G978" s="10" t="s">
        <v>68</v>
      </c>
      <c r="H978" s="10" t="s">
        <v>65</v>
      </c>
      <c r="I978" s="10" t="s">
        <v>16</v>
      </c>
      <c r="J978" s="10" t="s">
        <v>370</v>
      </c>
      <c r="K978" s="10" t="s">
        <v>371</v>
      </c>
      <c r="L978" s="10" t="s">
        <v>67</v>
      </c>
    </row>
    <row r="979" spans="1:12" x14ac:dyDescent="0.25">
      <c r="A979">
        <v>152</v>
      </c>
      <c r="B979" s="10" t="s">
        <v>361</v>
      </c>
      <c r="C979" s="10" t="s">
        <v>120</v>
      </c>
      <c r="D979" s="10" t="s">
        <v>118</v>
      </c>
      <c r="E979" s="10" t="s">
        <v>119</v>
      </c>
      <c r="F979" s="10" t="s">
        <v>75</v>
      </c>
      <c r="G979" s="10" t="s">
        <v>68</v>
      </c>
      <c r="H979" s="10" t="s">
        <v>72</v>
      </c>
      <c r="I979" s="10" t="s">
        <v>16</v>
      </c>
      <c r="J979" s="10" t="s">
        <v>372</v>
      </c>
      <c r="K979" s="10" t="s">
        <v>373</v>
      </c>
      <c r="L979" s="10" t="s">
        <v>67</v>
      </c>
    </row>
    <row r="980" spans="1:12" x14ac:dyDescent="0.25">
      <c r="A980">
        <v>152</v>
      </c>
      <c r="B980" s="10" t="s">
        <v>361</v>
      </c>
      <c r="C980" s="10" t="s">
        <v>120</v>
      </c>
      <c r="D980" s="10" t="s">
        <v>118</v>
      </c>
      <c r="E980" s="10" t="s">
        <v>119</v>
      </c>
      <c r="F980" s="10" t="s">
        <v>76</v>
      </c>
      <c r="G980" s="10" t="s">
        <v>77</v>
      </c>
      <c r="H980" s="10" t="s">
        <v>65</v>
      </c>
      <c r="I980" s="10" t="s">
        <v>16</v>
      </c>
      <c r="J980" s="10" t="s">
        <v>374</v>
      </c>
      <c r="K980" s="10" t="s">
        <v>375</v>
      </c>
      <c r="L980" s="10" t="s">
        <v>67</v>
      </c>
    </row>
    <row r="981" spans="1:12" x14ac:dyDescent="0.25">
      <c r="A981">
        <v>152</v>
      </c>
      <c r="B981" s="10" t="s">
        <v>361</v>
      </c>
      <c r="C981" s="10" t="s">
        <v>120</v>
      </c>
      <c r="D981" s="10" t="s">
        <v>118</v>
      </c>
      <c r="E981" s="10" t="s">
        <v>119</v>
      </c>
      <c r="F981" s="10" t="s">
        <v>78</v>
      </c>
      <c r="G981" s="10" t="s">
        <v>77</v>
      </c>
      <c r="H981" s="10" t="s">
        <v>65</v>
      </c>
      <c r="I981" s="10" t="s">
        <v>16</v>
      </c>
      <c r="J981" s="10" t="s">
        <v>79</v>
      </c>
      <c r="K981" s="10" t="s">
        <v>376</v>
      </c>
      <c r="L981" s="10" t="s">
        <v>67</v>
      </c>
    </row>
    <row r="982" spans="1:12" x14ac:dyDescent="0.25">
      <c r="A982">
        <v>152</v>
      </c>
      <c r="B982" s="10" t="s">
        <v>361</v>
      </c>
      <c r="C982" s="10" t="s">
        <v>120</v>
      </c>
      <c r="D982" s="10" t="s">
        <v>118</v>
      </c>
      <c r="E982" s="10" t="s">
        <v>119</v>
      </c>
      <c r="F982" s="10" t="s">
        <v>80</v>
      </c>
      <c r="G982" s="10" t="s">
        <v>77</v>
      </c>
      <c r="H982" s="10" t="s">
        <v>65</v>
      </c>
      <c r="I982" s="10" t="s">
        <v>16</v>
      </c>
      <c r="J982" s="10" t="s">
        <v>79</v>
      </c>
      <c r="K982" s="10" t="s">
        <v>377</v>
      </c>
      <c r="L982" s="10" t="s">
        <v>67</v>
      </c>
    </row>
    <row r="983" spans="1:12" x14ac:dyDescent="0.25">
      <c r="A983">
        <v>152</v>
      </c>
      <c r="B983" s="10" t="s">
        <v>361</v>
      </c>
      <c r="C983" s="10" t="s">
        <v>120</v>
      </c>
      <c r="D983" s="10" t="s">
        <v>118</v>
      </c>
      <c r="E983" s="10" t="s">
        <v>119</v>
      </c>
      <c r="F983" s="10" t="s">
        <v>81</v>
      </c>
      <c r="G983" s="10" t="s">
        <v>77</v>
      </c>
      <c r="H983" s="10" t="s">
        <v>65</v>
      </c>
      <c r="I983" s="10" t="s">
        <v>16</v>
      </c>
      <c r="J983" s="10" t="s">
        <v>362</v>
      </c>
      <c r="K983" s="10" t="s">
        <v>378</v>
      </c>
      <c r="L983" s="10" t="s">
        <v>67</v>
      </c>
    </row>
    <row r="984" spans="1:12" x14ac:dyDescent="0.25">
      <c r="A984">
        <v>152</v>
      </c>
      <c r="B984" s="10" t="s">
        <v>361</v>
      </c>
      <c r="C984" s="10" t="s">
        <v>120</v>
      </c>
      <c r="D984" s="10" t="s">
        <v>118</v>
      </c>
      <c r="E984" s="10" t="s">
        <v>119</v>
      </c>
      <c r="F984" s="10" t="s">
        <v>82</v>
      </c>
      <c r="G984" s="10" t="s">
        <v>83</v>
      </c>
      <c r="H984" s="10" t="s">
        <v>65</v>
      </c>
      <c r="I984" s="10" t="s">
        <v>16</v>
      </c>
      <c r="J984" s="10" t="s">
        <v>362</v>
      </c>
      <c r="K984" s="10" t="s">
        <v>378</v>
      </c>
      <c r="L984" s="10" t="s">
        <v>67</v>
      </c>
    </row>
    <row r="985" spans="1:12" x14ac:dyDescent="0.25">
      <c r="A985">
        <v>152</v>
      </c>
      <c r="B985" s="10" t="s">
        <v>361</v>
      </c>
      <c r="C985" s="10" t="s">
        <v>120</v>
      </c>
      <c r="D985" s="10" t="s">
        <v>118</v>
      </c>
      <c r="E985" s="10" t="s">
        <v>119</v>
      </c>
      <c r="F985" s="10" t="s">
        <v>84</v>
      </c>
      <c r="G985" s="10" t="s">
        <v>83</v>
      </c>
      <c r="H985" s="10" t="s">
        <v>65</v>
      </c>
      <c r="I985" s="10" t="s">
        <v>16</v>
      </c>
      <c r="J985" s="10" t="s">
        <v>362</v>
      </c>
      <c r="K985" s="10" t="s">
        <v>378</v>
      </c>
      <c r="L985" s="10" t="s">
        <v>67</v>
      </c>
    </row>
    <row r="986" spans="1:12" x14ac:dyDescent="0.25">
      <c r="A986">
        <v>152</v>
      </c>
      <c r="B986" s="10" t="s">
        <v>361</v>
      </c>
      <c r="C986" s="10" t="s">
        <v>120</v>
      </c>
      <c r="D986" s="10" t="s">
        <v>118</v>
      </c>
      <c r="E986" s="10" t="s">
        <v>119</v>
      </c>
      <c r="F986" s="10" t="s">
        <v>91</v>
      </c>
      <c r="G986" s="10" t="s">
        <v>86</v>
      </c>
      <c r="H986" s="10" t="s">
        <v>65</v>
      </c>
      <c r="I986" s="10" t="s">
        <v>16</v>
      </c>
      <c r="J986" s="10" t="s">
        <v>79</v>
      </c>
      <c r="K986" s="10" t="s">
        <v>343</v>
      </c>
      <c r="L986" s="10" t="s">
        <v>67</v>
      </c>
    </row>
    <row r="987" spans="1:12" x14ac:dyDescent="0.25">
      <c r="A987">
        <v>152</v>
      </c>
      <c r="B987" s="10" t="s">
        <v>361</v>
      </c>
      <c r="C987" s="10" t="s">
        <v>120</v>
      </c>
      <c r="D987" s="10" t="s">
        <v>118</v>
      </c>
      <c r="E987" s="10" t="s">
        <v>119</v>
      </c>
      <c r="F987" s="10" t="s">
        <v>93</v>
      </c>
      <c r="G987" s="10" t="s">
        <v>94</v>
      </c>
      <c r="H987" s="10" t="s">
        <v>65</v>
      </c>
      <c r="I987" s="10" t="s">
        <v>16</v>
      </c>
      <c r="J987" s="10" t="s">
        <v>379</v>
      </c>
      <c r="K987" s="10" t="s">
        <v>380</v>
      </c>
      <c r="L987" s="10" t="s">
        <v>67</v>
      </c>
    </row>
    <row r="988" spans="1:12" x14ac:dyDescent="0.25">
      <c r="A988">
        <v>152</v>
      </c>
      <c r="B988" s="10" t="s">
        <v>361</v>
      </c>
      <c r="C988" s="10" t="s">
        <v>120</v>
      </c>
      <c r="D988" s="10" t="s">
        <v>118</v>
      </c>
      <c r="E988" s="10" t="s">
        <v>119</v>
      </c>
      <c r="F988" s="10" t="s">
        <v>95</v>
      </c>
      <c r="G988" s="10" t="s">
        <v>94</v>
      </c>
      <c r="H988" s="10" t="s">
        <v>65</v>
      </c>
      <c r="I988" s="10" t="s">
        <v>16</v>
      </c>
      <c r="J988" s="10" t="s">
        <v>379</v>
      </c>
      <c r="K988" s="10" t="s">
        <v>380</v>
      </c>
      <c r="L988" s="10" t="s">
        <v>67</v>
      </c>
    </row>
    <row r="989" spans="1:12" x14ac:dyDescent="0.25">
      <c r="A989">
        <v>152</v>
      </c>
      <c r="B989" s="10" t="s">
        <v>361</v>
      </c>
      <c r="C989" s="10" t="s">
        <v>120</v>
      </c>
      <c r="D989" s="10" t="s">
        <v>118</v>
      </c>
      <c r="E989" s="10" t="s">
        <v>119</v>
      </c>
      <c r="F989" s="10" t="s">
        <v>96</v>
      </c>
      <c r="G989" s="10" t="s">
        <v>94</v>
      </c>
      <c r="H989" s="10" t="s">
        <v>65</v>
      </c>
      <c r="I989" s="10" t="s">
        <v>16</v>
      </c>
      <c r="J989" s="10" t="s">
        <v>79</v>
      </c>
      <c r="K989" s="10" t="s">
        <v>381</v>
      </c>
      <c r="L989" s="10" t="s">
        <v>67</v>
      </c>
    </row>
    <row r="990" spans="1:12" x14ac:dyDescent="0.25">
      <c r="A990">
        <v>152</v>
      </c>
      <c r="B990" s="10" t="s">
        <v>361</v>
      </c>
      <c r="C990" s="10" t="s">
        <v>120</v>
      </c>
      <c r="D990" s="10" t="s">
        <v>118</v>
      </c>
      <c r="E990" s="10" t="s">
        <v>119</v>
      </c>
      <c r="F990" s="10" t="s">
        <v>97</v>
      </c>
      <c r="G990" s="10" t="s">
        <v>98</v>
      </c>
      <c r="H990" s="10" t="s">
        <v>65</v>
      </c>
      <c r="I990" s="10" t="s">
        <v>16</v>
      </c>
      <c r="J990" s="10" t="s">
        <v>382</v>
      </c>
      <c r="K990" s="10" t="s">
        <v>360</v>
      </c>
      <c r="L990" s="10" t="s">
        <v>67</v>
      </c>
    </row>
    <row r="991" spans="1:12" x14ac:dyDescent="0.25">
      <c r="A991">
        <v>152</v>
      </c>
      <c r="B991" s="10" t="s">
        <v>361</v>
      </c>
      <c r="C991" s="10" t="s">
        <v>120</v>
      </c>
      <c r="D991" s="10" t="s">
        <v>118</v>
      </c>
      <c r="E991" s="10" t="s">
        <v>119</v>
      </c>
      <c r="F991" s="10" t="s">
        <v>101</v>
      </c>
      <c r="G991" s="10" t="s">
        <v>102</v>
      </c>
      <c r="H991" s="10" t="s">
        <v>65</v>
      </c>
      <c r="I991" s="10" t="s">
        <v>16</v>
      </c>
      <c r="J991" s="10" t="s">
        <v>79</v>
      </c>
      <c r="K991" s="10" t="s">
        <v>383</v>
      </c>
      <c r="L991" s="10" t="s">
        <v>67</v>
      </c>
    </row>
    <row r="992" spans="1:12" x14ac:dyDescent="0.25">
      <c r="A992">
        <v>152</v>
      </c>
      <c r="B992" s="10" t="s">
        <v>361</v>
      </c>
      <c r="C992" s="10" t="s">
        <v>120</v>
      </c>
      <c r="D992" s="10" t="s">
        <v>118</v>
      </c>
      <c r="E992" s="10" t="s">
        <v>119</v>
      </c>
      <c r="F992" s="10" t="s">
        <v>103</v>
      </c>
      <c r="G992" s="10" t="s">
        <v>102</v>
      </c>
      <c r="H992" s="10" t="s">
        <v>65</v>
      </c>
      <c r="I992" s="10" t="s">
        <v>16</v>
      </c>
      <c r="J992" s="10" t="s">
        <v>384</v>
      </c>
      <c r="K992" s="10" t="s">
        <v>385</v>
      </c>
      <c r="L992" s="10" t="s">
        <v>67</v>
      </c>
    </row>
    <row r="993" spans="1:12" x14ac:dyDescent="0.25">
      <c r="A993">
        <v>152</v>
      </c>
      <c r="B993" s="10" t="s">
        <v>361</v>
      </c>
      <c r="C993" s="10" t="s">
        <v>120</v>
      </c>
      <c r="D993" s="10" t="s">
        <v>118</v>
      </c>
      <c r="E993" s="10" t="s">
        <v>119</v>
      </c>
      <c r="F993" s="10" t="s">
        <v>104</v>
      </c>
      <c r="G993" s="10" t="s">
        <v>105</v>
      </c>
      <c r="H993" s="10" t="s">
        <v>65</v>
      </c>
      <c r="I993" s="10" t="s">
        <v>16</v>
      </c>
      <c r="J993" s="10" t="s">
        <v>312</v>
      </c>
      <c r="K993" s="10" t="s">
        <v>313</v>
      </c>
      <c r="L993" s="10" t="s">
        <v>67</v>
      </c>
    </row>
    <row r="994" spans="1:12" x14ac:dyDescent="0.25">
      <c r="A994">
        <v>152</v>
      </c>
      <c r="B994" s="10" t="s">
        <v>361</v>
      </c>
      <c r="C994" s="10" t="s">
        <v>120</v>
      </c>
      <c r="D994" s="10" t="s">
        <v>118</v>
      </c>
      <c r="E994" s="10" t="s">
        <v>119</v>
      </c>
      <c r="F994" s="10" t="s">
        <v>106</v>
      </c>
      <c r="G994" s="10" t="s">
        <v>105</v>
      </c>
      <c r="H994" s="10" t="s">
        <v>65</v>
      </c>
      <c r="I994" s="10" t="s">
        <v>16</v>
      </c>
      <c r="J994" s="10" t="s">
        <v>382</v>
      </c>
      <c r="K994" s="10" t="s">
        <v>360</v>
      </c>
      <c r="L994" s="10" t="s">
        <v>67</v>
      </c>
    </row>
    <row r="995" spans="1:12" x14ac:dyDescent="0.25">
      <c r="A995">
        <v>152</v>
      </c>
      <c r="B995" s="10" t="s">
        <v>361</v>
      </c>
      <c r="C995" s="10" t="s">
        <v>120</v>
      </c>
      <c r="D995" s="10" t="s">
        <v>118</v>
      </c>
      <c r="E995" s="10" t="s">
        <v>119</v>
      </c>
      <c r="F995" s="10" t="s">
        <v>107</v>
      </c>
      <c r="G995" s="10" t="s">
        <v>105</v>
      </c>
      <c r="H995" s="10" t="s">
        <v>65</v>
      </c>
      <c r="I995" s="10" t="s">
        <v>16</v>
      </c>
      <c r="J995" s="10" t="s">
        <v>386</v>
      </c>
      <c r="K995" s="10" t="s">
        <v>360</v>
      </c>
      <c r="L995" s="10" t="s">
        <v>67</v>
      </c>
    </row>
    <row r="996" spans="1:12" x14ac:dyDescent="0.25">
      <c r="A996">
        <v>152</v>
      </c>
      <c r="B996" s="10" t="s">
        <v>361</v>
      </c>
      <c r="C996" s="10" t="s">
        <v>120</v>
      </c>
      <c r="D996" s="10" t="s">
        <v>118</v>
      </c>
      <c r="E996" s="10" t="s">
        <v>119</v>
      </c>
      <c r="F996" s="10" t="s">
        <v>108</v>
      </c>
      <c r="G996" s="10" t="s">
        <v>105</v>
      </c>
      <c r="H996" s="10" t="s">
        <v>65</v>
      </c>
      <c r="I996" s="10" t="s">
        <v>16</v>
      </c>
      <c r="J996" s="10" t="s">
        <v>387</v>
      </c>
      <c r="K996" s="10" t="s">
        <v>388</v>
      </c>
      <c r="L996" s="10" t="s">
        <v>67</v>
      </c>
    </row>
    <row r="997" spans="1:12" x14ac:dyDescent="0.25">
      <c r="A997">
        <v>152</v>
      </c>
      <c r="B997" s="10" t="s">
        <v>361</v>
      </c>
      <c r="C997" s="10" t="s">
        <v>120</v>
      </c>
      <c r="D997" s="10" t="s">
        <v>118</v>
      </c>
      <c r="E997" s="10" t="s">
        <v>119</v>
      </c>
      <c r="F997" s="10" t="s">
        <v>109</v>
      </c>
      <c r="G997" s="10" t="s">
        <v>105</v>
      </c>
      <c r="H997" s="10" t="s">
        <v>65</v>
      </c>
      <c r="I997" s="10" t="s">
        <v>16</v>
      </c>
      <c r="J997" s="10" t="s">
        <v>389</v>
      </c>
      <c r="K997" s="10" t="s">
        <v>390</v>
      </c>
      <c r="L997" s="10" t="s">
        <v>67</v>
      </c>
    </row>
    <row r="998" spans="1:12" x14ac:dyDescent="0.25">
      <c r="A998">
        <v>152</v>
      </c>
      <c r="B998" s="10" t="s">
        <v>361</v>
      </c>
      <c r="C998" s="10" t="s">
        <v>120</v>
      </c>
      <c r="D998" s="10" t="s">
        <v>118</v>
      </c>
      <c r="E998" s="10" t="s">
        <v>119</v>
      </c>
      <c r="F998" s="10" t="s">
        <v>110</v>
      </c>
      <c r="G998" s="10" t="s">
        <v>105</v>
      </c>
      <c r="H998" s="10" t="s">
        <v>65</v>
      </c>
      <c r="I998" s="10" t="s">
        <v>16</v>
      </c>
      <c r="J998" s="10" t="s">
        <v>79</v>
      </c>
      <c r="K998" s="10" t="s">
        <v>391</v>
      </c>
      <c r="L998" s="10" t="s">
        <v>67</v>
      </c>
    </row>
    <row r="999" spans="1:12" x14ac:dyDescent="0.25">
      <c r="A999">
        <v>152</v>
      </c>
      <c r="B999" s="10" t="s">
        <v>361</v>
      </c>
      <c r="C999" s="10" t="s">
        <v>120</v>
      </c>
      <c r="D999" s="10" t="s">
        <v>118</v>
      </c>
      <c r="E999" s="10" t="s">
        <v>119</v>
      </c>
      <c r="F999" s="10" t="s">
        <v>111</v>
      </c>
      <c r="G999" s="10" t="s">
        <v>105</v>
      </c>
      <c r="H999" s="10" t="s">
        <v>65</v>
      </c>
      <c r="I999" s="10" t="s">
        <v>16</v>
      </c>
      <c r="J999" s="10" t="s">
        <v>392</v>
      </c>
      <c r="K999" s="10" t="s">
        <v>393</v>
      </c>
      <c r="L999" s="10" t="s">
        <v>67</v>
      </c>
    </row>
    <row r="1000" spans="1:12" x14ac:dyDescent="0.25">
      <c r="A1000">
        <v>152</v>
      </c>
      <c r="B1000" s="10" t="s">
        <v>361</v>
      </c>
      <c r="C1000" s="10" t="s">
        <v>120</v>
      </c>
      <c r="D1000" s="10" t="s">
        <v>118</v>
      </c>
      <c r="E1000" s="10" t="s">
        <v>119</v>
      </c>
      <c r="F1000" s="10" t="s">
        <v>112</v>
      </c>
      <c r="G1000" s="10" t="s">
        <v>105</v>
      </c>
      <c r="H1000" s="10" t="s">
        <v>65</v>
      </c>
      <c r="I1000" s="10" t="s">
        <v>16</v>
      </c>
      <c r="J1000" s="10" t="s">
        <v>314</v>
      </c>
      <c r="K1000" s="10" t="s">
        <v>315</v>
      </c>
      <c r="L1000" s="10" t="s">
        <v>67</v>
      </c>
    </row>
    <row r="1001" spans="1:12" x14ac:dyDescent="0.25">
      <c r="A1001">
        <v>152</v>
      </c>
      <c r="B1001" s="10" t="s">
        <v>361</v>
      </c>
      <c r="C1001" s="10" t="s">
        <v>120</v>
      </c>
      <c r="D1001" s="10" t="s">
        <v>118</v>
      </c>
      <c r="E1001" s="10" t="s">
        <v>119</v>
      </c>
      <c r="F1001" s="10" t="s">
        <v>113</v>
      </c>
      <c r="G1001" s="10" t="s">
        <v>105</v>
      </c>
      <c r="H1001" s="10" t="s">
        <v>65</v>
      </c>
      <c r="I1001" s="10" t="s">
        <v>16</v>
      </c>
      <c r="J1001" s="10" t="s">
        <v>332</v>
      </c>
      <c r="K1001" s="10" t="s">
        <v>333</v>
      </c>
      <c r="L1001" s="10" t="s">
        <v>67</v>
      </c>
    </row>
    <row r="1002" spans="1:12" x14ac:dyDescent="0.25">
      <c r="A1002">
        <v>152</v>
      </c>
      <c r="B1002" s="10" t="s">
        <v>361</v>
      </c>
      <c r="C1002" s="10" t="s">
        <v>120</v>
      </c>
      <c r="D1002" s="10" t="s">
        <v>118</v>
      </c>
      <c r="E1002" s="10" t="s">
        <v>119</v>
      </c>
      <c r="F1002" s="10" t="s">
        <v>121</v>
      </c>
      <c r="G1002" s="10" t="s">
        <v>68</v>
      </c>
      <c r="H1002" s="10" t="s">
        <v>65</v>
      </c>
      <c r="I1002" s="10" t="s">
        <v>16</v>
      </c>
      <c r="J1002" s="10" t="s">
        <v>319</v>
      </c>
      <c r="K1002" s="10" t="s">
        <v>320</v>
      </c>
      <c r="L1002" s="10" t="s">
        <v>67</v>
      </c>
    </row>
    <row r="1003" spans="1:12" x14ac:dyDescent="0.25">
      <c r="A1003">
        <v>152</v>
      </c>
      <c r="B1003" s="10" t="s">
        <v>361</v>
      </c>
      <c r="C1003" s="10" t="s">
        <v>120</v>
      </c>
      <c r="D1003" s="10" t="s">
        <v>118</v>
      </c>
      <c r="E1003" s="10" t="s">
        <v>119</v>
      </c>
      <c r="F1003" s="10" t="s">
        <v>124</v>
      </c>
      <c r="G1003" s="10" t="s">
        <v>125</v>
      </c>
      <c r="H1003" s="10" t="s">
        <v>72</v>
      </c>
      <c r="I1003" s="10" t="s">
        <v>18</v>
      </c>
      <c r="J1003" s="10" t="s">
        <v>54</v>
      </c>
      <c r="K1003" s="10" t="s">
        <v>54</v>
      </c>
      <c r="L1003" s="10" t="s">
        <v>54</v>
      </c>
    </row>
    <row r="1004" spans="1:12" x14ac:dyDescent="0.25">
      <c r="A1004">
        <v>155</v>
      </c>
      <c r="B1004" s="10" t="s">
        <v>776</v>
      </c>
      <c r="C1004" s="10" t="s">
        <v>120</v>
      </c>
      <c r="D1004" s="10" t="s">
        <v>193</v>
      </c>
      <c r="E1004" s="10" t="s">
        <v>194</v>
      </c>
      <c r="F1004" s="10" t="s">
        <v>69</v>
      </c>
      <c r="G1004" s="10" t="s">
        <v>68</v>
      </c>
      <c r="H1004" s="10" t="s">
        <v>65</v>
      </c>
      <c r="I1004" s="10" t="s">
        <v>16</v>
      </c>
      <c r="J1004" s="10" t="s">
        <v>777</v>
      </c>
      <c r="K1004" s="10" t="s">
        <v>778</v>
      </c>
      <c r="L1004" s="10" t="s">
        <v>54</v>
      </c>
    </row>
    <row r="1005" spans="1:12" x14ac:dyDescent="0.25">
      <c r="A1005">
        <v>155</v>
      </c>
      <c r="B1005" s="10" t="s">
        <v>776</v>
      </c>
      <c r="C1005" s="10" t="s">
        <v>120</v>
      </c>
      <c r="D1005" s="10" t="s">
        <v>193</v>
      </c>
      <c r="E1005" s="10" t="s">
        <v>194</v>
      </c>
      <c r="F1005" s="10" t="s">
        <v>70</v>
      </c>
      <c r="G1005" s="10" t="s">
        <v>68</v>
      </c>
      <c r="H1005" s="10" t="s">
        <v>65</v>
      </c>
      <c r="I1005" s="10" t="s">
        <v>24</v>
      </c>
      <c r="J1005" s="10" t="s">
        <v>777</v>
      </c>
      <c r="K1005" s="10" t="s">
        <v>779</v>
      </c>
      <c r="L1005" s="10" t="s">
        <v>67</v>
      </c>
    </row>
    <row r="1006" spans="1:12" x14ac:dyDescent="0.25">
      <c r="A1006">
        <v>155</v>
      </c>
      <c r="B1006" s="10" t="s">
        <v>776</v>
      </c>
      <c r="C1006" s="10" t="s">
        <v>120</v>
      </c>
      <c r="D1006" s="10" t="s">
        <v>193</v>
      </c>
      <c r="E1006" s="10" t="s">
        <v>194</v>
      </c>
      <c r="F1006" s="10" t="s">
        <v>71</v>
      </c>
      <c r="G1006" s="10" t="s">
        <v>68</v>
      </c>
      <c r="H1006" s="10" t="s">
        <v>72</v>
      </c>
      <c r="I1006" s="10" t="s">
        <v>16</v>
      </c>
      <c r="J1006" s="10" t="s">
        <v>780</v>
      </c>
      <c r="K1006" s="10" t="s">
        <v>781</v>
      </c>
      <c r="L1006" s="10" t="s">
        <v>54</v>
      </c>
    </row>
    <row r="1007" spans="1:12" x14ac:dyDescent="0.25">
      <c r="A1007">
        <v>155</v>
      </c>
      <c r="B1007" s="10" t="s">
        <v>776</v>
      </c>
      <c r="C1007" s="10" t="s">
        <v>120</v>
      </c>
      <c r="D1007" s="10" t="s">
        <v>193</v>
      </c>
      <c r="E1007" s="10" t="s">
        <v>194</v>
      </c>
      <c r="F1007" s="10" t="s">
        <v>73</v>
      </c>
      <c r="G1007" s="10" t="s">
        <v>68</v>
      </c>
      <c r="H1007" s="10" t="s">
        <v>65</v>
      </c>
      <c r="I1007" s="10" t="s">
        <v>16</v>
      </c>
      <c r="J1007" s="10" t="s">
        <v>782</v>
      </c>
      <c r="K1007" s="10" t="s">
        <v>428</v>
      </c>
      <c r="L1007" s="10" t="s">
        <v>67</v>
      </c>
    </row>
    <row r="1008" spans="1:12" x14ac:dyDescent="0.25">
      <c r="A1008">
        <v>155</v>
      </c>
      <c r="B1008" s="10" t="s">
        <v>776</v>
      </c>
      <c r="C1008" s="10" t="s">
        <v>120</v>
      </c>
      <c r="D1008" s="10" t="s">
        <v>193</v>
      </c>
      <c r="E1008" s="10" t="s">
        <v>194</v>
      </c>
      <c r="F1008" s="10" t="s">
        <v>74</v>
      </c>
      <c r="G1008" s="10" t="s">
        <v>68</v>
      </c>
      <c r="H1008" s="10" t="s">
        <v>65</v>
      </c>
      <c r="I1008" s="10" t="s">
        <v>16</v>
      </c>
      <c r="J1008" s="10" t="s">
        <v>783</v>
      </c>
      <c r="K1008" s="10" t="s">
        <v>784</v>
      </c>
      <c r="L1008" s="10" t="s">
        <v>67</v>
      </c>
    </row>
    <row r="1009" spans="1:12" x14ac:dyDescent="0.25">
      <c r="A1009">
        <v>155</v>
      </c>
      <c r="B1009" s="10" t="s">
        <v>776</v>
      </c>
      <c r="C1009" s="10" t="s">
        <v>120</v>
      </c>
      <c r="D1009" s="10" t="s">
        <v>193</v>
      </c>
      <c r="E1009" s="10" t="s">
        <v>194</v>
      </c>
      <c r="F1009" s="10" t="s">
        <v>75</v>
      </c>
      <c r="G1009" s="10" t="s">
        <v>68</v>
      </c>
      <c r="H1009" s="10" t="s">
        <v>72</v>
      </c>
      <c r="I1009" s="10" t="s">
        <v>24</v>
      </c>
      <c r="J1009" s="10" t="s">
        <v>785</v>
      </c>
      <c r="K1009" s="10" t="s">
        <v>786</v>
      </c>
      <c r="L1009" s="10" t="s">
        <v>67</v>
      </c>
    </row>
    <row r="1010" spans="1:12" x14ac:dyDescent="0.25">
      <c r="A1010">
        <v>155</v>
      </c>
      <c r="B1010" s="10" t="s">
        <v>776</v>
      </c>
      <c r="C1010" s="10" t="s">
        <v>120</v>
      </c>
      <c r="D1010" s="10" t="s">
        <v>193</v>
      </c>
      <c r="E1010" s="10" t="s">
        <v>194</v>
      </c>
      <c r="F1010" s="10" t="s">
        <v>76</v>
      </c>
      <c r="G1010" s="10" t="s">
        <v>77</v>
      </c>
      <c r="H1010" s="10" t="s">
        <v>65</v>
      </c>
      <c r="I1010" s="10" t="s">
        <v>16</v>
      </c>
      <c r="J1010" s="10" t="s">
        <v>374</v>
      </c>
      <c r="K1010" s="10" t="s">
        <v>375</v>
      </c>
      <c r="L1010" s="10" t="s">
        <v>67</v>
      </c>
    </row>
    <row r="1011" spans="1:12" x14ac:dyDescent="0.25">
      <c r="A1011">
        <v>155</v>
      </c>
      <c r="B1011" s="10" t="s">
        <v>776</v>
      </c>
      <c r="C1011" s="10" t="s">
        <v>120</v>
      </c>
      <c r="D1011" s="10" t="s">
        <v>193</v>
      </c>
      <c r="E1011" s="10" t="s">
        <v>194</v>
      </c>
      <c r="F1011" s="10" t="s">
        <v>78</v>
      </c>
      <c r="G1011" s="10" t="s">
        <v>77</v>
      </c>
      <c r="H1011" s="10" t="s">
        <v>65</v>
      </c>
      <c r="I1011" s="10" t="s">
        <v>16</v>
      </c>
      <c r="J1011" s="10" t="s">
        <v>79</v>
      </c>
      <c r="K1011" s="10" t="s">
        <v>787</v>
      </c>
      <c r="L1011" s="10" t="s">
        <v>67</v>
      </c>
    </row>
    <row r="1012" spans="1:12" x14ac:dyDescent="0.25">
      <c r="A1012">
        <v>155</v>
      </c>
      <c r="B1012" s="10" t="s">
        <v>776</v>
      </c>
      <c r="C1012" s="10" t="s">
        <v>120</v>
      </c>
      <c r="D1012" s="10" t="s">
        <v>193</v>
      </c>
      <c r="E1012" s="10" t="s">
        <v>194</v>
      </c>
      <c r="F1012" s="10" t="s">
        <v>80</v>
      </c>
      <c r="G1012" s="10" t="s">
        <v>77</v>
      </c>
      <c r="H1012" s="10" t="s">
        <v>65</v>
      </c>
      <c r="I1012" s="10" t="s">
        <v>16</v>
      </c>
      <c r="J1012" s="10" t="s">
        <v>79</v>
      </c>
      <c r="K1012" s="10" t="s">
        <v>331</v>
      </c>
      <c r="L1012" s="10" t="s">
        <v>67</v>
      </c>
    </row>
    <row r="1013" spans="1:12" x14ac:dyDescent="0.25">
      <c r="A1013">
        <v>155</v>
      </c>
      <c r="B1013" s="10" t="s">
        <v>776</v>
      </c>
      <c r="C1013" s="10" t="s">
        <v>120</v>
      </c>
      <c r="D1013" s="10" t="s">
        <v>193</v>
      </c>
      <c r="E1013" s="10" t="s">
        <v>194</v>
      </c>
      <c r="F1013" s="10" t="s">
        <v>81</v>
      </c>
      <c r="G1013" s="10" t="s">
        <v>77</v>
      </c>
      <c r="H1013" s="10" t="s">
        <v>65</v>
      </c>
      <c r="I1013" s="10" t="s">
        <v>16</v>
      </c>
      <c r="J1013" s="10" t="s">
        <v>332</v>
      </c>
      <c r="K1013" s="10" t="s">
        <v>333</v>
      </c>
      <c r="L1013" s="10" t="s">
        <v>67</v>
      </c>
    </row>
    <row r="1014" spans="1:12" x14ac:dyDescent="0.25">
      <c r="A1014">
        <v>155</v>
      </c>
      <c r="B1014" s="10" t="s">
        <v>776</v>
      </c>
      <c r="C1014" s="10" t="s">
        <v>120</v>
      </c>
      <c r="D1014" s="10" t="s">
        <v>193</v>
      </c>
      <c r="E1014" s="10" t="s">
        <v>194</v>
      </c>
      <c r="F1014" s="10" t="s">
        <v>82</v>
      </c>
      <c r="G1014" s="10" t="s">
        <v>83</v>
      </c>
      <c r="H1014" s="10" t="s">
        <v>65</v>
      </c>
      <c r="I1014" s="10" t="s">
        <v>16</v>
      </c>
      <c r="J1014" s="10" t="s">
        <v>788</v>
      </c>
      <c r="K1014" s="10" t="s">
        <v>789</v>
      </c>
      <c r="L1014" s="10" t="s">
        <v>67</v>
      </c>
    </row>
    <row r="1015" spans="1:12" x14ac:dyDescent="0.25">
      <c r="A1015">
        <v>155</v>
      </c>
      <c r="B1015" s="10" t="s">
        <v>776</v>
      </c>
      <c r="C1015" s="10" t="s">
        <v>120</v>
      </c>
      <c r="D1015" s="10" t="s">
        <v>193</v>
      </c>
      <c r="E1015" s="10" t="s">
        <v>194</v>
      </c>
      <c r="F1015" s="10" t="s">
        <v>84</v>
      </c>
      <c r="G1015" s="10" t="s">
        <v>83</v>
      </c>
      <c r="H1015" s="10" t="s">
        <v>65</v>
      </c>
      <c r="I1015" s="10" t="s">
        <v>16</v>
      </c>
      <c r="J1015" s="10" t="s">
        <v>756</v>
      </c>
      <c r="K1015" s="10" t="s">
        <v>757</v>
      </c>
      <c r="L1015" s="10" t="s">
        <v>67</v>
      </c>
    </row>
    <row r="1016" spans="1:12" x14ac:dyDescent="0.25">
      <c r="A1016">
        <v>155</v>
      </c>
      <c r="B1016" s="10" t="s">
        <v>776</v>
      </c>
      <c r="C1016" s="10" t="s">
        <v>120</v>
      </c>
      <c r="D1016" s="10" t="s">
        <v>193</v>
      </c>
      <c r="E1016" s="10" t="s">
        <v>194</v>
      </c>
      <c r="F1016" s="10" t="s">
        <v>91</v>
      </c>
      <c r="G1016" s="10" t="s">
        <v>86</v>
      </c>
      <c r="H1016" s="10" t="s">
        <v>65</v>
      </c>
      <c r="I1016" s="10" t="s">
        <v>16</v>
      </c>
      <c r="J1016" s="10" t="s">
        <v>79</v>
      </c>
      <c r="K1016" s="10" t="s">
        <v>760</v>
      </c>
      <c r="L1016" s="10" t="s">
        <v>67</v>
      </c>
    </row>
    <row r="1017" spans="1:12" x14ac:dyDescent="0.25">
      <c r="A1017">
        <v>155</v>
      </c>
      <c r="B1017" s="10" t="s">
        <v>776</v>
      </c>
      <c r="C1017" s="10" t="s">
        <v>120</v>
      </c>
      <c r="D1017" s="10" t="s">
        <v>193</v>
      </c>
      <c r="E1017" s="10" t="s">
        <v>194</v>
      </c>
      <c r="F1017" s="10" t="s">
        <v>93</v>
      </c>
      <c r="G1017" s="10" t="s">
        <v>94</v>
      </c>
      <c r="H1017" s="10" t="s">
        <v>65</v>
      </c>
      <c r="I1017" s="10" t="s">
        <v>16</v>
      </c>
      <c r="J1017" s="10" t="s">
        <v>790</v>
      </c>
      <c r="K1017" s="10" t="s">
        <v>791</v>
      </c>
      <c r="L1017" s="10" t="s">
        <v>67</v>
      </c>
    </row>
    <row r="1018" spans="1:12" x14ac:dyDescent="0.25">
      <c r="A1018">
        <v>155</v>
      </c>
      <c r="B1018" s="10" t="s">
        <v>776</v>
      </c>
      <c r="C1018" s="10" t="s">
        <v>120</v>
      </c>
      <c r="D1018" s="10" t="s">
        <v>193</v>
      </c>
      <c r="E1018" s="10" t="s">
        <v>194</v>
      </c>
      <c r="F1018" s="10" t="s">
        <v>95</v>
      </c>
      <c r="G1018" s="10" t="s">
        <v>94</v>
      </c>
      <c r="H1018" s="10" t="s">
        <v>65</v>
      </c>
      <c r="I1018" s="10" t="s">
        <v>16</v>
      </c>
      <c r="J1018" s="10" t="s">
        <v>792</v>
      </c>
      <c r="K1018" s="10" t="s">
        <v>793</v>
      </c>
      <c r="L1018" s="10" t="s">
        <v>67</v>
      </c>
    </row>
    <row r="1019" spans="1:12" x14ac:dyDescent="0.25">
      <c r="A1019">
        <v>155</v>
      </c>
      <c r="B1019" s="10" t="s">
        <v>776</v>
      </c>
      <c r="C1019" s="10" t="s">
        <v>120</v>
      </c>
      <c r="D1019" s="10" t="s">
        <v>193</v>
      </c>
      <c r="E1019" s="10" t="s">
        <v>194</v>
      </c>
      <c r="F1019" s="10" t="s">
        <v>96</v>
      </c>
      <c r="G1019" s="10" t="s">
        <v>94</v>
      </c>
      <c r="H1019" s="10" t="s">
        <v>65</v>
      </c>
      <c r="I1019" s="10" t="s">
        <v>16</v>
      </c>
      <c r="J1019" s="10" t="s">
        <v>79</v>
      </c>
      <c r="K1019" s="10" t="s">
        <v>794</v>
      </c>
      <c r="L1019" s="10" t="s">
        <v>67</v>
      </c>
    </row>
    <row r="1020" spans="1:12" x14ac:dyDescent="0.25">
      <c r="A1020">
        <v>155</v>
      </c>
      <c r="B1020" s="10" t="s">
        <v>776</v>
      </c>
      <c r="C1020" s="10" t="s">
        <v>120</v>
      </c>
      <c r="D1020" s="10" t="s">
        <v>193</v>
      </c>
      <c r="E1020" s="10" t="s">
        <v>194</v>
      </c>
      <c r="F1020" s="10" t="s">
        <v>97</v>
      </c>
      <c r="G1020" s="10" t="s">
        <v>98</v>
      </c>
      <c r="H1020" s="10" t="s">
        <v>65</v>
      </c>
      <c r="I1020" s="10" t="s">
        <v>16</v>
      </c>
      <c r="J1020" s="10" t="s">
        <v>795</v>
      </c>
      <c r="K1020" s="10" t="s">
        <v>683</v>
      </c>
      <c r="L1020" s="10" t="s">
        <v>67</v>
      </c>
    </row>
    <row r="1021" spans="1:12" x14ac:dyDescent="0.25">
      <c r="A1021">
        <v>155</v>
      </c>
      <c r="B1021" s="10" t="s">
        <v>776</v>
      </c>
      <c r="C1021" s="10" t="s">
        <v>120</v>
      </c>
      <c r="D1021" s="10" t="s">
        <v>193</v>
      </c>
      <c r="E1021" s="10" t="s">
        <v>194</v>
      </c>
      <c r="F1021" s="10" t="s">
        <v>101</v>
      </c>
      <c r="G1021" s="10" t="s">
        <v>102</v>
      </c>
      <c r="H1021" s="10" t="s">
        <v>65</v>
      </c>
      <c r="I1021" s="10" t="s">
        <v>16</v>
      </c>
      <c r="J1021" s="10" t="s">
        <v>79</v>
      </c>
      <c r="K1021" s="10" t="s">
        <v>350</v>
      </c>
      <c r="L1021" s="10" t="s">
        <v>67</v>
      </c>
    </row>
    <row r="1022" spans="1:12" x14ac:dyDescent="0.25">
      <c r="A1022">
        <v>155</v>
      </c>
      <c r="B1022" s="10" t="s">
        <v>776</v>
      </c>
      <c r="C1022" s="10" t="s">
        <v>120</v>
      </c>
      <c r="D1022" s="10" t="s">
        <v>193</v>
      </c>
      <c r="E1022" s="10" t="s">
        <v>194</v>
      </c>
      <c r="F1022" s="10" t="s">
        <v>103</v>
      </c>
      <c r="G1022" s="10" t="s">
        <v>102</v>
      </c>
      <c r="H1022" s="10" t="s">
        <v>65</v>
      </c>
      <c r="I1022" s="10" t="s">
        <v>16</v>
      </c>
      <c r="J1022" s="10" t="s">
        <v>523</v>
      </c>
      <c r="K1022" s="10" t="s">
        <v>513</v>
      </c>
      <c r="L1022" s="10" t="s">
        <v>67</v>
      </c>
    </row>
    <row r="1023" spans="1:12" x14ac:dyDescent="0.25">
      <c r="A1023">
        <v>155</v>
      </c>
      <c r="B1023" s="10" t="s">
        <v>776</v>
      </c>
      <c r="C1023" s="10" t="s">
        <v>120</v>
      </c>
      <c r="D1023" s="10" t="s">
        <v>193</v>
      </c>
      <c r="E1023" s="10" t="s">
        <v>194</v>
      </c>
      <c r="F1023" s="10" t="s">
        <v>104</v>
      </c>
      <c r="G1023" s="10" t="s">
        <v>105</v>
      </c>
      <c r="H1023" s="10" t="s">
        <v>65</v>
      </c>
      <c r="I1023" s="10" t="s">
        <v>16</v>
      </c>
      <c r="J1023" s="10" t="s">
        <v>358</v>
      </c>
      <c r="K1023" s="10" t="s">
        <v>359</v>
      </c>
      <c r="L1023" s="10" t="s">
        <v>67</v>
      </c>
    </row>
    <row r="1024" spans="1:12" x14ac:dyDescent="0.25">
      <c r="A1024">
        <v>155</v>
      </c>
      <c r="B1024" s="10" t="s">
        <v>776</v>
      </c>
      <c r="C1024" s="10" t="s">
        <v>120</v>
      </c>
      <c r="D1024" s="10" t="s">
        <v>193</v>
      </c>
      <c r="E1024" s="10" t="s">
        <v>194</v>
      </c>
      <c r="F1024" s="10" t="s">
        <v>106</v>
      </c>
      <c r="G1024" s="10" t="s">
        <v>105</v>
      </c>
      <c r="H1024" s="10" t="s">
        <v>65</v>
      </c>
      <c r="I1024" s="10" t="s">
        <v>16</v>
      </c>
      <c r="J1024" s="10" t="s">
        <v>795</v>
      </c>
      <c r="K1024" s="10" t="s">
        <v>683</v>
      </c>
      <c r="L1024" s="10" t="s">
        <v>67</v>
      </c>
    </row>
    <row r="1025" spans="1:12" x14ac:dyDescent="0.25">
      <c r="A1025">
        <v>155</v>
      </c>
      <c r="B1025" s="10" t="s">
        <v>776</v>
      </c>
      <c r="C1025" s="10" t="s">
        <v>120</v>
      </c>
      <c r="D1025" s="10" t="s">
        <v>193</v>
      </c>
      <c r="E1025" s="10" t="s">
        <v>194</v>
      </c>
      <c r="F1025" s="10" t="s">
        <v>107</v>
      </c>
      <c r="G1025" s="10" t="s">
        <v>105</v>
      </c>
      <c r="H1025" s="10" t="s">
        <v>65</v>
      </c>
      <c r="I1025" s="10" t="s">
        <v>16</v>
      </c>
      <c r="J1025" s="10" t="s">
        <v>796</v>
      </c>
      <c r="K1025" s="10" t="s">
        <v>338</v>
      </c>
      <c r="L1025" s="10" t="s">
        <v>67</v>
      </c>
    </row>
    <row r="1026" spans="1:12" x14ac:dyDescent="0.25">
      <c r="A1026">
        <v>155</v>
      </c>
      <c r="B1026" s="10" t="s">
        <v>776</v>
      </c>
      <c r="C1026" s="10" t="s">
        <v>120</v>
      </c>
      <c r="D1026" s="10" t="s">
        <v>193</v>
      </c>
      <c r="E1026" s="10" t="s">
        <v>194</v>
      </c>
      <c r="F1026" s="10" t="s">
        <v>108</v>
      </c>
      <c r="G1026" s="10" t="s">
        <v>105</v>
      </c>
      <c r="H1026" s="10" t="s">
        <v>65</v>
      </c>
      <c r="I1026" s="10" t="s">
        <v>16</v>
      </c>
      <c r="J1026" s="10" t="s">
        <v>797</v>
      </c>
      <c r="K1026" s="10" t="s">
        <v>798</v>
      </c>
      <c r="L1026" s="10" t="s">
        <v>67</v>
      </c>
    </row>
    <row r="1027" spans="1:12" x14ac:dyDescent="0.25">
      <c r="A1027">
        <v>155</v>
      </c>
      <c r="B1027" s="10" t="s">
        <v>776</v>
      </c>
      <c r="C1027" s="10" t="s">
        <v>120</v>
      </c>
      <c r="D1027" s="10" t="s">
        <v>193</v>
      </c>
      <c r="E1027" s="10" t="s">
        <v>194</v>
      </c>
      <c r="F1027" s="10" t="s">
        <v>109</v>
      </c>
      <c r="G1027" s="10" t="s">
        <v>105</v>
      </c>
      <c r="H1027" s="10" t="s">
        <v>65</v>
      </c>
      <c r="I1027" s="10" t="s">
        <v>16</v>
      </c>
      <c r="J1027" s="10" t="s">
        <v>358</v>
      </c>
      <c r="K1027" s="10" t="s">
        <v>359</v>
      </c>
      <c r="L1027" s="10" t="s">
        <v>67</v>
      </c>
    </row>
    <row r="1028" spans="1:12" x14ac:dyDescent="0.25">
      <c r="A1028">
        <v>155</v>
      </c>
      <c r="B1028" s="10" t="s">
        <v>776</v>
      </c>
      <c r="C1028" s="10" t="s">
        <v>120</v>
      </c>
      <c r="D1028" s="10" t="s">
        <v>193</v>
      </c>
      <c r="E1028" s="10" t="s">
        <v>194</v>
      </c>
      <c r="F1028" s="10" t="s">
        <v>110</v>
      </c>
      <c r="G1028" s="10" t="s">
        <v>105</v>
      </c>
      <c r="H1028" s="10" t="s">
        <v>65</v>
      </c>
      <c r="I1028" s="10" t="s">
        <v>16</v>
      </c>
      <c r="J1028" s="10" t="s">
        <v>79</v>
      </c>
      <c r="K1028" s="10" t="s">
        <v>338</v>
      </c>
      <c r="L1028" s="10" t="s">
        <v>67</v>
      </c>
    </row>
    <row r="1029" spans="1:12" x14ac:dyDescent="0.25">
      <c r="A1029">
        <v>155</v>
      </c>
      <c r="B1029" s="10" t="s">
        <v>776</v>
      </c>
      <c r="C1029" s="10" t="s">
        <v>120</v>
      </c>
      <c r="D1029" s="10" t="s">
        <v>193</v>
      </c>
      <c r="E1029" s="10" t="s">
        <v>194</v>
      </c>
      <c r="F1029" s="10" t="s">
        <v>111</v>
      </c>
      <c r="G1029" s="10" t="s">
        <v>105</v>
      </c>
      <c r="H1029" s="10" t="s">
        <v>65</v>
      </c>
      <c r="I1029" s="10" t="s">
        <v>16</v>
      </c>
      <c r="J1029" s="10" t="s">
        <v>314</v>
      </c>
      <c r="K1029" s="10" t="s">
        <v>315</v>
      </c>
      <c r="L1029" s="10" t="s">
        <v>67</v>
      </c>
    </row>
    <row r="1030" spans="1:12" x14ac:dyDescent="0.25">
      <c r="A1030">
        <v>155</v>
      </c>
      <c r="B1030" s="10" t="s">
        <v>776</v>
      </c>
      <c r="C1030" s="10" t="s">
        <v>120</v>
      </c>
      <c r="D1030" s="10" t="s">
        <v>193</v>
      </c>
      <c r="E1030" s="10" t="s">
        <v>194</v>
      </c>
      <c r="F1030" s="10" t="s">
        <v>112</v>
      </c>
      <c r="G1030" s="10" t="s">
        <v>105</v>
      </c>
      <c r="H1030" s="10" t="s">
        <v>65</v>
      </c>
      <c r="I1030" s="10" t="s">
        <v>16</v>
      </c>
      <c r="J1030" s="10" t="s">
        <v>774</v>
      </c>
      <c r="K1030" s="10" t="s">
        <v>775</v>
      </c>
      <c r="L1030" s="10" t="s">
        <v>67</v>
      </c>
    </row>
    <row r="1031" spans="1:12" x14ac:dyDescent="0.25">
      <c r="A1031">
        <v>155</v>
      </c>
      <c r="B1031" s="10" t="s">
        <v>776</v>
      </c>
      <c r="C1031" s="10" t="s">
        <v>120</v>
      </c>
      <c r="D1031" s="10" t="s">
        <v>193</v>
      </c>
      <c r="E1031" s="10" t="s">
        <v>194</v>
      </c>
      <c r="F1031" s="10" t="s">
        <v>113</v>
      </c>
      <c r="G1031" s="10" t="s">
        <v>105</v>
      </c>
      <c r="H1031" s="10" t="s">
        <v>65</v>
      </c>
      <c r="I1031" s="10" t="s">
        <v>16</v>
      </c>
      <c r="J1031" s="10" t="s">
        <v>314</v>
      </c>
      <c r="K1031" s="10" t="s">
        <v>315</v>
      </c>
      <c r="L1031" s="10" t="s">
        <v>67</v>
      </c>
    </row>
    <row r="1032" spans="1:12" x14ac:dyDescent="0.25">
      <c r="A1032">
        <v>155</v>
      </c>
      <c r="B1032" s="10" t="s">
        <v>776</v>
      </c>
      <c r="C1032" s="10" t="s">
        <v>120</v>
      </c>
      <c r="D1032" s="10" t="s">
        <v>193</v>
      </c>
      <c r="E1032" s="10" t="s">
        <v>194</v>
      </c>
      <c r="F1032" s="10" t="s">
        <v>121</v>
      </c>
      <c r="G1032" s="10" t="s">
        <v>68</v>
      </c>
      <c r="H1032" s="10" t="s">
        <v>65</v>
      </c>
      <c r="I1032" s="10" t="s">
        <v>24</v>
      </c>
      <c r="J1032" s="10" t="s">
        <v>777</v>
      </c>
      <c r="K1032" s="10" t="s">
        <v>778</v>
      </c>
      <c r="L1032" s="10" t="s">
        <v>54</v>
      </c>
    </row>
    <row r="1033" spans="1:12" x14ac:dyDescent="0.25">
      <c r="A1033">
        <v>155</v>
      </c>
      <c r="B1033" s="10" t="s">
        <v>776</v>
      </c>
      <c r="C1033" s="10" t="s">
        <v>120</v>
      </c>
      <c r="D1033" s="10" t="s">
        <v>193</v>
      </c>
      <c r="E1033" s="10" t="s">
        <v>194</v>
      </c>
      <c r="F1033" s="10" t="s">
        <v>124</v>
      </c>
      <c r="G1033" s="10" t="s">
        <v>125</v>
      </c>
      <c r="H1033" s="10" t="s">
        <v>72</v>
      </c>
      <c r="I1033" s="10" t="s">
        <v>18</v>
      </c>
      <c r="J1033" s="10" t="s">
        <v>54</v>
      </c>
      <c r="K1033" s="10" t="s">
        <v>54</v>
      </c>
      <c r="L1033" s="10" t="s">
        <v>54</v>
      </c>
    </row>
    <row r="1034" spans="1:12" x14ac:dyDescent="0.25">
      <c r="A1034">
        <v>153</v>
      </c>
      <c r="B1034" s="10" t="s">
        <v>394</v>
      </c>
      <c r="C1034" s="10" t="s">
        <v>130</v>
      </c>
      <c r="D1034" s="10" t="s">
        <v>127</v>
      </c>
      <c r="E1034" s="10" t="s">
        <v>128</v>
      </c>
      <c r="F1034" s="10" t="s">
        <v>69</v>
      </c>
      <c r="G1034" s="10" t="s">
        <v>68</v>
      </c>
      <c r="H1034" s="10" t="s">
        <v>65</v>
      </c>
      <c r="I1034" s="10" t="s">
        <v>16</v>
      </c>
      <c r="J1034" s="10" t="s">
        <v>395</v>
      </c>
      <c r="K1034" s="10" t="s">
        <v>313</v>
      </c>
      <c r="L1034" s="10" t="s">
        <v>67</v>
      </c>
    </row>
    <row r="1035" spans="1:12" x14ac:dyDescent="0.25">
      <c r="A1035">
        <v>153</v>
      </c>
      <c r="B1035" s="10" t="s">
        <v>394</v>
      </c>
      <c r="C1035" s="10" t="s">
        <v>130</v>
      </c>
      <c r="D1035" s="10" t="s">
        <v>127</v>
      </c>
      <c r="E1035" s="10" t="s">
        <v>128</v>
      </c>
      <c r="F1035" s="10" t="s">
        <v>70</v>
      </c>
      <c r="G1035" s="10" t="s">
        <v>68</v>
      </c>
      <c r="H1035" s="10" t="s">
        <v>65</v>
      </c>
      <c r="I1035" s="10" t="s">
        <v>16</v>
      </c>
      <c r="J1035" s="10" t="s">
        <v>396</v>
      </c>
      <c r="K1035" s="10" t="s">
        <v>397</v>
      </c>
      <c r="L1035" s="10" t="s">
        <v>67</v>
      </c>
    </row>
    <row r="1036" spans="1:12" x14ac:dyDescent="0.25">
      <c r="A1036">
        <v>153</v>
      </c>
      <c r="B1036" s="10" t="s">
        <v>394</v>
      </c>
      <c r="C1036" s="10" t="s">
        <v>130</v>
      </c>
      <c r="D1036" s="10" t="s">
        <v>127</v>
      </c>
      <c r="E1036" s="10" t="s">
        <v>128</v>
      </c>
      <c r="F1036" s="10" t="s">
        <v>71</v>
      </c>
      <c r="G1036" s="10" t="s">
        <v>68</v>
      </c>
      <c r="H1036" s="10" t="s">
        <v>72</v>
      </c>
      <c r="I1036" s="10" t="s">
        <v>25</v>
      </c>
      <c r="J1036" s="10" t="s">
        <v>398</v>
      </c>
      <c r="K1036" s="10" t="s">
        <v>399</v>
      </c>
      <c r="L1036" s="10" t="s">
        <v>54</v>
      </c>
    </row>
    <row r="1037" spans="1:12" x14ac:dyDescent="0.25">
      <c r="A1037">
        <v>153</v>
      </c>
      <c r="B1037" s="10" t="s">
        <v>394</v>
      </c>
      <c r="C1037" s="10" t="s">
        <v>130</v>
      </c>
      <c r="D1037" s="10" t="s">
        <v>127</v>
      </c>
      <c r="E1037" s="10" t="s">
        <v>128</v>
      </c>
      <c r="F1037" s="10" t="s">
        <v>73</v>
      </c>
      <c r="G1037" s="10" t="s">
        <v>68</v>
      </c>
      <c r="H1037" s="10" t="s">
        <v>65</v>
      </c>
      <c r="I1037" s="10" t="s">
        <v>16</v>
      </c>
      <c r="J1037" s="10" t="s">
        <v>400</v>
      </c>
      <c r="K1037" s="10" t="s">
        <v>401</v>
      </c>
      <c r="L1037" s="10" t="s">
        <v>67</v>
      </c>
    </row>
    <row r="1038" spans="1:12" x14ac:dyDescent="0.25">
      <c r="A1038">
        <v>153</v>
      </c>
      <c r="B1038" s="10" t="s">
        <v>394</v>
      </c>
      <c r="C1038" s="10" t="s">
        <v>130</v>
      </c>
      <c r="D1038" s="10" t="s">
        <v>127</v>
      </c>
      <c r="E1038" s="10" t="s">
        <v>128</v>
      </c>
      <c r="F1038" s="10" t="s">
        <v>74</v>
      </c>
      <c r="G1038" s="10" t="s">
        <v>68</v>
      </c>
      <c r="H1038" s="10" t="s">
        <v>65</v>
      </c>
      <c r="I1038" s="10" t="s">
        <v>16</v>
      </c>
      <c r="J1038" s="10" t="s">
        <v>402</v>
      </c>
      <c r="K1038" s="10" t="s">
        <v>403</v>
      </c>
      <c r="L1038" s="10" t="s">
        <v>67</v>
      </c>
    </row>
    <row r="1039" spans="1:12" x14ac:dyDescent="0.25">
      <c r="A1039">
        <v>153</v>
      </c>
      <c r="B1039" s="10" t="s">
        <v>394</v>
      </c>
      <c r="C1039" s="10" t="s">
        <v>130</v>
      </c>
      <c r="D1039" s="10" t="s">
        <v>127</v>
      </c>
      <c r="E1039" s="10" t="s">
        <v>128</v>
      </c>
      <c r="F1039" s="10" t="s">
        <v>75</v>
      </c>
      <c r="G1039" s="10" t="s">
        <v>68</v>
      </c>
      <c r="H1039" s="10" t="s">
        <v>72</v>
      </c>
      <c r="I1039" s="10" t="s">
        <v>24</v>
      </c>
      <c r="J1039" s="10" t="s">
        <v>404</v>
      </c>
      <c r="K1039" s="10" t="s">
        <v>405</v>
      </c>
      <c r="L1039" s="10" t="s">
        <v>67</v>
      </c>
    </row>
    <row r="1040" spans="1:12" x14ac:dyDescent="0.25">
      <c r="A1040">
        <v>153</v>
      </c>
      <c r="B1040" s="10" t="s">
        <v>394</v>
      </c>
      <c r="C1040" s="10" t="s">
        <v>130</v>
      </c>
      <c r="D1040" s="10" t="s">
        <v>127</v>
      </c>
      <c r="E1040" s="10" t="s">
        <v>128</v>
      </c>
      <c r="F1040" s="10" t="s">
        <v>76</v>
      </c>
      <c r="G1040" s="10" t="s">
        <v>77</v>
      </c>
      <c r="H1040" s="10" t="s">
        <v>65</v>
      </c>
      <c r="I1040" s="10" t="s">
        <v>16</v>
      </c>
      <c r="J1040" s="10" t="s">
        <v>406</v>
      </c>
      <c r="K1040" s="10" t="s">
        <v>407</v>
      </c>
      <c r="L1040" s="10" t="s">
        <v>67</v>
      </c>
    </row>
    <row r="1041" spans="1:12" x14ac:dyDescent="0.25">
      <c r="A1041">
        <v>153</v>
      </c>
      <c r="B1041" s="10" t="s">
        <v>394</v>
      </c>
      <c r="C1041" s="10" t="s">
        <v>130</v>
      </c>
      <c r="D1041" s="10" t="s">
        <v>127</v>
      </c>
      <c r="E1041" s="10" t="s">
        <v>128</v>
      </c>
      <c r="F1041" s="10" t="s">
        <v>78</v>
      </c>
      <c r="G1041" s="10" t="s">
        <v>77</v>
      </c>
      <c r="H1041" s="10" t="s">
        <v>65</v>
      </c>
      <c r="I1041" s="10" t="s">
        <v>16</v>
      </c>
      <c r="J1041" s="10" t="s">
        <v>79</v>
      </c>
      <c r="K1041" s="10" t="s">
        <v>408</v>
      </c>
      <c r="L1041" s="10" t="s">
        <v>67</v>
      </c>
    </row>
    <row r="1042" spans="1:12" x14ac:dyDescent="0.25">
      <c r="A1042">
        <v>153</v>
      </c>
      <c r="B1042" s="10" t="s">
        <v>394</v>
      </c>
      <c r="C1042" s="10" t="s">
        <v>130</v>
      </c>
      <c r="D1042" s="10" t="s">
        <v>127</v>
      </c>
      <c r="E1042" s="10" t="s">
        <v>128</v>
      </c>
      <c r="F1042" s="10" t="s">
        <v>80</v>
      </c>
      <c r="G1042" s="10" t="s">
        <v>77</v>
      </c>
      <c r="H1042" s="10" t="s">
        <v>65</v>
      </c>
      <c r="I1042" s="10" t="s">
        <v>16</v>
      </c>
      <c r="J1042" s="10" t="s">
        <v>79</v>
      </c>
      <c r="K1042" s="10" t="s">
        <v>331</v>
      </c>
      <c r="L1042" s="10" t="s">
        <v>67</v>
      </c>
    </row>
    <row r="1043" spans="1:12" x14ac:dyDescent="0.25">
      <c r="A1043">
        <v>153</v>
      </c>
      <c r="B1043" s="10" t="s">
        <v>394</v>
      </c>
      <c r="C1043" s="10" t="s">
        <v>130</v>
      </c>
      <c r="D1043" s="10" t="s">
        <v>127</v>
      </c>
      <c r="E1043" s="10" t="s">
        <v>128</v>
      </c>
      <c r="F1043" s="10" t="s">
        <v>81</v>
      </c>
      <c r="G1043" s="10" t="s">
        <v>77</v>
      </c>
      <c r="H1043" s="10" t="s">
        <v>65</v>
      </c>
      <c r="I1043" s="10" t="s">
        <v>16</v>
      </c>
      <c r="J1043" s="10" t="s">
        <v>409</v>
      </c>
      <c r="K1043" s="10" t="s">
        <v>349</v>
      </c>
      <c r="L1043" s="10" t="s">
        <v>67</v>
      </c>
    </row>
    <row r="1044" spans="1:12" x14ac:dyDescent="0.25">
      <c r="A1044">
        <v>153</v>
      </c>
      <c r="B1044" s="10" t="s">
        <v>394</v>
      </c>
      <c r="C1044" s="10" t="s">
        <v>130</v>
      </c>
      <c r="D1044" s="10" t="s">
        <v>127</v>
      </c>
      <c r="E1044" s="10" t="s">
        <v>128</v>
      </c>
      <c r="F1044" s="10" t="s">
        <v>82</v>
      </c>
      <c r="G1044" s="10" t="s">
        <v>83</v>
      </c>
      <c r="H1044" s="10" t="s">
        <v>65</v>
      </c>
      <c r="I1044" s="10" t="s">
        <v>16</v>
      </c>
      <c r="J1044" s="10" t="s">
        <v>362</v>
      </c>
      <c r="K1044" s="10" t="s">
        <v>378</v>
      </c>
      <c r="L1044" s="10" t="s">
        <v>67</v>
      </c>
    </row>
    <row r="1045" spans="1:12" x14ac:dyDescent="0.25">
      <c r="A1045">
        <v>153</v>
      </c>
      <c r="B1045" s="10" t="s">
        <v>394</v>
      </c>
      <c r="C1045" s="10" t="s">
        <v>130</v>
      </c>
      <c r="D1045" s="10" t="s">
        <v>127</v>
      </c>
      <c r="E1045" s="10" t="s">
        <v>128</v>
      </c>
      <c r="F1045" s="10" t="s">
        <v>84</v>
      </c>
      <c r="G1045" s="10" t="s">
        <v>83</v>
      </c>
      <c r="H1045" s="10" t="s">
        <v>65</v>
      </c>
      <c r="I1045" s="10" t="s">
        <v>16</v>
      </c>
      <c r="J1045" s="10" t="s">
        <v>410</v>
      </c>
      <c r="K1045" s="10" t="s">
        <v>411</v>
      </c>
      <c r="L1045" s="10" t="s">
        <v>67</v>
      </c>
    </row>
    <row r="1046" spans="1:12" x14ac:dyDescent="0.25">
      <c r="A1046">
        <v>153</v>
      </c>
      <c r="B1046" s="10" t="s">
        <v>394</v>
      </c>
      <c r="C1046" s="10" t="s">
        <v>130</v>
      </c>
      <c r="D1046" s="10" t="s">
        <v>127</v>
      </c>
      <c r="E1046" s="10" t="s">
        <v>128</v>
      </c>
      <c r="F1046" s="10" t="s">
        <v>91</v>
      </c>
      <c r="G1046" s="10" t="s">
        <v>86</v>
      </c>
      <c r="H1046" s="10" t="s">
        <v>65</v>
      </c>
      <c r="I1046" s="10" t="s">
        <v>16</v>
      </c>
      <c r="J1046" s="10" t="s">
        <v>79</v>
      </c>
      <c r="K1046" s="10" t="s">
        <v>290</v>
      </c>
      <c r="L1046" s="10" t="s">
        <v>67</v>
      </c>
    </row>
    <row r="1047" spans="1:12" x14ac:dyDescent="0.25">
      <c r="A1047">
        <v>153</v>
      </c>
      <c r="B1047" s="10" t="s">
        <v>394</v>
      </c>
      <c r="C1047" s="10" t="s">
        <v>130</v>
      </c>
      <c r="D1047" s="10" t="s">
        <v>127</v>
      </c>
      <c r="E1047" s="10" t="s">
        <v>128</v>
      </c>
      <c r="F1047" s="10" t="s">
        <v>93</v>
      </c>
      <c r="G1047" s="10" t="s">
        <v>94</v>
      </c>
      <c r="H1047" s="10" t="s">
        <v>65</v>
      </c>
      <c r="I1047" s="10" t="s">
        <v>16</v>
      </c>
      <c r="J1047" s="10" t="s">
        <v>412</v>
      </c>
      <c r="K1047" s="10" t="s">
        <v>413</v>
      </c>
      <c r="L1047" s="10" t="s">
        <v>67</v>
      </c>
    </row>
    <row r="1048" spans="1:12" x14ac:dyDescent="0.25">
      <c r="A1048">
        <v>153</v>
      </c>
      <c r="B1048" s="10" t="s">
        <v>394</v>
      </c>
      <c r="C1048" s="10" t="s">
        <v>130</v>
      </c>
      <c r="D1048" s="10" t="s">
        <v>127</v>
      </c>
      <c r="E1048" s="10" t="s">
        <v>128</v>
      </c>
      <c r="F1048" s="10" t="s">
        <v>95</v>
      </c>
      <c r="G1048" s="10" t="s">
        <v>94</v>
      </c>
      <c r="H1048" s="10" t="s">
        <v>65</v>
      </c>
      <c r="I1048" s="10" t="s">
        <v>16</v>
      </c>
      <c r="J1048" s="10" t="s">
        <v>412</v>
      </c>
      <c r="K1048" s="10" t="s">
        <v>413</v>
      </c>
      <c r="L1048" s="10" t="s">
        <v>67</v>
      </c>
    </row>
    <row r="1049" spans="1:12" x14ac:dyDescent="0.25">
      <c r="A1049">
        <v>153</v>
      </c>
      <c r="B1049" s="10" t="s">
        <v>394</v>
      </c>
      <c r="C1049" s="10" t="s">
        <v>130</v>
      </c>
      <c r="D1049" s="10" t="s">
        <v>127</v>
      </c>
      <c r="E1049" s="10" t="s">
        <v>128</v>
      </c>
      <c r="F1049" s="10" t="s">
        <v>96</v>
      </c>
      <c r="G1049" s="10" t="s">
        <v>94</v>
      </c>
      <c r="H1049" s="10" t="s">
        <v>65</v>
      </c>
      <c r="I1049" s="10" t="s">
        <v>16</v>
      </c>
      <c r="J1049" s="10" t="s">
        <v>79</v>
      </c>
      <c r="K1049" s="10" t="s">
        <v>297</v>
      </c>
      <c r="L1049" s="10" t="s">
        <v>67</v>
      </c>
    </row>
    <row r="1050" spans="1:12" x14ac:dyDescent="0.25">
      <c r="A1050">
        <v>153</v>
      </c>
      <c r="B1050" s="10" t="s">
        <v>394</v>
      </c>
      <c r="C1050" s="10" t="s">
        <v>130</v>
      </c>
      <c r="D1050" s="10" t="s">
        <v>127</v>
      </c>
      <c r="E1050" s="10" t="s">
        <v>128</v>
      </c>
      <c r="F1050" s="10" t="s">
        <v>97</v>
      </c>
      <c r="G1050" s="10" t="s">
        <v>98</v>
      </c>
      <c r="H1050" s="10" t="s">
        <v>65</v>
      </c>
      <c r="I1050" s="10" t="s">
        <v>16</v>
      </c>
      <c r="J1050" s="10" t="s">
        <v>414</v>
      </c>
      <c r="K1050" s="10" t="s">
        <v>415</v>
      </c>
      <c r="L1050" s="10" t="s">
        <v>67</v>
      </c>
    </row>
    <row r="1051" spans="1:12" x14ac:dyDescent="0.25">
      <c r="A1051">
        <v>153</v>
      </c>
      <c r="B1051" s="10" t="s">
        <v>394</v>
      </c>
      <c r="C1051" s="10" t="s">
        <v>130</v>
      </c>
      <c r="D1051" s="10" t="s">
        <v>127</v>
      </c>
      <c r="E1051" s="10" t="s">
        <v>128</v>
      </c>
      <c r="F1051" s="10" t="s">
        <v>101</v>
      </c>
      <c r="G1051" s="10" t="s">
        <v>102</v>
      </c>
      <c r="H1051" s="10" t="s">
        <v>65</v>
      </c>
      <c r="I1051" s="10" t="s">
        <v>16</v>
      </c>
      <c r="J1051" s="10" t="s">
        <v>79</v>
      </c>
      <c r="K1051" s="10" t="s">
        <v>383</v>
      </c>
      <c r="L1051" s="10" t="s">
        <v>67</v>
      </c>
    </row>
    <row r="1052" spans="1:12" x14ac:dyDescent="0.25">
      <c r="A1052">
        <v>153</v>
      </c>
      <c r="B1052" s="10" t="s">
        <v>394</v>
      </c>
      <c r="C1052" s="10" t="s">
        <v>130</v>
      </c>
      <c r="D1052" s="10" t="s">
        <v>127</v>
      </c>
      <c r="E1052" s="10" t="s">
        <v>128</v>
      </c>
      <c r="F1052" s="10" t="s">
        <v>103</v>
      </c>
      <c r="G1052" s="10" t="s">
        <v>102</v>
      </c>
      <c r="H1052" s="10" t="s">
        <v>65</v>
      </c>
      <c r="I1052" s="10" t="s">
        <v>16</v>
      </c>
      <c r="J1052" s="10" t="s">
        <v>416</v>
      </c>
      <c r="K1052" s="10" t="s">
        <v>417</v>
      </c>
      <c r="L1052" s="10" t="s">
        <v>67</v>
      </c>
    </row>
    <row r="1053" spans="1:12" x14ac:dyDescent="0.25">
      <c r="A1053">
        <v>153</v>
      </c>
      <c r="B1053" s="10" t="s">
        <v>394</v>
      </c>
      <c r="C1053" s="10" t="s">
        <v>130</v>
      </c>
      <c r="D1053" s="10" t="s">
        <v>127</v>
      </c>
      <c r="E1053" s="10" t="s">
        <v>128</v>
      </c>
      <c r="F1053" s="10" t="s">
        <v>104</v>
      </c>
      <c r="G1053" s="10" t="s">
        <v>105</v>
      </c>
      <c r="H1053" s="10" t="s">
        <v>65</v>
      </c>
      <c r="I1053" s="10" t="s">
        <v>16</v>
      </c>
      <c r="J1053" s="10" t="s">
        <v>418</v>
      </c>
      <c r="K1053" s="10" t="s">
        <v>369</v>
      </c>
      <c r="L1053" s="10" t="s">
        <v>67</v>
      </c>
    </row>
    <row r="1054" spans="1:12" x14ac:dyDescent="0.25">
      <c r="A1054">
        <v>153</v>
      </c>
      <c r="B1054" s="10" t="s">
        <v>394</v>
      </c>
      <c r="C1054" s="10" t="s">
        <v>130</v>
      </c>
      <c r="D1054" s="10" t="s">
        <v>127</v>
      </c>
      <c r="E1054" s="10" t="s">
        <v>128</v>
      </c>
      <c r="F1054" s="10" t="s">
        <v>106</v>
      </c>
      <c r="G1054" s="10" t="s">
        <v>105</v>
      </c>
      <c r="H1054" s="10" t="s">
        <v>65</v>
      </c>
      <c r="I1054" s="10" t="s">
        <v>16</v>
      </c>
      <c r="J1054" s="10" t="s">
        <v>414</v>
      </c>
      <c r="K1054" s="10" t="s">
        <v>415</v>
      </c>
      <c r="L1054" s="10" t="s">
        <v>67</v>
      </c>
    </row>
    <row r="1055" spans="1:12" x14ac:dyDescent="0.25">
      <c r="A1055">
        <v>153</v>
      </c>
      <c r="B1055" s="10" t="s">
        <v>394</v>
      </c>
      <c r="C1055" s="10" t="s">
        <v>130</v>
      </c>
      <c r="D1055" s="10" t="s">
        <v>127</v>
      </c>
      <c r="E1055" s="10" t="s">
        <v>128</v>
      </c>
      <c r="F1055" s="10" t="s">
        <v>107</v>
      </c>
      <c r="G1055" s="10" t="s">
        <v>105</v>
      </c>
      <c r="H1055" s="10" t="s">
        <v>65</v>
      </c>
      <c r="I1055" s="10" t="s">
        <v>16</v>
      </c>
      <c r="J1055" s="10" t="s">
        <v>419</v>
      </c>
      <c r="K1055" s="10" t="s">
        <v>415</v>
      </c>
      <c r="L1055" s="10" t="s">
        <v>67</v>
      </c>
    </row>
    <row r="1056" spans="1:12" x14ac:dyDescent="0.25">
      <c r="A1056">
        <v>153</v>
      </c>
      <c r="B1056" s="10" t="s">
        <v>394</v>
      </c>
      <c r="C1056" s="10" t="s">
        <v>130</v>
      </c>
      <c r="D1056" s="10" t="s">
        <v>127</v>
      </c>
      <c r="E1056" s="10" t="s">
        <v>128</v>
      </c>
      <c r="F1056" s="10" t="s">
        <v>108</v>
      </c>
      <c r="G1056" s="10" t="s">
        <v>105</v>
      </c>
      <c r="H1056" s="10" t="s">
        <v>65</v>
      </c>
      <c r="I1056" s="10" t="s">
        <v>16</v>
      </c>
      <c r="J1056" s="10" t="s">
        <v>420</v>
      </c>
      <c r="K1056" s="10" t="s">
        <v>357</v>
      </c>
      <c r="L1056" s="10" t="s">
        <v>67</v>
      </c>
    </row>
    <row r="1057" spans="1:12" x14ac:dyDescent="0.25">
      <c r="A1057">
        <v>153</v>
      </c>
      <c r="B1057" s="10" t="s">
        <v>394</v>
      </c>
      <c r="C1057" s="10" t="s">
        <v>130</v>
      </c>
      <c r="D1057" s="10" t="s">
        <v>127</v>
      </c>
      <c r="E1057" s="10" t="s">
        <v>128</v>
      </c>
      <c r="F1057" s="10" t="s">
        <v>109</v>
      </c>
      <c r="G1057" s="10" t="s">
        <v>105</v>
      </c>
      <c r="H1057" s="10" t="s">
        <v>65</v>
      </c>
      <c r="I1057" s="10" t="s">
        <v>16</v>
      </c>
      <c r="J1057" s="10" t="s">
        <v>421</v>
      </c>
      <c r="K1057" s="10" t="s">
        <v>422</v>
      </c>
      <c r="L1057" s="10" t="s">
        <v>67</v>
      </c>
    </row>
    <row r="1058" spans="1:12" x14ac:dyDescent="0.25">
      <c r="A1058">
        <v>153</v>
      </c>
      <c r="B1058" s="10" t="s">
        <v>394</v>
      </c>
      <c r="C1058" s="10" t="s">
        <v>130</v>
      </c>
      <c r="D1058" s="10" t="s">
        <v>127</v>
      </c>
      <c r="E1058" s="10" t="s">
        <v>128</v>
      </c>
      <c r="F1058" s="10" t="s">
        <v>110</v>
      </c>
      <c r="G1058" s="10" t="s">
        <v>105</v>
      </c>
      <c r="H1058" s="10" t="s">
        <v>65</v>
      </c>
      <c r="I1058" s="10" t="s">
        <v>16</v>
      </c>
      <c r="J1058" s="10" t="s">
        <v>79</v>
      </c>
      <c r="K1058" s="10" t="s">
        <v>415</v>
      </c>
      <c r="L1058" s="10" t="s">
        <v>67</v>
      </c>
    </row>
    <row r="1059" spans="1:12" x14ac:dyDescent="0.25">
      <c r="A1059">
        <v>153</v>
      </c>
      <c r="B1059" s="10" t="s">
        <v>394</v>
      </c>
      <c r="C1059" s="10" t="s">
        <v>130</v>
      </c>
      <c r="D1059" s="10" t="s">
        <v>127</v>
      </c>
      <c r="E1059" s="10" t="s">
        <v>128</v>
      </c>
      <c r="F1059" s="10" t="s">
        <v>111</v>
      </c>
      <c r="G1059" s="10" t="s">
        <v>105</v>
      </c>
      <c r="H1059" s="10" t="s">
        <v>65</v>
      </c>
      <c r="I1059" s="10" t="s">
        <v>16</v>
      </c>
      <c r="J1059" s="10" t="s">
        <v>423</v>
      </c>
      <c r="K1059" s="10" t="s">
        <v>424</v>
      </c>
      <c r="L1059" s="10" t="s">
        <v>67</v>
      </c>
    </row>
    <row r="1060" spans="1:12" x14ac:dyDescent="0.25">
      <c r="A1060">
        <v>153</v>
      </c>
      <c r="B1060" s="10" t="s">
        <v>394</v>
      </c>
      <c r="C1060" s="10" t="s">
        <v>130</v>
      </c>
      <c r="D1060" s="10" t="s">
        <v>127</v>
      </c>
      <c r="E1060" s="10" t="s">
        <v>128</v>
      </c>
      <c r="F1060" s="10" t="s">
        <v>112</v>
      </c>
      <c r="G1060" s="10" t="s">
        <v>105</v>
      </c>
      <c r="H1060" s="10" t="s">
        <v>65</v>
      </c>
      <c r="I1060" s="10" t="s">
        <v>16</v>
      </c>
      <c r="J1060" s="10" t="s">
        <v>425</v>
      </c>
      <c r="K1060" s="10" t="s">
        <v>426</v>
      </c>
      <c r="L1060" s="10" t="s">
        <v>67</v>
      </c>
    </row>
    <row r="1061" spans="1:12" x14ac:dyDescent="0.25">
      <c r="A1061">
        <v>153</v>
      </c>
      <c r="B1061" s="10" t="s">
        <v>394</v>
      </c>
      <c r="C1061" s="10" t="s">
        <v>130</v>
      </c>
      <c r="D1061" s="10" t="s">
        <v>127</v>
      </c>
      <c r="E1061" s="10" t="s">
        <v>128</v>
      </c>
      <c r="F1061" s="10" t="s">
        <v>113</v>
      </c>
      <c r="G1061" s="10" t="s">
        <v>105</v>
      </c>
      <c r="H1061" s="10" t="s">
        <v>65</v>
      </c>
      <c r="I1061" s="10" t="s">
        <v>16</v>
      </c>
      <c r="J1061" s="10" t="s">
        <v>423</v>
      </c>
      <c r="K1061" s="10" t="s">
        <v>424</v>
      </c>
      <c r="L1061" s="10" t="s">
        <v>67</v>
      </c>
    </row>
    <row r="1062" spans="1:12" x14ac:dyDescent="0.25">
      <c r="A1062">
        <v>153</v>
      </c>
      <c r="B1062" s="10" t="s">
        <v>394</v>
      </c>
      <c r="C1062" s="10" t="s">
        <v>130</v>
      </c>
      <c r="D1062" s="10" t="s">
        <v>127</v>
      </c>
      <c r="E1062" s="10" t="s">
        <v>128</v>
      </c>
      <c r="F1062" s="10" t="s">
        <v>124</v>
      </c>
      <c r="G1062" s="10" t="s">
        <v>125</v>
      </c>
      <c r="H1062" s="10" t="s">
        <v>72</v>
      </c>
      <c r="I1062" s="10" t="s">
        <v>18</v>
      </c>
      <c r="J1062" s="10" t="s">
        <v>54</v>
      </c>
      <c r="K1062" s="10" t="s">
        <v>54</v>
      </c>
      <c r="L1062" s="10" t="s">
        <v>54</v>
      </c>
    </row>
    <row r="1063" spans="1:12" x14ac:dyDescent="0.25">
      <c r="A1063">
        <v>153</v>
      </c>
      <c r="B1063" s="10" t="s">
        <v>394</v>
      </c>
      <c r="C1063" s="10" t="s">
        <v>130</v>
      </c>
      <c r="D1063" s="10" t="s">
        <v>127</v>
      </c>
      <c r="E1063" s="10" t="s">
        <v>128</v>
      </c>
      <c r="F1063" s="10" t="s">
        <v>129</v>
      </c>
      <c r="G1063" s="10" t="s">
        <v>68</v>
      </c>
      <c r="H1063" s="10" t="s">
        <v>65</v>
      </c>
      <c r="I1063" s="10" t="s">
        <v>16</v>
      </c>
      <c r="J1063" s="10" t="s">
        <v>427</v>
      </c>
      <c r="K1063" s="10" t="s">
        <v>428</v>
      </c>
      <c r="L1063" s="10" t="s">
        <v>67</v>
      </c>
    </row>
    <row r="1064" spans="1:12" x14ac:dyDescent="0.25">
      <c r="A1064">
        <v>153</v>
      </c>
      <c r="B1064" s="10" t="s">
        <v>394</v>
      </c>
      <c r="C1064" s="10" t="s">
        <v>130</v>
      </c>
      <c r="D1064" s="10" t="s">
        <v>127</v>
      </c>
      <c r="E1064" s="10" t="s">
        <v>128</v>
      </c>
      <c r="F1064" s="10" t="s">
        <v>131</v>
      </c>
      <c r="G1064" s="10" t="s">
        <v>68</v>
      </c>
      <c r="H1064" s="10" t="s">
        <v>65</v>
      </c>
      <c r="I1064" s="10" t="s">
        <v>16</v>
      </c>
      <c r="J1064" s="10" t="s">
        <v>429</v>
      </c>
      <c r="K1064" s="10" t="s">
        <v>313</v>
      </c>
      <c r="L1064" s="10" t="s">
        <v>67</v>
      </c>
    </row>
    <row r="1065" spans="1:12" x14ac:dyDescent="0.25">
      <c r="A1065">
        <v>153</v>
      </c>
      <c r="B1065" s="10" t="s">
        <v>394</v>
      </c>
      <c r="C1065" s="10" t="s">
        <v>130</v>
      </c>
      <c r="D1065" s="10" t="s">
        <v>127</v>
      </c>
      <c r="E1065" s="10" t="s">
        <v>128</v>
      </c>
      <c r="F1065" s="10" t="s">
        <v>132</v>
      </c>
      <c r="G1065" s="10" t="s">
        <v>68</v>
      </c>
      <c r="H1065" s="10" t="s">
        <v>65</v>
      </c>
      <c r="I1065" s="10" t="s">
        <v>16</v>
      </c>
      <c r="J1065" s="10" t="s">
        <v>396</v>
      </c>
      <c r="K1065" s="10" t="s">
        <v>397</v>
      </c>
      <c r="L1065" s="10" t="s">
        <v>54</v>
      </c>
    </row>
    <row r="1066" spans="1:12" x14ac:dyDescent="0.25">
      <c r="A1066">
        <v>153</v>
      </c>
      <c r="B1066" s="10" t="s">
        <v>394</v>
      </c>
      <c r="C1066" s="10" t="s">
        <v>130</v>
      </c>
      <c r="D1066" s="10" t="s">
        <v>127</v>
      </c>
      <c r="E1066" s="10" t="s">
        <v>128</v>
      </c>
      <c r="F1066" s="10" t="s">
        <v>122</v>
      </c>
      <c r="G1066" s="10" t="s">
        <v>94</v>
      </c>
      <c r="H1066" s="10" t="s">
        <v>65</v>
      </c>
      <c r="I1066" s="10" t="s">
        <v>16</v>
      </c>
      <c r="J1066" s="10" t="s">
        <v>79</v>
      </c>
      <c r="K1066" s="10" t="s">
        <v>430</v>
      </c>
      <c r="L1066" s="10" t="s">
        <v>67</v>
      </c>
    </row>
    <row r="1067" spans="1:12" x14ac:dyDescent="0.25">
      <c r="A1067">
        <v>163</v>
      </c>
      <c r="B1067" s="10" t="s">
        <v>867</v>
      </c>
      <c r="C1067" s="10" t="s">
        <v>150</v>
      </c>
      <c r="D1067" s="10" t="s">
        <v>208</v>
      </c>
      <c r="E1067" s="10" t="s">
        <v>209</v>
      </c>
      <c r="F1067" s="10" t="s">
        <v>71</v>
      </c>
      <c r="G1067" s="10" t="s">
        <v>68</v>
      </c>
      <c r="H1067" s="10" t="s">
        <v>72</v>
      </c>
      <c r="I1067" s="10" t="s">
        <v>18</v>
      </c>
      <c r="J1067" s="10" t="s">
        <v>54</v>
      </c>
      <c r="K1067" s="10" t="s">
        <v>54</v>
      </c>
      <c r="L1067" s="10" t="s">
        <v>54</v>
      </c>
    </row>
    <row r="1068" spans="1:12" x14ac:dyDescent="0.25">
      <c r="A1068">
        <v>163</v>
      </c>
      <c r="B1068" s="10" t="s">
        <v>867</v>
      </c>
      <c r="C1068" s="10" t="s">
        <v>150</v>
      </c>
      <c r="D1068" s="10" t="s">
        <v>208</v>
      </c>
      <c r="E1068" s="10" t="s">
        <v>209</v>
      </c>
      <c r="F1068" s="10" t="s">
        <v>73</v>
      </c>
      <c r="G1068" s="10" t="s">
        <v>68</v>
      </c>
      <c r="H1068" s="10" t="s">
        <v>65</v>
      </c>
      <c r="I1068" s="10" t="s">
        <v>16</v>
      </c>
      <c r="J1068" s="10" t="s">
        <v>868</v>
      </c>
      <c r="K1068" s="10" t="s">
        <v>288</v>
      </c>
      <c r="L1068" s="10" t="s">
        <v>67</v>
      </c>
    </row>
    <row r="1069" spans="1:12" x14ac:dyDescent="0.25">
      <c r="A1069">
        <v>163</v>
      </c>
      <c r="B1069" s="10" t="s">
        <v>867</v>
      </c>
      <c r="C1069" s="10" t="s">
        <v>150</v>
      </c>
      <c r="D1069" s="10" t="s">
        <v>208</v>
      </c>
      <c r="E1069" s="10" t="s">
        <v>209</v>
      </c>
      <c r="F1069" s="10" t="s">
        <v>74</v>
      </c>
      <c r="G1069" s="10" t="s">
        <v>68</v>
      </c>
      <c r="H1069" s="10" t="s">
        <v>65</v>
      </c>
      <c r="I1069" s="10" t="s">
        <v>16</v>
      </c>
      <c r="J1069" s="10" t="s">
        <v>869</v>
      </c>
      <c r="K1069" s="10" t="s">
        <v>524</v>
      </c>
      <c r="L1069" s="10" t="s">
        <v>67</v>
      </c>
    </row>
    <row r="1070" spans="1:12" x14ac:dyDescent="0.25">
      <c r="A1070">
        <v>163</v>
      </c>
      <c r="B1070" s="10" t="s">
        <v>867</v>
      </c>
      <c r="C1070" s="10" t="s">
        <v>150</v>
      </c>
      <c r="D1070" s="10" t="s">
        <v>208</v>
      </c>
      <c r="E1070" s="10" t="s">
        <v>209</v>
      </c>
      <c r="F1070" s="10" t="s">
        <v>75</v>
      </c>
      <c r="G1070" s="10" t="s">
        <v>68</v>
      </c>
      <c r="H1070" s="10" t="s">
        <v>72</v>
      </c>
      <c r="I1070" s="10" t="s">
        <v>18</v>
      </c>
      <c r="J1070" s="10" t="s">
        <v>54</v>
      </c>
      <c r="K1070" s="10" t="s">
        <v>54</v>
      </c>
      <c r="L1070" s="10" t="s">
        <v>54</v>
      </c>
    </row>
    <row r="1071" spans="1:12" x14ac:dyDescent="0.25">
      <c r="A1071">
        <v>163</v>
      </c>
      <c r="B1071" s="10" t="s">
        <v>867</v>
      </c>
      <c r="C1071" s="10" t="s">
        <v>150</v>
      </c>
      <c r="D1071" s="10" t="s">
        <v>208</v>
      </c>
      <c r="E1071" s="10" t="s">
        <v>209</v>
      </c>
      <c r="F1071" s="10" t="s">
        <v>76</v>
      </c>
      <c r="G1071" s="10" t="s">
        <v>77</v>
      </c>
      <c r="H1071" s="10" t="s">
        <v>65</v>
      </c>
      <c r="I1071" s="10" t="s">
        <v>16</v>
      </c>
      <c r="J1071" s="10" t="s">
        <v>555</v>
      </c>
      <c r="K1071" s="10" t="s">
        <v>870</v>
      </c>
      <c r="L1071" s="10" t="s">
        <v>67</v>
      </c>
    </row>
    <row r="1072" spans="1:12" x14ac:dyDescent="0.25">
      <c r="A1072">
        <v>163</v>
      </c>
      <c r="B1072" s="10" t="s">
        <v>867</v>
      </c>
      <c r="C1072" s="10" t="s">
        <v>150</v>
      </c>
      <c r="D1072" s="10" t="s">
        <v>208</v>
      </c>
      <c r="E1072" s="10" t="s">
        <v>209</v>
      </c>
      <c r="F1072" s="10" t="s">
        <v>80</v>
      </c>
      <c r="G1072" s="10" t="s">
        <v>77</v>
      </c>
      <c r="H1072" s="10" t="s">
        <v>65</v>
      </c>
      <c r="I1072" s="10" t="s">
        <v>16</v>
      </c>
      <c r="J1072" s="10" t="s">
        <v>79</v>
      </c>
      <c r="K1072" s="10" t="s">
        <v>871</v>
      </c>
      <c r="L1072" s="10" t="s">
        <v>67</v>
      </c>
    </row>
    <row r="1073" spans="1:12" x14ac:dyDescent="0.25">
      <c r="A1073">
        <v>163</v>
      </c>
      <c r="B1073" s="10" t="s">
        <v>867</v>
      </c>
      <c r="C1073" s="10" t="s">
        <v>150</v>
      </c>
      <c r="D1073" s="10" t="s">
        <v>208</v>
      </c>
      <c r="E1073" s="10" t="s">
        <v>209</v>
      </c>
      <c r="F1073" s="10" t="s">
        <v>84</v>
      </c>
      <c r="G1073" s="10" t="s">
        <v>83</v>
      </c>
      <c r="H1073" s="10" t="s">
        <v>65</v>
      </c>
      <c r="I1073" s="10" t="s">
        <v>16</v>
      </c>
      <c r="J1073" s="10" t="s">
        <v>410</v>
      </c>
      <c r="K1073" s="10" t="s">
        <v>411</v>
      </c>
      <c r="L1073" s="10" t="s">
        <v>67</v>
      </c>
    </row>
    <row r="1074" spans="1:12" x14ac:dyDescent="0.25">
      <c r="A1074">
        <v>163</v>
      </c>
      <c r="B1074" s="10" t="s">
        <v>867</v>
      </c>
      <c r="C1074" s="10" t="s">
        <v>150</v>
      </c>
      <c r="D1074" s="10" t="s">
        <v>208</v>
      </c>
      <c r="E1074" s="10" t="s">
        <v>209</v>
      </c>
      <c r="F1074" s="10" t="s">
        <v>93</v>
      </c>
      <c r="G1074" s="10" t="s">
        <v>94</v>
      </c>
      <c r="H1074" s="10" t="s">
        <v>65</v>
      </c>
      <c r="I1074" s="10" t="s">
        <v>16</v>
      </c>
      <c r="J1074" s="10" t="s">
        <v>872</v>
      </c>
      <c r="K1074" s="10" t="s">
        <v>873</v>
      </c>
      <c r="L1074" s="10" t="s">
        <v>67</v>
      </c>
    </row>
    <row r="1075" spans="1:12" x14ac:dyDescent="0.25">
      <c r="A1075">
        <v>163</v>
      </c>
      <c r="B1075" s="10" t="s">
        <v>867</v>
      </c>
      <c r="C1075" s="10" t="s">
        <v>150</v>
      </c>
      <c r="D1075" s="10" t="s">
        <v>208</v>
      </c>
      <c r="E1075" s="10" t="s">
        <v>209</v>
      </c>
      <c r="F1075" s="10" t="s">
        <v>95</v>
      </c>
      <c r="G1075" s="10" t="s">
        <v>94</v>
      </c>
      <c r="H1075" s="10" t="s">
        <v>65</v>
      </c>
      <c r="I1075" s="10" t="s">
        <v>16</v>
      </c>
      <c r="J1075" s="10" t="s">
        <v>872</v>
      </c>
      <c r="K1075" s="10" t="s">
        <v>873</v>
      </c>
      <c r="L1075" s="10" t="s">
        <v>67</v>
      </c>
    </row>
    <row r="1076" spans="1:12" x14ac:dyDescent="0.25">
      <c r="A1076">
        <v>163</v>
      </c>
      <c r="B1076" s="10" t="s">
        <v>867</v>
      </c>
      <c r="C1076" s="10" t="s">
        <v>150</v>
      </c>
      <c r="D1076" s="10" t="s">
        <v>208</v>
      </c>
      <c r="E1076" s="10" t="s">
        <v>209</v>
      </c>
      <c r="F1076" s="10" t="s">
        <v>97</v>
      </c>
      <c r="G1076" s="10" t="s">
        <v>98</v>
      </c>
      <c r="H1076" s="10" t="s">
        <v>65</v>
      </c>
      <c r="I1076" s="10" t="s">
        <v>16</v>
      </c>
      <c r="J1076" s="10" t="s">
        <v>414</v>
      </c>
      <c r="K1076" s="10" t="s">
        <v>415</v>
      </c>
      <c r="L1076" s="10" t="s">
        <v>67</v>
      </c>
    </row>
    <row r="1077" spans="1:12" x14ac:dyDescent="0.25">
      <c r="A1077">
        <v>163</v>
      </c>
      <c r="B1077" s="10" t="s">
        <v>867</v>
      </c>
      <c r="C1077" s="10" t="s">
        <v>150</v>
      </c>
      <c r="D1077" s="10" t="s">
        <v>208</v>
      </c>
      <c r="E1077" s="10" t="s">
        <v>209</v>
      </c>
      <c r="F1077" s="10" t="s">
        <v>99</v>
      </c>
      <c r="G1077" s="10" t="s">
        <v>98</v>
      </c>
      <c r="H1077" s="10" t="s">
        <v>65</v>
      </c>
      <c r="I1077" s="10" t="s">
        <v>16</v>
      </c>
      <c r="J1077" s="10" t="s">
        <v>818</v>
      </c>
      <c r="K1077" s="10" t="s">
        <v>819</v>
      </c>
      <c r="L1077" s="10" t="s">
        <v>67</v>
      </c>
    </row>
    <row r="1078" spans="1:12" x14ac:dyDescent="0.25">
      <c r="A1078">
        <v>163</v>
      </c>
      <c r="B1078" s="10" t="s">
        <v>867</v>
      </c>
      <c r="C1078" s="10" t="s">
        <v>150</v>
      </c>
      <c r="D1078" s="10" t="s">
        <v>208</v>
      </c>
      <c r="E1078" s="10" t="s">
        <v>209</v>
      </c>
      <c r="F1078" s="10" t="s">
        <v>100</v>
      </c>
      <c r="G1078" s="10" t="s">
        <v>98</v>
      </c>
      <c r="H1078" s="10" t="s">
        <v>65</v>
      </c>
      <c r="I1078" s="10" t="s">
        <v>16</v>
      </c>
      <c r="J1078" s="10" t="s">
        <v>818</v>
      </c>
      <c r="K1078" s="10" t="s">
        <v>819</v>
      </c>
      <c r="L1078" s="10" t="s">
        <v>67</v>
      </c>
    </row>
    <row r="1079" spans="1:12" x14ac:dyDescent="0.25">
      <c r="A1079">
        <v>163</v>
      </c>
      <c r="B1079" s="10" t="s">
        <v>867</v>
      </c>
      <c r="C1079" s="10" t="s">
        <v>150</v>
      </c>
      <c r="D1079" s="10" t="s">
        <v>208</v>
      </c>
      <c r="E1079" s="10" t="s">
        <v>209</v>
      </c>
      <c r="F1079" s="10" t="s">
        <v>101</v>
      </c>
      <c r="G1079" s="10" t="s">
        <v>102</v>
      </c>
      <c r="H1079" s="10" t="s">
        <v>65</v>
      </c>
      <c r="I1079" s="10" t="s">
        <v>16</v>
      </c>
      <c r="J1079" s="10" t="s">
        <v>79</v>
      </c>
      <c r="K1079" s="10" t="s">
        <v>874</v>
      </c>
      <c r="L1079" s="10" t="s">
        <v>67</v>
      </c>
    </row>
    <row r="1080" spans="1:12" x14ac:dyDescent="0.25">
      <c r="A1080">
        <v>163</v>
      </c>
      <c r="B1080" s="10" t="s">
        <v>867</v>
      </c>
      <c r="C1080" s="10" t="s">
        <v>150</v>
      </c>
      <c r="D1080" s="10" t="s">
        <v>208</v>
      </c>
      <c r="E1080" s="10" t="s">
        <v>209</v>
      </c>
      <c r="F1080" s="10" t="s">
        <v>103</v>
      </c>
      <c r="G1080" s="10" t="s">
        <v>102</v>
      </c>
      <c r="H1080" s="10" t="s">
        <v>65</v>
      </c>
      <c r="I1080" s="10" t="s">
        <v>16</v>
      </c>
      <c r="J1080" s="10" t="s">
        <v>875</v>
      </c>
      <c r="K1080" s="10" t="s">
        <v>876</v>
      </c>
      <c r="L1080" s="10" t="s">
        <v>67</v>
      </c>
    </row>
    <row r="1081" spans="1:12" x14ac:dyDescent="0.25">
      <c r="A1081">
        <v>163</v>
      </c>
      <c r="B1081" s="10" t="s">
        <v>867</v>
      </c>
      <c r="C1081" s="10" t="s">
        <v>150</v>
      </c>
      <c r="D1081" s="10" t="s">
        <v>208</v>
      </c>
      <c r="E1081" s="10" t="s">
        <v>209</v>
      </c>
      <c r="F1081" s="10" t="s">
        <v>104</v>
      </c>
      <c r="G1081" s="10" t="s">
        <v>105</v>
      </c>
      <c r="H1081" s="10" t="s">
        <v>65</v>
      </c>
      <c r="I1081" s="10" t="s">
        <v>16</v>
      </c>
      <c r="J1081" s="10" t="s">
        <v>587</v>
      </c>
      <c r="K1081" s="10" t="s">
        <v>588</v>
      </c>
      <c r="L1081" s="10" t="s">
        <v>67</v>
      </c>
    </row>
    <row r="1082" spans="1:12" x14ac:dyDescent="0.25">
      <c r="A1082">
        <v>163</v>
      </c>
      <c r="B1082" s="10" t="s">
        <v>867</v>
      </c>
      <c r="C1082" s="10" t="s">
        <v>150</v>
      </c>
      <c r="D1082" s="10" t="s">
        <v>208</v>
      </c>
      <c r="E1082" s="10" t="s">
        <v>209</v>
      </c>
      <c r="F1082" s="10" t="s">
        <v>106</v>
      </c>
      <c r="G1082" s="10" t="s">
        <v>105</v>
      </c>
      <c r="H1082" s="10" t="s">
        <v>65</v>
      </c>
      <c r="I1082" s="10" t="s">
        <v>16</v>
      </c>
      <c r="J1082" s="10" t="s">
        <v>447</v>
      </c>
      <c r="K1082" s="10" t="s">
        <v>391</v>
      </c>
      <c r="L1082" s="10" t="s">
        <v>67</v>
      </c>
    </row>
    <row r="1083" spans="1:12" x14ac:dyDescent="0.25">
      <c r="A1083">
        <v>163</v>
      </c>
      <c r="B1083" s="10" t="s">
        <v>867</v>
      </c>
      <c r="C1083" s="10" t="s">
        <v>150</v>
      </c>
      <c r="D1083" s="10" t="s">
        <v>208</v>
      </c>
      <c r="E1083" s="10" t="s">
        <v>209</v>
      </c>
      <c r="F1083" s="10" t="s">
        <v>107</v>
      </c>
      <c r="G1083" s="10" t="s">
        <v>105</v>
      </c>
      <c r="H1083" s="10" t="s">
        <v>65</v>
      </c>
      <c r="I1083" s="10" t="s">
        <v>16</v>
      </c>
      <c r="J1083" s="10" t="s">
        <v>450</v>
      </c>
      <c r="K1083" s="10" t="s">
        <v>391</v>
      </c>
      <c r="L1083" s="10" t="s">
        <v>67</v>
      </c>
    </row>
    <row r="1084" spans="1:12" x14ac:dyDescent="0.25">
      <c r="A1084">
        <v>163</v>
      </c>
      <c r="B1084" s="10" t="s">
        <v>867</v>
      </c>
      <c r="C1084" s="10" t="s">
        <v>150</v>
      </c>
      <c r="D1084" s="10" t="s">
        <v>208</v>
      </c>
      <c r="E1084" s="10" t="s">
        <v>209</v>
      </c>
      <c r="F1084" s="10" t="s">
        <v>108</v>
      </c>
      <c r="G1084" s="10" t="s">
        <v>105</v>
      </c>
      <c r="H1084" s="10" t="s">
        <v>65</v>
      </c>
      <c r="I1084" s="10" t="s">
        <v>16</v>
      </c>
      <c r="J1084" s="10" t="s">
        <v>841</v>
      </c>
      <c r="K1084" s="10" t="s">
        <v>842</v>
      </c>
      <c r="L1084" s="10" t="s">
        <v>67</v>
      </c>
    </row>
    <row r="1085" spans="1:12" x14ac:dyDescent="0.25">
      <c r="A1085">
        <v>163</v>
      </c>
      <c r="B1085" s="10" t="s">
        <v>867</v>
      </c>
      <c r="C1085" s="10" t="s">
        <v>150</v>
      </c>
      <c r="D1085" s="10" t="s">
        <v>208</v>
      </c>
      <c r="E1085" s="10" t="s">
        <v>209</v>
      </c>
      <c r="F1085" s="10" t="s">
        <v>109</v>
      </c>
      <c r="G1085" s="10" t="s">
        <v>105</v>
      </c>
      <c r="H1085" s="10" t="s">
        <v>65</v>
      </c>
      <c r="I1085" s="10" t="s">
        <v>16</v>
      </c>
      <c r="J1085" s="10" t="s">
        <v>587</v>
      </c>
      <c r="K1085" s="10" t="s">
        <v>588</v>
      </c>
      <c r="L1085" s="10" t="s">
        <v>67</v>
      </c>
    </row>
    <row r="1086" spans="1:12" x14ac:dyDescent="0.25">
      <c r="A1086">
        <v>163</v>
      </c>
      <c r="B1086" s="10" t="s">
        <v>867</v>
      </c>
      <c r="C1086" s="10" t="s">
        <v>150</v>
      </c>
      <c r="D1086" s="10" t="s">
        <v>208</v>
      </c>
      <c r="E1086" s="10" t="s">
        <v>209</v>
      </c>
      <c r="F1086" s="10" t="s">
        <v>110</v>
      </c>
      <c r="G1086" s="10" t="s">
        <v>105</v>
      </c>
      <c r="H1086" s="10" t="s">
        <v>65</v>
      </c>
      <c r="I1086" s="10" t="s">
        <v>16</v>
      </c>
      <c r="J1086" s="10" t="s">
        <v>79</v>
      </c>
      <c r="K1086" s="10" t="s">
        <v>391</v>
      </c>
      <c r="L1086" s="10" t="s">
        <v>67</v>
      </c>
    </row>
    <row r="1087" spans="1:12" x14ac:dyDescent="0.25">
      <c r="A1087">
        <v>163</v>
      </c>
      <c r="B1087" s="10" t="s">
        <v>867</v>
      </c>
      <c r="C1087" s="10" t="s">
        <v>150</v>
      </c>
      <c r="D1087" s="10" t="s">
        <v>208</v>
      </c>
      <c r="E1087" s="10" t="s">
        <v>209</v>
      </c>
      <c r="F1087" s="10" t="s">
        <v>111</v>
      </c>
      <c r="G1087" s="10" t="s">
        <v>105</v>
      </c>
      <c r="H1087" s="10" t="s">
        <v>65</v>
      </c>
      <c r="I1087" s="10" t="s">
        <v>16</v>
      </c>
      <c r="J1087" s="10" t="s">
        <v>453</v>
      </c>
      <c r="K1087" s="10" t="s">
        <v>454</v>
      </c>
      <c r="L1087" s="10" t="s">
        <v>67</v>
      </c>
    </row>
    <row r="1088" spans="1:12" x14ac:dyDescent="0.25">
      <c r="A1088">
        <v>163</v>
      </c>
      <c r="B1088" s="10" t="s">
        <v>867</v>
      </c>
      <c r="C1088" s="10" t="s">
        <v>150</v>
      </c>
      <c r="D1088" s="10" t="s">
        <v>208</v>
      </c>
      <c r="E1088" s="10" t="s">
        <v>209</v>
      </c>
      <c r="F1088" s="10" t="s">
        <v>112</v>
      </c>
      <c r="G1088" s="10" t="s">
        <v>105</v>
      </c>
      <c r="H1088" s="10" t="s">
        <v>65</v>
      </c>
      <c r="I1088" s="10" t="s">
        <v>16</v>
      </c>
      <c r="J1088" s="10" t="s">
        <v>499</v>
      </c>
      <c r="K1088" s="10" t="s">
        <v>500</v>
      </c>
      <c r="L1088" s="10" t="s">
        <v>67</v>
      </c>
    </row>
    <row r="1089" spans="1:12" x14ac:dyDescent="0.25">
      <c r="A1089">
        <v>163</v>
      </c>
      <c r="B1089" s="10" t="s">
        <v>867</v>
      </c>
      <c r="C1089" s="10" t="s">
        <v>150</v>
      </c>
      <c r="D1089" s="10" t="s">
        <v>208</v>
      </c>
      <c r="E1089" s="10" t="s">
        <v>209</v>
      </c>
      <c r="F1089" s="10" t="s">
        <v>113</v>
      </c>
      <c r="G1089" s="10" t="s">
        <v>105</v>
      </c>
      <c r="H1089" s="10" t="s">
        <v>65</v>
      </c>
      <c r="I1089" s="10" t="s">
        <v>16</v>
      </c>
      <c r="J1089" s="10" t="s">
        <v>332</v>
      </c>
      <c r="K1089" s="10" t="s">
        <v>333</v>
      </c>
      <c r="L1089" s="10" t="s">
        <v>67</v>
      </c>
    </row>
    <row r="1090" spans="1:12" x14ac:dyDescent="0.25">
      <c r="A1090">
        <v>163</v>
      </c>
      <c r="B1090" s="10" t="s">
        <v>867</v>
      </c>
      <c r="C1090" s="10" t="s">
        <v>150</v>
      </c>
      <c r="D1090" s="10" t="s">
        <v>208</v>
      </c>
      <c r="E1090" s="10" t="s">
        <v>209</v>
      </c>
      <c r="F1090" s="10" t="s">
        <v>149</v>
      </c>
      <c r="G1090" s="10" t="s">
        <v>68</v>
      </c>
      <c r="H1090" s="10" t="s">
        <v>65</v>
      </c>
      <c r="I1090" s="10" t="s">
        <v>16</v>
      </c>
      <c r="J1090" s="10" t="s">
        <v>558</v>
      </c>
      <c r="K1090" s="10" t="s">
        <v>877</v>
      </c>
      <c r="L1090" s="10" t="s">
        <v>67</v>
      </c>
    </row>
    <row r="1091" spans="1:12" x14ac:dyDescent="0.25">
      <c r="A1091">
        <v>244</v>
      </c>
      <c r="B1091" s="10" t="s">
        <v>692</v>
      </c>
      <c r="C1091" s="10" t="s">
        <v>185</v>
      </c>
      <c r="D1091" s="10" t="s">
        <v>182</v>
      </c>
      <c r="E1091" s="10" t="s">
        <v>183</v>
      </c>
      <c r="F1091" s="10" t="s">
        <v>71</v>
      </c>
      <c r="G1091" s="10" t="s">
        <v>68</v>
      </c>
      <c r="H1091" s="10" t="s">
        <v>72</v>
      </c>
      <c r="I1091" s="10" t="s">
        <v>18</v>
      </c>
      <c r="J1091" s="10" t="s">
        <v>54</v>
      </c>
      <c r="K1091" s="10" t="s">
        <v>54</v>
      </c>
      <c r="L1091" s="10" t="s">
        <v>54</v>
      </c>
    </row>
    <row r="1092" spans="1:12" x14ac:dyDescent="0.25">
      <c r="A1092">
        <v>244</v>
      </c>
      <c r="B1092" s="10" t="s">
        <v>692</v>
      </c>
      <c r="C1092" s="10" t="s">
        <v>185</v>
      </c>
      <c r="D1092" s="10" t="s">
        <v>182</v>
      </c>
      <c r="E1092" s="10" t="s">
        <v>183</v>
      </c>
      <c r="F1092" s="10" t="s">
        <v>73</v>
      </c>
      <c r="G1092" s="10" t="s">
        <v>68</v>
      </c>
      <c r="H1092" s="10" t="s">
        <v>65</v>
      </c>
      <c r="I1092" s="10" t="s">
        <v>16</v>
      </c>
      <c r="J1092" s="10" t="s">
        <v>693</v>
      </c>
      <c r="K1092" s="10" t="s">
        <v>694</v>
      </c>
      <c r="L1092" s="10" t="s">
        <v>67</v>
      </c>
    </row>
    <row r="1093" spans="1:12" x14ac:dyDescent="0.25">
      <c r="A1093">
        <v>244</v>
      </c>
      <c r="B1093" s="10" t="s">
        <v>692</v>
      </c>
      <c r="C1093" s="10" t="s">
        <v>185</v>
      </c>
      <c r="D1093" s="10" t="s">
        <v>182</v>
      </c>
      <c r="E1093" s="10" t="s">
        <v>183</v>
      </c>
      <c r="F1093" s="10" t="s">
        <v>74</v>
      </c>
      <c r="G1093" s="10" t="s">
        <v>68</v>
      </c>
      <c r="H1093" s="10" t="s">
        <v>65</v>
      </c>
      <c r="I1093" s="10" t="s">
        <v>16</v>
      </c>
      <c r="J1093" s="10" t="s">
        <v>326</v>
      </c>
      <c r="K1093" s="10" t="s">
        <v>695</v>
      </c>
      <c r="L1093" s="10" t="s">
        <v>67</v>
      </c>
    </row>
    <row r="1094" spans="1:12" x14ac:dyDescent="0.25">
      <c r="A1094">
        <v>244</v>
      </c>
      <c r="B1094" s="10" t="s">
        <v>692</v>
      </c>
      <c r="C1094" s="10" t="s">
        <v>185</v>
      </c>
      <c r="D1094" s="10" t="s">
        <v>182</v>
      </c>
      <c r="E1094" s="10" t="s">
        <v>183</v>
      </c>
      <c r="F1094" s="10" t="s">
        <v>75</v>
      </c>
      <c r="G1094" s="10" t="s">
        <v>68</v>
      </c>
      <c r="H1094" s="10" t="s">
        <v>72</v>
      </c>
      <c r="I1094" s="10" t="s">
        <v>18</v>
      </c>
      <c r="J1094" s="10" t="s">
        <v>54</v>
      </c>
      <c r="K1094" s="10" t="s">
        <v>54</v>
      </c>
      <c r="L1094" s="10" t="s">
        <v>54</v>
      </c>
    </row>
    <row r="1095" spans="1:12" x14ac:dyDescent="0.25">
      <c r="A1095">
        <v>244</v>
      </c>
      <c r="B1095" s="10" t="s">
        <v>692</v>
      </c>
      <c r="C1095" s="10" t="s">
        <v>185</v>
      </c>
      <c r="D1095" s="10" t="s">
        <v>182</v>
      </c>
      <c r="E1095" s="10" t="s">
        <v>183</v>
      </c>
      <c r="F1095" s="10" t="s">
        <v>76</v>
      </c>
      <c r="G1095" s="10" t="s">
        <v>77</v>
      </c>
      <c r="H1095" s="10" t="s">
        <v>65</v>
      </c>
      <c r="I1095" s="10" t="s">
        <v>16</v>
      </c>
      <c r="J1095" s="10" t="s">
        <v>317</v>
      </c>
      <c r="K1095" s="10" t="s">
        <v>696</v>
      </c>
      <c r="L1095" s="10" t="s">
        <v>67</v>
      </c>
    </row>
    <row r="1096" spans="1:12" x14ac:dyDescent="0.25">
      <c r="A1096">
        <v>244</v>
      </c>
      <c r="B1096" s="10" t="s">
        <v>692</v>
      </c>
      <c r="C1096" s="10" t="s">
        <v>185</v>
      </c>
      <c r="D1096" s="10" t="s">
        <v>182</v>
      </c>
      <c r="E1096" s="10" t="s">
        <v>183</v>
      </c>
      <c r="F1096" s="10" t="s">
        <v>97</v>
      </c>
      <c r="G1096" s="10" t="s">
        <v>98</v>
      </c>
      <c r="H1096" s="10" t="s">
        <v>65</v>
      </c>
      <c r="I1096" s="10" t="s">
        <v>16</v>
      </c>
      <c r="J1096" s="10" t="s">
        <v>697</v>
      </c>
      <c r="K1096" s="10" t="s">
        <v>698</v>
      </c>
      <c r="L1096" s="10" t="s">
        <v>67</v>
      </c>
    </row>
    <row r="1097" spans="1:12" x14ac:dyDescent="0.25">
      <c r="A1097">
        <v>244</v>
      </c>
      <c r="B1097" s="10" t="s">
        <v>692</v>
      </c>
      <c r="C1097" s="10" t="s">
        <v>185</v>
      </c>
      <c r="D1097" s="10" t="s">
        <v>182</v>
      </c>
      <c r="E1097" s="10" t="s">
        <v>183</v>
      </c>
      <c r="F1097" s="10" t="s">
        <v>101</v>
      </c>
      <c r="G1097" s="10" t="s">
        <v>102</v>
      </c>
      <c r="H1097" s="10" t="s">
        <v>65</v>
      </c>
      <c r="I1097" s="10" t="s">
        <v>16</v>
      </c>
      <c r="J1097" s="10" t="s">
        <v>79</v>
      </c>
      <c r="K1097" s="10" t="s">
        <v>349</v>
      </c>
      <c r="L1097" s="10" t="s">
        <v>67</v>
      </c>
    </row>
    <row r="1098" spans="1:12" x14ac:dyDescent="0.25">
      <c r="A1098">
        <v>244</v>
      </c>
      <c r="B1098" s="10" t="s">
        <v>692</v>
      </c>
      <c r="C1098" s="10" t="s">
        <v>185</v>
      </c>
      <c r="D1098" s="10" t="s">
        <v>182</v>
      </c>
      <c r="E1098" s="10" t="s">
        <v>183</v>
      </c>
      <c r="F1098" s="10" t="s">
        <v>103</v>
      </c>
      <c r="G1098" s="10" t="s">
        <v>102</v>
      </c>
      <c r="H1098" s="10" t="s">
        <v>65</v>
      </c>
      <c r="I1098" s="10" t="s">
        <v>16</v>
      </c>
      <c r="J1098" s="10" t="s">
        <v>314</v>
      </c>
      <c r="K1098" s="10" t="s">
        <v>315</v>
      </c>
      <c r="L1098" s="10" t="s">
        <v>67</v>
      </c>
    </row>
    <row r="1099" spans="1:12" x14ac:dyDescent="0.25">
      <c r="A1099">
        <v>244</v>
      </c>
      <c r="B1099" s="10" t="s">
        <v>692</v>
      </c>
      <c r="C1099" s="10" t="s">
        <v>185</v>
      </c>
      <c r="D1099" s="10" t="s">
        <v>182</v>
      </c>
      <c r="E1099" s="10" t="s">
        <v>183</v>
      </c>
      <c r="F1099" s="10" t="s">
        <v>104</v>
      </c>
      <c r="G1099" s="10" t="s">
        <v>105</v>
      </c>
      <c r="H1099" s="10" t="s">
        <v>65</v>
      </c>
      <c r="I1099" s="10" t="s">
        <v>16</v>
      </c>
      <c r="J1099" s="10" t="s">
        <v>699</v>
      </c>
      <c r="K1099" s="10" t="s">
        <v>700</v>
      </c>
      <c r="L1099" s="10" t="s">
        <v>67</v>
      </c>
    </row>
    <row r="1100" spans="1:12" x14ac:dyDescent="0.25">
      <c r="A1100">
        <v>244</v>
      </c>
      <c r="B1100" s="10" t="s">
        <v>692</v>
      </c>
      <c r="C1100" s="10" t="s">
        <v>185</v>
      </c>
      <c r="D1100" s="10" t="s">
        <v>182</v>
      </c>
      <c r="E1100" s="10" t="s">
        <v>183</v>
      </c>
      <c r="F1100" s="10" t="s">
        <v>106</v>
      </c>
      <c r="G1100" s="10" t="s">
        <v>105</v>
      </c>
      <c r="H1100" s="10" t="s">
        <v>65</v>
      </c>
      <c r="I1100" s="10" t="s">
        <v>16</v>
      </c>
      <c r="J1100" s="10" t="s">
        <v>697</v>
      </c>
      <c r="K1100" s="10" t="s">
        <v>698</v>
      </c>
      <c r="L1100" s="10" t="s">
        <v>67</v>
      </c>
    </row>
    <row r="1101" spans="1:12" x14ac:dyDescent="0.25">
      <c r="A1101">
        <v>244</v>
      </c>
      <c r="B1101" s="10" t="s">
        <v>692</v>
      </c>
      <c r="C1101" s="10" t="s">
        <v>185</v>
      </c>
      <c r="D1101" s="10" t="s">
        <v>182</v>
      </c>
      <c r="E1101" s="10" t="s">
        <v>183</v>
      </c>
      <c r="F1101" s="10" t="s">
        <v>107</v>
      </c>
      <c r="G1101" s="10" t="s">
        <v>105</v>
      </c>
      <c r="H1101" s="10" t="s">
        <v>65</v>
      </c>
      <c r="I1101" s="10" t="s">
        <v>16</v>
      </c>
      <c r="J1101" s="10" t="s">
        <v>701</v>
      </c>
      <c r="K1101" s="10" t="s">
        <v>698</v>
      </c>
      <c r="L1101" s="10" t="s">
        <v>67</v>
      </c>
    </row>
    <row r="1102" spans="1:12" x14ac:dyDescent="0.25">
      <c r="A1102">
        <v>244</v>
      </c>
      <c r="B1102" s="10" t="s">
        <v>692</v>
      </c>
      <c r="C1102" s="10" t="s">
        <v>185</v>
      </c>
      <c r="D1102" s="10" t="s">
        <v>182</v>
      </c>
      <c r="E1102" s="10" t="s">
        <v>183</v>
      </c>
      <c r="F1102" s="10" t="s">
        <v>108</v>
      </c>
      <c r="G1102" s="10" t="s">
        <v>105</v>
      </c>
      <c r="H1102" s="10" t="s">
        <v>65</v>
      </c>
      <c r="I1102" s="10" t="s">
        <v>16</v>
      </c>
      <c r="J1102" s="10" t="s">
        <v>702</v>
      </c>
      <c r="K1102" s="10" t="s">
        <v>703</v>
      </c>
      <c r="L1102" s="10" t="s">
        <v>67</v>
      </c>
    </row>
    <row r="1103" spans="1:12" x14ac:dyDescent="0.25">
      <c r="A1103">
        <v>244</v>
      </c>
      <c r="B1103" s="10" t="s">
        <v>692</v>
      </c>
      <c r="C1103" s="10" t="s">
        <v>185</v>
      </c>
      <c r="D1103" s="10" t="s">
        <v>182</v>
      </c>
      <c r="E1103" s="10" t="s">
        <v>183</v>
      </c>
      <c r="F1103" s="10" t="s">
        <v>109</v>
      </c>
      <c r="G1103" s="10" t="s">
        <v>105</v>
      </c>
      <c r="H1103" s="10" t="s">
        <v>65</v>
      </c>
      <c r="I1103" s="10" t="s">
        <v>16</v>
      </c>
      <c r="J1103" s="10" t="s">
        <v>699</v>
      </c>
      <c r="K1103" s="10" t="s">
        <v>700</v>
      </c>
      <c r="L1103" s="10" t="s">
        <v>67</v>
      </c>
    </row>
    <row r="1104" spans="1:12" x14ac:dyDescent="0.25">
      <c r="A1104">
        <v>244</v>
      </c>
      <c r="B1104" s="10" t="s">
        <v>692</v>
      </c>
      <c r="C1104" s="10" t="s">
        <v>185</v>
      </c>
      <c r="D1104" s="10" t="s">
        <v>182</v>
      </c>
      <c r="E1104" s="10" t="s">
        <v>183</v>
      </c>
      <c r="F1104" s="10" t="s">
        <v>110</v>
      </c>
      <c r="G1104" s="10" t="s">
        <v>105</v>
      </c>
      <c r="H1104" s="10" t="s">
        <v>65</v>
      </c>
      <c r="I1104" s="10" t="s">
        <v>16</v>
      </c>
      <c r="J1104" s="10" t="s">
        <v>79</v>
      </c>
      <c r="K1104" s="10" t="s">
        <v>704</v>
      </c>
      <c r="L1104" s="10" t="s">
        <v>67</v>
      </c>
    </row>
    <row r="1105" spans="1:12" x14ac:dyDescent="0.25">
      <c r="A1105">
        <v>244</v>
      </c>
      <c r="B1105" s="10" t="s">
        <v>692</v>
      </c>
      <c r="C1105" s="10" t="s">
        <v>185</v>
      </c>
      <c r="D1105" s="10" t="s">
        <v>182</v>
      </c>
      <c r="E1105" s="10" t="s">
        <v>183</v>
      </c>
      <c r="F1105" s="10" t="s">
        <v>111</v>
      </c>
      <c r="G1105" s="10" t="s">
        <v>105</v>
      </c>
      <c r="H1105" s="10" t="s">
        <v>65</v>
      </c>
      <c r="I1105" s="10" t="s">
        <v>16</v>
      </c>
      <c r="J1105" s="10" t="s">
        <v>499</v>
      </c>
      <c r="K1105" s="10" t="s">
        <v>500</v>
      </c>
      <c r="L1105" s="10" t="s">
        <v>67</v>
      </c>
    </row>
    <row r="1106" spans="1:12" x14ac:dyDescent="0.25">
      <c r="A1106">
        <v>244</v>
      </c>
      <c r="B1106" s="10" t="s">
        <v>692</v>
      </c>
      <c r="C1106" s="10" t="s">
        <v>185</v>
      </c>
      <c r="D1106" s="10" t="s">
        <v>182</v>
      </c>
      <c r="E1106" s="10" t="s">
        <v>183</v>
      </c>
      <c r="F1106" s="10" t="s">
        <v>112</v>
      </c>
      <c r="G1106" s="10" t="s">
        <v>105</v>
      </c>
      <c r="H1106" s="10" t="s">
        <v>65</v>
      </c>
      <c r="I1106" s="10" t="s">
        <v>16</v>
      </c>
      <c r="J1106" s="10" t="s">
        <v>705</v>
      </c>
      <c r="K1106" s="10" t="s">
        <v>698</v>
      </c>
      <c r="L1106" s="10" t="s">
        <v>67</v>
      </c>
    </row>
    <row r="1107" spans="1:12" x14ac:dyDescent="0.25">
      <c r="A1107">
        <v>244</v>
      </c>
      <c r="B1107" s="10" t="s">
        <v>692</v>
      </c>
      <c r="C1107" s="10" t="s">
        <v>185</v>
      </c>
      <c r="D1107" s="10" t="s">
        <v>182</v>
      </c>
      <c r="E1107" s="10" t="s">
        <v>183</v>
      </c>
      <c r="F1107" s="10" t="s">
        <v>113</v>
      </c>
      <c r="G1107" s="10" t="s">
        <v>105</v>
      </c>
      <c r="H1107" s="10" t="s">
        <v>65</v>
      </c>
      <c r="I1107" s="10" t="s">
        <v>16</v>
      </c>
      <c r="J1107" s="10" t="s">
        <v>499</v>
      </c>
      <c r="K1107" s="10" t="s">
        <v>500</v>
      </c>
      <c r="L1107" s="10" t="s">
        <v>67</v>
      </c>
    </row>
    <row r="1108" spans="1:12" x14ac:dyDescent="0.25">
      <c r="A1108">
        <v>244</v>
      </c>
      <c r="B1108" s="10" t="s">
        <v>692</v>
      </c>
      <c r="C1108" s="10" t="s">
        <v>185</v>
      </c>
      <c r="D1108" s="10" t="s">
        <v>182</v>
      </c>
      <c r="E1108" s="10" t="s">
        <v>183</v>
      </c>
      <c r="F1108" s="10" t="s">
        <v>131</v>
      </c>
      <c r="G1108" s="10" t="s">
        <v>68</v>
      </c>
      <c r="H1108" s="10" t="s">
        <v>65</v>
      </c>
      <c r="I1108" s="10" t="s">
        <v>16</v>
      </c>
      <c r="J1108" s="10" t="s">
        <v>641</v>
      </c>
      <c r="K1108" s="10" t="s">
        <v>706</v>
      </c>
      <c r="L1108" s="10" t="s">
        <v>67</v>
      </c>
    </row>
    <row r="1109" spans="1:12" x14ac:dyDescent="0.25">
      <c r="A1109">
        <v>244</v>
      </c>
      <c r="B1109" s="10" t="s">
        <v>692</v>
      </c>
      <c r="C1109" s="10" t="s">
        <v>185</v>
      </c>
      <c r="D1109" s="10" t="s">
        <v>182</v>
      </c>
      <c r="E1109" s="10" t="s">
        <v>183</v>
      </c>
      <c r="F1109" s="10" t="s">
        <v>184</v>
      </c>
      <c r="G1109" s="10" t="s">
        <v>68</v>
      </c>
      <c r="H1109" s="10" t="s">
        <v>65</v>
      </c>
      <c r="I1109" s="10" t="s">
        <v>16</v>
      </c>
      <c r="J1109" s="10" t="s">
        <v>641</v>
      </c>
      <c r="K1109" s="10" t="s">
        <v>706</v>
      </c>
      <c r="L1109" s="10" t="s">
        <v>67</v>
      </c>
    </row>
    <row r="1110" spans="1:12" x14ac:dyDescent="0.25">
      <c r="A1110">
        <v>173</v>
      </c>
      <c r="B1110" s="10" t="s">
        <v>1114</v>
      </c>
      <c r="C1110" s="10" t="s">
        <v>164</v>
      </c>
      <c r="D1110" s="10" t="s">
        <v>257</v>
      </c>
      <c r="E1110" s="10" t="s">
        <v>258</v>
      </c>
      <c r="F1110" s="10" t="s">
        <v>71</v>
      </c>
      <c r="G1110" s="10" t="s">
        <v>68</v>
      </c>
      <c r="H1110" s="10" t="s">
        <v>72</v>
      </c>
      <c r="I1110" s="10" t="s">
        <v>18</v>
      </c>
      <c r="J1110" s="10" t="s">
        <v>54</v>
      </c>
      <c r="K1110" s="10" t="s">
        <v>54</v>
      </c>
      <c r="L1110" s="10" t="s">
        <v>54</v>
      </c>
    </row>
    <row r="1111" spans="1:12" x14ac:dyDescent="0.25">
      <c r="A1111">
        <v>173</v>
      </c>
      <c r="B1111" s="10" t="s">
        <v>1114</v>
      </c>
      <c r="C1111" s="10" t="s">
        <v>164</v>
      </c>
      <c r="D1111" s="10" t="s">
        <v>257</v>
      </c>
      <c r="E1111" s="10" t="s">
        <v>258</v>
      </c>
      <c r="F1111" s="10" t="s">
        <v>73</v>
      </c>
      <c r="G1111" s="10" t="s">
        <v>68</v>
      </c>
      <c r="H1111" s="10" t="s">
        <v>65</v>
      </c>
      <c r="I1111" s="10" t="s">
        <v>16</v>
      </c>
      <c r="J1111" s="10" t="s">
        <v>816</v>
      </c>
      <c r="K1111" s="10" t="s">
        <v>817</v>
      </c>
      <c r="L1111" s="10" t="s">
        <v>67</v>
      </c>
    </row>
    <row r="1112" spans="1:12" x14ac:dyDescent="0.25">
      <c r="A1112">
        <v>173</v>
      </c>
      <c r="B1112" s="10" t="s">
        <v>1114</v>
      </c>
      <c r="C1112" s="10" t="s">
        <v>164</v>
      </c>
      <c r="D1112" s="10" t="s">
        <v>257</v>
      </c>
      <c r="E1112" s="10" t="s">
        <v>258</v>
      </c>
      <c r="F1112" s="10" t="s">
        <v>74</v>
      </c>
      <c r="G1112" s="10" t="s">
        <v>68</v>
      </c>
      <c r="H1112" s="10" t="s">
        <v>65</v>
      </c>
      <c r="I1112" s="10" t="s">
        <v>16</v>
      </c>
      <c r="J1112" s="10" t="s">
        <v>306</v>
      </c>
      <c r="K1112" s="10" t="s">
        <v>1115</v>
      </c>
      <c r="L1112" s="10" t="s">
        <v>67</v>
      </c>
    </row>
    <row r="1113" spans="1:12" x14ac:dyDescent="0.25">
      <c r="A1113">
        <v>173</v>
      </c>
      <c r="B1113" s="10" t="s">
        <v>1114</v>
      </c>
      <c r="C1113" s="10" t="s">
        <v>164</v>
      </c>
      <c r="D1113" s="10" t="s">
        <v>257</v>
      </c>
      <c r="E1113" s="10" t="s">
        <v>258</v>
      </c>
      <c r="F1113" s="10" t="s">
        <v>75</v>
      </c>
      <c r="G1113" s="10" t="s">
        <v>68</v>
      </c>
      <c r="H1113" s="10" t="s">
        <v>72</v>
      </c>
      <c r="I1113" s="10" t="s">
        <v>18</v>
      </c>
      <c r="J1113" s="10" t="s">
        <v>54</v>
      </c>
      <c r="K1113" s="10" t="s">
        <v>54</v>
      </c>
      <c r="L1113" s="10" t="s">
        <v>54</v>
      </c>
    </row>
    <row r="1114" spans="1:12" x14ac:dyDescent="0.25">
      <c r="A1114">
        <v>173</v>
      </c>
      <c r="B1114" s="10" t="s">
        <v>1114</v>
      </c>
      <c r="C1114" s="10" t="s">
        <v>164</v>
      </c>
      <c r="D1114" s="10" t="s">
        <v>257</v>
      </c>
      <c r="E1114" s="10" t="s">
        <v>258</v>
      </c>
      <c r="F1114" s="10" t="s">
        <v>76</v>
      </c>
      <c r="G1114" s="10" t="s">
        <v>77</v>
      </c>
      <c r="H1114" s="10" t="s">
        <v>65</v>
      </c>
      <c r="I1114" s="10" t="s">
        <v>16</v>
      </c>
      <c r="J1114" s="10" t="s">
        <v>1116</v>
      </c>
      <c r="K1114" s="10" t="s">
        <v>584</v>
      </c>
      <c r="L1114" s="10" t="s">
        <v>67</v>
      </c>
    </row>
    <row r="1115" spans="1:12" x14ac:dyDescent="0.25">
      <c r="A1115">
        <v>173</v>
      </c>
      <c r="B1115" s="10" t="s">
        <v>1114</v>
      </c>
      <c r="C1115" s="10" t="s">
        <v>164</v>
      </c>
      <c r="D1115" s="10" t="s">
        <v>257</v>
      </c>
      <c r="E1115" s="10" t="s">
        <v>258</v>
      </c>
      <c r="F1115" s="10" t="s">
        <v>80</v>
      </c>
      <c r="G1115" s="10" t="s">
        <v>77</v>
      </c>
      <c r="H1115" s="10" t="s">
        <v>65</v>
      </c>
      <c r="I1115" s="10" t="s">
        <v>18</v>
      </c>
      <c r="J1115" s="10" t="s">
        <v>54</v>
      </c>
      <c r="K1115" s="10" t="s">
        <v>54</v>
      </c>
      <c r="L1115" s="10" t="s">
        <v>54</v>
      </c>
    </row>
    <row r="1116" spans="1:12" x14ac:dyDescent="0.25">
      <c r="A1116">
        <v>173</v>
      </c>
      <c r="B1116" s="10" t="s">
        <v>1114</v>
      </c>
      <c r="C1116" s="10" t="s">
        <v>164</v>
      </c>
      <c r="D1116" s="10" t="s">
        <v>257</v>
      </c>
      <c r="E1116" s="10" t="s">
        <v>258</v>
      </c>
      <c r="F1116" s="10" t="s">
        <v>84</v>
      </c>
      <c r="G1116" s="10" t="s">
        <v>83</v>
      </c>
      <c r="H1116" s="10" t="s">
        <v>65</v>
      </c>
      <c r="I1116" s="10" t="s">
        <v>16</v>
      </c>
      <c r="J1116" s="10" t="s">
        <v>1117</v>
      </c>
      <c r="K1116" s="10" t="s">
        <v>1016</v>
      </c>
      <c r="L1116" s="10" t="s">
        <v>67</v>
      </c>
    </row>
    <row r="1117" spans="1:12" x14ac:dyDescent="0.25">
      <c r="A1117">
        <v>173</v>
      </c>
      <c r="B1117" s="10" t="s">
        <v>1114</v>
      </c>
      <c r="C1117" s="10" t="s">
        <v>164</v>
      </c>
      <c r="D1117" s="10" t="s">
        <v>257</v>
      </c>
      <c r="E1117" s="10" t="s">
        <v>258</v>
      </c>
      <c r="F1117" s="10" t="s">
        <v>93</v>
      </c>
      <c r="G1117" s="10" t="s">
        <v>94</v>
      </c>
      <c r="H1117" s="10" t="s">
        <v>65</v>
      </c>
      <c r="I1117" s="10" t="s">
        <v>16</v>
      </c>
      <c r="J1117" s="10" t="s">
        <v>1117</v>
      </c>
      <c r="K1117" s="10" t="s">
        <v>1016</v>
      </c>
      <c r="L1117" s="10" t="s">
        <v>67</v>
      </c>
    </row>
    <row r="1118" spans="1:12" x14ac:dyDescent="0.25">
      <c r="A1118">
        <v>173</v>
      </c>
      <c r="B1118" s="10" t="s">
        <v>1114</v>
      </c>
      <c r="C1118" s="10" t="s">
        <v>164</v>
      </c>
      <c r="D1118" s="10" t="s">
        <v>257</v>
      </c>
      <c r="E1118" s="10" t="s">
        <v>258</v>
      </c>
      <c r="F1118" s="10" t="s">
        <v>95</v>
      </c>
      <c r="G1118" s="10" t="s">
        <v>94</v>
      </c>
      <c r="H1118" s="10" t="s">
        <v>65</v>
      </c>
      <c r="I1118" s="10" t="s">
        <v>16</v>
      </c>
      <c r="J1118" s="10" t="s">
        <v>1117</v>
      </c>
      <c r="K1118" s="10" t="s">
        <v>1016</v>
      </c>
      <c r="L1118" s="10" t="s">
        <v>67</v>
      </c>
    </row>
    <row r="1119" spans="1:12" x14ac:dyDescent="0.25">
      <c r="A1119">
        <v>173</v>
      </c>
      <c r="B1119" s="10" t="s">
        <v>1114</v>
      </c>
      <c r="C1119" s="10" t="s">
        <v>164</v>
      </c>
      <c r="D1119" s="10" t="s">
        <v>257</v>
      </c>
      <c r="E1119" s="10" t="s">
        <v>258</v>
      </c>
      <c r="F1119" s="10" t="s">
        <v>97</v>
      </c>
      <c r="G1119" s="10" t="s">
        <v>98</v>
      </c>
      <c r="H1119" s="10" t="s">
        <v>65</v>
      </c>
      <c r="I1119" s="10" t="s">
        <v>16</v>
      </c>
      <c r="J1119" s="10" t="s">
        <v>1118</v>
      </c>
      <c r="K1119" s="10" t="s">
        <v>1119</v>
      </c>
      <c r="L1119" s="10" t="s">
        <v>67</v>
      </c>
    </row>
    <row r="1120" spans="1:12" x14ac:dyDescent="0.25">
      <c r="A1120">
        <v>173</v>
      </c>
      <c r="B1120" s="10" t="s">
        <v>1114</v>
      </c>
      <c r="C1120" s="10" t="s">
        <v>164</v>
      </c>
      <c r="D1120" s="10" t="s">
        <v>257</v>
      </c>
      <c r="E1120" s="10" t="s">
        <v>258</v>
      </c>
      <c r="F1120" s="10" t="s">
        <v>100</v>
      </c>
      <c r="G1120" s="10" t="s">
        <v>98</v>
      </c>
      <c r="H1120" s="10" t="s">
        <v>72</v>
      </c>
      <c r="I1120" s="10" t="s">
        <v>18</v>
      </c>
      <c r="J1120" s="10" t="s">
        <v>54</v>
      </c>
      <c r="K1120" s="10" t="s">
        <v>54</v>
      </c>
      <c r="L1120" s="10" t="s">
        <v>54</v>
      </c>
    </row>
    <row r="1121" spans="1:12" x14ac:dyDescent="0.25">
      <c r="A1121">
        <v>173</v>
      </c>
      <c r="B1121" s="10" t="s">
        <v>1114</v>
      </c>
      <c r="C1121" s="10" t="s">
        <v>164</v>
      </c>
      <c r="D1121" s="10" t="s">
        <v>257</v>
      </c>
      <c r="E1121" s="10" t="s">
        <v>258</v>
      </c>
      <c r="F1121" s="10" t="s">
        <v>101</v>
      </c>
      <c r="G1121" s="10" t="s">
        <v>102</v>
      </c>
      <c r="H1121" s="10" t="s">
        <v>65</v>
      </c>
      <c r="I1121" s="10" t="s">
        <v>16</v>
      </c>
      <c r="J1121" s="10" t="s">
        <v>79</v>
      </c>
      <c r="K1121" s="10" t="s">
        <v>1113</v>
      </c>
      <c r="L1121" s="10" t="s">
        <v>67</v>
      </c>
    </row>
    <row r="1122" spans="1:12" x14ac:dyDescent="0.25">
      <c r="A1122">
        <v>173</v>
      </c>
      <c r="B1122" s="10" t="s">
        <v>1114</v>
      </c>
      <c r="C1122" s="10" t="s">
        <v>164</v>
      </c>
      <c r="D1122" s="10" t="s">
        <v>257</v>
      </c>
      <c r="E1122" s="10" t="s">
        <v>258</v>
      </c>
      <c r="F1122" s="10" t="s">
        <v>103</v>
      </c>
      <c r="G1122" s="10" t="s">
        <v>102</v>
      </c>
      <c r="H1122" s="10" t="s">
        <v>65</v>
      </c>
      <c r="I1122" s="10" t="s">
        <v>16</v>
      </c>
      <c r="J1122" s="10" t="s">
        <v>1117</v>
      </c>
      <c r="K1122" s="10" t="s">
        <v>1016</v>
      </c>
      <c r="L1122" s="10" t="s">
        <v>67</v>
      </c>
    </row>
    <row r="1123" spans="1:12" x14ac:dyDescent="0.25">
      <c r="A1123">
        <v>173</v>
      </c>
      <c r="B1123" s="10" t="s">
        <v>1114</v>
      </c>
      <c r="C1123" s="10" t="s">
        <v>164</v>
      </c>
      <c r="D1123" s="10" t="s">
        <v>257</v>
      </c>
      <c r="E1123" s="10" t="s">
        <v>258</v>
      </c>
      <c r="F1123" s="10" t="s">
        <v>104</v>
      </c>
      <c r="G1123" s="10" t="s">
        <v>105</v>
      </c>
      <c r="H1123" s="10" t="s">
        <v>65</v>
      </c>
      <c r="I1123" s="10" t="s">
        <v>16</v>
      </c>
      <c r="J1123" s="10" t="s">
        <v>1120</v>
      </c>
      <c r="K1123" s="10" t="s">
        <v>1121</v>
      </c>
      <c r="L1123" s="10" t="s">
        <v>67</v>
      </c>
    </row>
    <row r="1124" spans="1:12" x14ac:dyDescent="0.25">
      <c r="A1124">
        <v>173</v>
      </c>
      <c r="B1124" s="10" t="s">
        <v>1114</v>
      </c>
      <c r="C1124" s="10" t="s">
        <v>164</v>
      </c>
      <c r="D1124" s="10" t="s">
        <v>257</v>
      </c>
      <c r="E1124" s="10" t="s">
        <v>258</v>
      </c>
      <c r="F1124" s="10" t="s">
        <v>106</v>
      </c>
      <c r="G1124" s="10" t="s">
        <v>105</v>
      </c>
      <c r="H1124" s="10" t="s">
        <v>65</v>
      </c>
      <c r="I1124" s="10" t="s">
        <v>16</v>
      </c>
      <c r="J1124" s="10" t="s">
        <v>1122</v>
      </c>
      <c r="K1124" s="10" t="s">
        <v>1123</v>
      </c>
      <c r="L1124" s="10" t="s">
        <v>67</v>
      </c>
    </row>
    <row r="1125" spans="1:12" x14ac:dyDescent="0.25">
      <c r="A1125">
        <v>173</v>
      </c>
      <c r="B1125" s="10" t="s">
        <v>1114</v>
      </c>
      <c r="C1125" s="10" t="s">
        <v>164</v>
      </c>
      <c r="D1125" s="10" t="s">
        <v>257</v>
      </c>
      <c r="E1125" s="10" t="s">
        <v>258</v>
      </c>
      <c r="F1125" s="10" t="s">
        <v>107</v>
      </c>
      <c r="G1125" s="10" t="s">
        <v>105</v>
      </c>
      <c r="H1125" s="10" t="s">
        <v>65</v>
      </c>
      <c r="I1125" s="10" t="s">
        <v>16</v>
      </c>
      <c r="J1125" s="10" t="s">
        <v>1124</v>
      </c>
      <c r="K1125" s="10" t="s">
        <v>1123</v>
      </c>
      <c r="L1125" s="10" t="s">
        <v>67</v>
      </c>
    </row>
    <row r="1126" spans="1:12" x14ac:dyDescent="0.25">
      <c r="A1126">
        <v>173</v>
      </c>
      <c r="B1126" s="10" t="s">
        <v>1114</v>
      </c>
      <c r="C1126" s="10" t="s">
        <v>164</v>
      </c>
      <c r="D1126" s="10" t="s">
        <v>257</v>
      </c>
      <c r="E1126" s="10" t="s">
        <v>258</v>
      </c>
      <c r="F1126" s="10" t="s">
        <v>108</v>
      </c>
      <c r="G1126" s="10" t="s">
        <v>105</v>
      </c>
      <c r="H1126" s="10" t="s">
        <v>65</v>
      </c>
      <c r="I1126" s="10" t="s">
        <v>24</v>
      </c>
      <c r="J1126" s="10" t="s">
        <v>323</v>
      </c>
      <c r="K1126" s="10" t="s">
        <v>1123</v>
      </c>
      <c r="L1126" s="10" t="s">
        <v>67</v>
      </c>
    </row>
    <row r="1127" spans="1:12" x14ac:dyDescent="0.25">
      <c r="A1127">
        <v>173</v>
      </c>
      <c r="B1127" s="10" t="s">
        <v>1114</v>
      </c>
      <c r="C1127" s="10" t="s">
        <v>164</v>
      </c>
      <c r="D1127" s="10" t="s">
        <v>257</v>
      </c>
      <c r="E1127" s="10" t="s">
        <v>258</v>
      </c>
      <c r="F1127" s="10" t="s">
        <v>109</v>
      </c>
      <c r="G1127" s="10" t="s">
        <v>105</v>
      </c>
      <c r="H1127" s="10" t="s">
        <v>65</v>
      </c>
      <c r="I1127" s="10" t="s">
        <v>16</v>
      </c>
      <c r="J1127" s="10" t="s">
        <v>308</v>
      </c>
      <c r="K1127" s="10" t="s">
        <v>1123</v>
      </c>
      <c r="L1127" s="10" t="s">
        <v>67</v>
      </c>
    </row>
    <row r="1128" spans="1:12" x14ac:dyDescent="0.25">
      <c r="A1128">
        <v>173</v>
      </c>
      <c r="B1128" s="10" t="s">
        <v>1114</v>
      </c>
      <c r="C1128" s="10" t="s">
        <v>164</v>
      </c>
      <c r="D1128" s="10" t="s">
        <v>257</v>
      </c>
      <c r="E1128" s="10" t="s">
        <v>258</v>
      </c>
      <c r="F1128" s="10" t="s">
        <v>110</v>
      </c>
      <c r="G1128" s="10" t="s">
        <v>105</v>
      </c>
      <c r="H1128" s="10" t="s">
        <v>65</v>
      </c>
      <c r="I1128" s="10" t="s">
        <v>16</v>
      </c>
      <c r="J1128" s="10" t="s">
        <v>79</v>
      </c>
      <c r="K1128" s="10" t="s">
        <v>1125</v>
      </c>
      <c r="L1128" s="10" t="s">
        <v>67</v>
      </c>
    </row>
    <row r="1129" spans="1:12" x14ac:dyDescent="0.25">
      <c r="A1129">
        <v>173</v>
      </c>
      <c r="B1129" s="10" t="s">
        <v>1114</v>
      </c>
      <c r="C1129" s="10" t="s">
        <v>164</v>
      </c>
      <c r="D1129" s="10" t="s">
        <v>257</v>
      </c>
      <c r="E1129" s="10" t="s">
        <v>258</v>
      </c>
      <c r="F1129" s="10" t="s">
        <v>111</v>
      </c>
      <c r="G1129" s="10" t="s">
        <v>105</v>
      </c>
      <c r="H1129" s="10" t="s">
        <v>65</v>
      </c>
      <c r="I1129" s="10" t="s">
        <v>16</v>
      </c>
      <c r="J1129" s="10" t="s">
        <v>1117</v>
      </c>
      <c r="K1129" s="10" t="s">
        <v>1016</v>
      </c>
      <c r="L1129" s="10" t="s">
        <v>67</v>
      </c>
    </row>
    <row r="1130" spans="1:12" x14ac:dyDescent="0.25">
      <c r="A1130">
        <v>173</v>
      </c>
      <c r="B1130" s="10" t="s">
        <v>1114</v>
      </c>
      <c r="C1130" s="10" t="s">
        <v>164</v>
      </c>
      <c r="D1130" s="10" t="s">
        <v>257</v>
      </c>
      <c r="E1130" s="10" t="s">
        <v>258</v>
      </c>
      <c r="F1130" s="10" t="s">
        <v>112</v>
      </c>
      <c r="G1130" s="10" t="s">
        <v>105</v>
      </c>
      <c r="H1130" s="10" t="s">
        <v>65</v>
      </c>
      <c r="I1130" s="10" t="s">
        <v>16</v>
      </c>
      <c r="J1130" s="10" t="s">
        <v>1120</v>
      </c>
      <c r="K1130" s="10" t="s">
        <v>1121</v>
      </c>
      <c r="L1130" s="10" t="s">
        <v>67</v>
      </c>
    </row>
    <row r="1131" spans="1:12" x14ac:dyDescent="0.25">
      <c r="A1131">
        <v>173</v>
      </c>
      <c r="B1131" s="10" t="s">
        <v>1114</v>
      </c>
      <c r="C1131" s="10" t="s">
        <v>164</v>
      </c>
      <c r="D1131" s="10" t="s">
        <v>257</v>
      </c>
      <c r="E1131" s="10" t="s">
        <v>258</v>
      </c>
      <c r="F1131" s="10" t="s">
        <v>113</v>
      </c>
      <c r="G1131" s="10" t="s">
        <v>105</v>
      </c>
      <c r="H1131" s="10" t="s">
        <v>65</v>
      </c>
      <c r="I1131" s="10" t="s">
        <v>16</v>
      </c>
      <c r="J1131" s="10" t="s">
        <v>1126</v>
      </c>
      <c r="K1131" s="10" t="s">
        <v>320</v>
      </c>
      <c r="L1131" s="10" t="s">
        <v>67</v>
      </c>
    </row>
    <row r="1132" spans="1:12" x14ac:dyDescent="0.25">
      <c r="A1132">
        <v>173</v>
      </c>
      <c r="B1132" s="10" t="s">
        <v>1114</v>
      </c>
      <c r="C1132" s="10" t="s">
        <v>164</v>
      </c>
      <c r="D1132" s="10" t="s">
        <v>257</v>
      </c>
      <c r="E1132" s="10" t="s">
        <v>258</v>
      </c>
      <c r="F1132" s="10" t="s">
        <v>124</v>
      </c>
      <c r="G1132" s="10" t="s">
        <v>125</v>
      </c>
      <c r="H1132" s="10" t="s">
        <v>72</v>
      </c>
      <c r="I1132" s="10" t="s">
        <v>18</v>
      </c>
      <c r="J1132" s="10" t="s">
        <v>54</v>
      </c>
      <c r="K1132" s="10" t="s">
        <v>54</v>
      </c>
      <c r="L1132" s="10" t="s">
        <v>54</v>
      </c>
    </row>
    <row r="1133" spans="1:12" x14ac:dyDescent="0.25">
      <c r="A1133">
        <v>173</v>
      </c>
      <c r="B1133" s="10" t="s">
        <v>1114</v>
      </c>
      <c r="C1133" s="10" t="s">
        <v>164</v>
      </c>
      <c r="D1133" s="10" t="s">
        <v>257</v>
      </c>
      <c r="E1133" s="10" t="s">
        <v>258</v>
      </c>
      <c r="F1133" s="10" t="s">
        <v>131</v>
      </c>
      <c r="G1133" s="10" t="s">
        <v>68</v>
      </c>
      <c r="H1133" s="10" t="s">
        <v>72</v>
      </c>
      <c r="I1133" s="10" t="s">
        <v>16</v>
      </c>
      <c r="J1133" s="10" t="s">
        <v>1127</v>
      </c>
      <c r="K1133" s="10" t="s">
        <v>1128</v>
      </c>
      <c r="L1133" s="10" t="s">
        <v>67</v>
      </c>
    </row>
    <row r="1134" spans="1:12" x14ac:dyDescent="0.25">
      <c r="A1134">
        <v>173</v>
      </c>
      <c r="B1134" s="10" t="s">
        <v>1114</v>
      </c>
      <c r="C1134" s="10" t="s">
        <v>164</v>
      </c>
      <c r="D1134" s="10" t="s">
        <v>257</v>
      </c>
      <c r="E1134" s="10" t="s">
        <v>258</v>
      </c>
      <c r="F1134" s="10" t="s">
        <v>156</v>
      </c>
      <c r="G1134" s="10" t="s">
        <v>125</v>
      </c>
      <c r="H1134" s="10" t="s">
        <v>65</v>
      </c>
      <c r="I1134" s="10" t="s">
        <v>18</v>
      </c>
      <c r="J1134" s="10" t="s">
        <v>54</v>
      </c>
      <c r="K1134" s="10" t="s">
        <v>54</v>
      </c>
      <c r="L1134" s="10" t="s">
        <v>54</v>
      </c>
    </row>
    <row r="1135" spans="1:12" x14ac:dyDescent="0.25">
      <c r="A1135">
        <v>173</v>
      </c>
      <c r="B1135" s="10" t="s">
        <v>1114</v>
      </c>
      <c r="C1135" s="10" t="s">
        <v>164</v>
      </c>
      <c r="D1135" s="10" t="s">
        <v>257</v>
      </c>
      <c r="E1135" s="10" t="s">
        <v>258</v>
      </c>
      <c r="F1135" s="10" t="s">
        <v>163</v>
      </c>
      <c r="G1135" s="10" t="s">
        <v>68</v>
      </c>
      <c r="H1135" s="10" t="s">
        <v>65</v>
      </c>
      <c r="I1135" s="10" t="s">
        <v>16</v>
      </c>
      <c r="J1135" s="10" t="s">
        <v>1129</v>
      </c>
      <c r="K1135" s="10" t="s">
        <v>1130</v>
      </c>
      <c r="L1135" s="10" t="s">
        <v>54</v>
      </c>
    </row>
    <row r="1136" spans="1:12" x14ac:dyDescent="0.25">
      <c r="A1136">
        <v>173</v>
      </c>
      <c r="B1136" s="10" t="s">
        <v>1114</v>
      </c>
      <c r="C1136" s="10" t="s">
        <v>164</v>
      </c>
      <c r="D1136" s="10" t="s">
        <v>257</v>
      </c>
      <c r="E1136" s="10" t="s">
        <v>258</v>
      </c>
      <c r="F1136" s="10" t="s">
        <v>165</v>
      </c>
      <c r="G1136" s="10" t="s">
        <v>68</v>
      </c>
      <c r="H1136" s="10" t="s">
        <v>72</v>
      </c>
      <c r="I1136" s="10" t="s">
        <v>18</v>
      </c>
      <c r="J1136" s="10" t="s">
        <v>54</v>
      </c>
      <c r="K1136" s="10" t="s">
        <v>54</v>
      </c>
      <c r="L1136" s="10" t="s">
        <v>54</v>
      </c>
    </row>
    <row r="1137" spans="1:12" x14ac:dyDescent="0.25">
      <c r="A1137">
        <v>322</v>
      </c>
      <c r="B1137" s="10" t="s">
        <v>1144</v>
      </c>
      <c r="C1137" s="10" t="s">
        <v>264</v>
      </c>
      <c r="D1137" s="10" t="s">
        <v>54</v>
      </c>
      <c r="E1137" s="10" t="s">
        <v>54</v>
      </c>
      <c r="F1137" s="10" t="s">
        <v>263</v>
      </c>
      <c r="G1137" s="10" t="s">
        <v>265</v>
      </c>
      <c r="H1137" s="10" t="s">
        <v>65</v>
      </c>
      <c r="I1137" s="10" t="s">
        <v>18</v>
      </c>
      <c r="J1137" s="10" t="s">
        <v>54</v>
      </c>
      <c r="K1137" s="10" t="s">
        <v>54</v>
      </c>
      <c r="L1137" s="10" t="s">
        <v>54</v>
      </c>
    </row>
    <row r="1138" spans="1:12" x14ac:dyDescent="0.25">
      <c r="A1138">
        <v>156</v>
      </c>
      <c r="B1138" s="10" t="s">
        <v>459</v>
      </c>
      <c r="C1138" s="10" t="s">
        <v>137</v>
      </c>
      <c r="D1138" s="10" t="s">
        <v>139</v>
      </c>
      <c r="E1138" s="10" t="s">
        <v>140</v>
      </c>
      <c r="F1138" s="10" t="s">
        <v>69</v>
      </c>
      <c r="G1138" s="10" t="s">
        <v>68</v>
      </c>
      <c r="H1138" s="10" t="s">
        <v>65</v>
      </c>
      <c r="I1138" s="10" t="s">
        <v>16</v>
      </c>
      <c r="J1138" s="10" t="s">
        <v>460</v>
      </c>
      <c r="K1138" s="10" t="s">
        <v>461</v>
      </c>
      <c r="L1138" s="10" t="s">
        <v>67</v>
      </c>
    </row>
    <row r="1139" spans="1:12" x14ac:dyDescent="0.25">
      <c r="A1139">
        <v>156</v>
      </c>
      <c r="B1139" s="10" t="s">
        <v>459</v>
      </c>
      <c r="C1139" s="10" t="s">
        <v>137</v>
      </c>
      <c r="D1139" s="10" t="s">
        <v>139</v>
      </c>
      <c r="E1139" s="10" t="s">
        <v>140</v>
      </c>
      <c r="F1139" s="10" t="s">
        <v>71</v>
      </c>
      <c r="G1139" s="10" t="s">
        <v>68</v>
      </c>
      <c r="H1139" s="10" t="s">
        <v>72</v>
      </c>
      <c r="I1139" s="10" t="s">
        <v>18</v>
      </c>
      <c r="J1139" s="10" t="s">
        <v>54</v>
      </c>
      <c r="K1139" s="10" t="s">
        <v>54</v>
      </c>
      <c r="L1139" s="10" t="s">
        <v>54</v>
      </c>
    </row>
    <row r="1140" spans="1:12" x14ac:dyDescent="0.25">
      <c r="A1140">
        <v>156</v>
      </c>
      <c r="B1140" s="10" t="s">
        <v>459</v>
      </c>
      <c r="C1140" s="10" t="s">
        <v>137</v>
      </c>
      <c r="D1140" s="10" t="s">
        <v>139</v>
      </c>
      <c r="E1140" s="10" t="s">
        <v>140</v>
      </c>
      <c r="F1140" s="10" t="s">
        <v>73</v>
      </c>
      <c r="G1140" s="10" t="s">
        <v>68</v>
      </c>
      <c r="H1140" s="10" t="s">
        <v>65</v>
      </c>
      <c r="I1140" s="10" t="s">
        <v>16</v>
      </c>
      <c r="J1140" s="10" t="s">
        <v>462</v>
      </c>
      <c r="K1140" s="10" t="s">
        <v>463</v>
      </c>
      <c r="L1140" s="10" t="s">
        <v>67</v>
      </c>
    </row>
    <row r="1141" spans="1:12" x14ac:dyDescent="0.25">
      <c r="A1141">
        <v>156</v>
      </c>
      <c r="B1141" s="10" t="s">
        <v>459</v>
      </c>
      <c r="C1141" s="10" t="s">
        <v>137</v>
      </c>
      <c r="D1141" s="10" t="s">
        <v>139</v>
      </c>
      <c r="E1141" s="10" t="s">
        <v>140</v>
      </c>
      <c r="F1141" s="10" t="s">
        <v>74</v>
      </c>
      <c r="G1141" s="10" t="s">
        <v>68</v>
      </c>
      <c r="H1141" s="10" t="s">
        <v>65</v>
      </c>
      <c r="I1141" s="10" t="s">
        <v>16</v>
      </c>
      <c r="J1141" s="10" t="s">
        <v>464</v>
      </c>
      <c r="K1141" s="10" t="s">
        <v>465</v>
      </c>
      <c r="L1141" s="10" t="s">
        <v>67</v>
      </c>
    </row>
    <row r="1142" spans="1:12" x14ac:dyDescent="0.25">
      <c r="A1142">
        <v>156</v>
      </c>
      <c r="B1142" s="10" t="s">
        <v>459</v>
      </c>
      <c r="C1142" s="10" t="s">
        <v>137</v>
      </c>
      <c r="D1142" s="10" t="s">
        <v>139</v>
      </c>
      <c r="E1142" s="10" t="s">
        <v>140</v>
      </c>
      <c r="F1142" s="10" t="s">
        <v>75</v>
      </c>
      <c r="G1142" s="10" t="s">
        <v>68</v>
      </c>
      <c r="H1142" s="10" t="s">
        <v>72</v>
      </c>
      <c r="I1142" s="10" t="s">
        <v>18</v>
      </c>
      <c r="J1142" s="10" t="s">
        <v>54</v>
      </c>
      <c r="K1142" s="10" t="s">
        <v>54</v>
      </c>
      <c r="L1142" s="10" t="s">
        <v>54</v>
      </c>
    </row>
    <row r="1143" spans="1:12" x14ac:dyDescent="0.25">
      <c r="A1143">
        <v>156</v>
      </c>
      <c r="B1143" s="10" t="s">
        <v>459</v>
      </c>
      <c r="C1143" s="10" t="s">
        <v>137</v>
      </c>
      <c r="D1143" s="10" t="s">
        <v>139</v>
      </c>
      <c r="E1143" s="10" t="s">
        <v>140</v>
      </c>
      <c r="F1143" s="10" t="s">
        <v>76</v>
      </c>
      <c r="G1143" s="10" t="s">
        <v>77</v>
      </c>
      <c r="H1143" s="10" t="s">
        <v>65</v>
      </c>
      <c r="I1143" s="10" t="s">
        <v>16</v>
      </c>
      <c r="J1143" s="10" t="s">
        <v>466</v>
      </c>
      <c r="K1143" s="10" t="s">
        <v>467</v>
      </c>
      <c r="L1143" s="10" t="s">
        <v>67</v>
      </c>
    </row>
    <row r="1144" spans="1:12" x14ac:dyDescent="0.25">
      <c r="A1144">
        <v>156</v>
      </c>
      <c r="B1144" s="10" t="s">
        <v>459</v>
      </c>
      <c r="C1144" s="10" t="s">
        <v>137</v>
      </c>
      <c r="D1144" s="10" t="s">
        <v>139</v>
      </c>
      <c r="E1144" s="10" t="s">
        <v>140</v>
      </c>
      <c r="F1144" s="10" t="s">
        <v>78</v>
      </c>
      <c r="G1144" s="10" t="s">
        <v>77</v>
      </c>
      <c r="H1144" s="10" t="s">
        <v>65</v>
      </c>
      <c r="I1144" s="10" t="s">
        <v>16</v>
      </c>
      <c r="J1144" s="10" t="s">
        <v>79</v>
      </c>
      <c r="K1144" s="10" t="s">
        <v>468</v>
      </c>
      <c r="L1144" s="10" t="s">
        <v>67</v>
      </c>
    </row>
    <row r="1145" spans="1:12" x14ac:dyDescent="0.25">
      <c r="A1145">
        <v>156</v>
      </c>
      <c r="B1145" s="10" t="s">
        <v>459</v>
      </c>
      <c r="C1145" s="10" t="s">
        <v>137</v>
      </c>
      <c r="D1145" s="10" t="s">
        <v>139</v>
      </c>
      <c r="E1145" s="10" t="s">
        <v>140</v>
      </c>
      <c r="F1145" s="10" t="s">
        <v>80</v>
      </c>
      <c r="G1145" s="10" t="s">
        <v>77</v>
      </c>
      <c r="H1145" s="10" t="s">
        <v>65</v>
      </c>
      <c r="I1145" s="10" t="s">
        <v>16</v>
      </c>
      <c r="J1145" s="10" t="s">
        <v>79</v>
      </c>
      <c r="K1145" s="10" t="s">
        <v>469</v>
      </c>
      <c r="L1145" s="10" t="s">
        <v>67</v>
      </c>
    </row>
    <row r="1146" spans="1:12" x14ac:dyDescent="0.25">
      <c r="A1146">
        <v>156</v>
      </c>
      <c r="B1146" s="10" t="s">
        <v>459</v>
      </c>
      <c r="C1146" s="10" t="s">
        <v>137</v>
      </c>
      <c r="D1146" s="10" t="s">
        <v>139</v>
      </c>
      <c r="E1146" s="10" t="s">
        <v>140</v>
      </c>
      <c r="F1146" s="10" t="s">
        <v>81</v>
      </c>
      <c r="G1146" s="10" t="s">
        <v>77</v>
      </c>
      <c r="H1146" s="10" t="s">
        <v>65</v>
      </c>
      <c r="I1146" s="10" t="s">
        <v>16</v>
      </c>
      <c r="J1146" s="10" t="s">
        <v>470</v>
      </c>
      <c r="K1146" s="10" t="s">
        <v>471</v>
      </c>
      <c r="L1146" s="10" t="s">
        <v>67</v>
      </c>
    </row>
    <row r="1147" spans="1:12" x14ac:dyDescent="0.25">
      <c r="A1147">
        <v>156</v>
      </c>
      <c r="B1147" s="10" t="s">
        <v>459</v>
      </c>
      <c r="C1147" s="10" t="s">
        <v>137</v>
      </c>
      <c r="D1147" s="10" t="s">
        <v>139</v>
      </c>
      <c r="E1147" s="10" t="s">
        <v>140</v>
      </c>
      <c r="F1147" s="10" t="s">
        <v>82</v>
      </c>
      <c r="G1147" s="10" t="s">
        <v>83</v>
      </c>
      <c r="H1147" s="10" t="s">
        <v>65</v>
      </c>
      <c r="I1147" s="10" t="s">
        <v>16</v>
      </c>
      <c r="J1147" s="10" t="s">
        <v>443</v>
      </c>
      <c r="K1147" s="10" t="s">
        <v>444</v>
      </c>
      <c r="L1147" s="10" t="s">
        <v>67</v>
      </c>
    </row>
    <row r="1148" spans="1:12" x14ac:dyDescent="0.25">
      <c r="A1148">
        <v>156</v>
      </c>
      <c r="B1148" s="10" t="s">
        <v>459</v>
      </c>
      <c r="C1148" s="10" t="s">
        <v>137</v>
      </c>
      <c r="D1148" s="10" t="s">
        <v>139</v>
      </c>
      <c r="E1148" s="10" t="s">
        <v>140</v>
      </c>
      <c r="F1148" s="10" t="s">
        <v>84</v>
      </c>
      <c r="G1148" s="10" t="s">
        <v>83</v>
      </c>
      <c r="H1148" s="10" t="s">
        <v>65</v>
      </c>
      <c r="I1148" s="10" t="s">
        <v>16</v>
      </c>
      <c r="J1148" s="10" t="s">
        <v>410</v>
      </c>
      <c r="K1148" s="10" t="s">
        <v>411</v>
      </c>
      <c r="L1148" s="10" t="s">
        <v>67</v>
      </c>
    </row>
    <row r="1149" spans="1:12" x14ac:dyDescent="0.25">
      <c r="A1149">
        <v>156</v>
      </c>
      <c r="B1149" s="10" t="s">
        <v>459</v>
      </c>
      <c r="C1149" s="10" t="s">
        <v>137</v>
      </c>
      <c r="D1149" s="10" t="s">
        <v>139</v>
      </c>
      <c r="E1149" s="10" t="s">
        <v>140</v>
      </c>
      <c r="F1149" s="10" t="s">
        <v>93</v>
      </c>
      <c r="G1149" s="10" t="s">
        <v>94</v>
      </c>
      <c r="H1149" s="10" t="s">
        <v>65</v>
      </c>
      <c r="I1149" s="10" t="s">
        <v>16</v>
      </c>
      <c r="J1149" s="10" t="s">
        <v>410</v>
      </c>
      <c r="K1149" s="10" t="s">
        <v>411</v>
      </c>
      <c r="L1149" s="10" t="s">
        <v>67</v>
      </c>
    </row>
    <row r="1150" spans="1:12" x14ac:dyDescent="0.25">
      <c r="A1150">
        <v>156</v>
      </c>
      <c r="B1150" s="10" t="s">
        <v>459</v>
      </c>
      <c r="C1150" s="10" t="s">
        <v>137</v>
      </c>
      <c r="D1150" s="10" t="s">
        <v>139</v>
      </c>
      <c r="E1150" s="10" t="s">
        <v>140</v>
      </c>
      <c r="F1150" s="10" t="s">
        <v>95</v>
      </c>
      <c r="G1150" s="10" t="s">
        <v>94</v>
      </c>
      <c r="H1150" s="10" t="s">
        <v>65</v>
      </c>
      <c r="I1150" s="10" t="s">
        <v>16</v>
      </c>
      <c r="J1150" s="10" t="s">
        <v>472</v>
      </c>
      <c r="K1150" s="10" t="s">
        <v>343</v>
      </c>
      <c r="L1150" s="10" t="s">
        <v>67</v>
      </c>
    </row>
    <row r="1151" spans="1:12" x14ac:dyDescent="0.25">
      <c r="A1151">
        <v>156</v>
      </c>
      <c r="B1151" s="10" t="s">
        <v>459</v>
      </c>
      <c r="C1151" s="10" t="s">
        <v>137</v>
      </c>
      <c r="D1151" s="10" t="s">
        <v>139</v>
      </c>
      <c r="E1151" s="10" t="s">
        <v>140</v>
      </c>
      <c r="F1151" s="10" t="s">
        <v>96</v>
      </c>
      <c r="G1151" s="10" t="s">
        <v>94</v>
      </c>
      <c r="H1151" s="10" t="s">
        <v>65</v>
      </c>
      <c r="I1151" s="10" t="s">
        <v>16</v>
      </c>
      <c r="J1151" s="10" t="s">
        <v>79</v>
      </c>
      <c r="K1151" s="10" t="s">
        <v>297</v>
      </c>
      <c r="L1151" s="10" t="s">
        <v>67</v>
      </c>
    </row>
    <row r="1152" spans="1:12" x14ac:dyDescent="0.25">
      <c r="A1152">
        <v>156</v>
      </c>
      <c r="B1152" s="10" t="s">
        <v>459</v>
      </c>
      <c r="C1152" s="10" t="s">
        <v>137</v>
      </c>
      <c r="D1152" s="10" t="s">
        <v>139</v>
      </c>
      <c r="E1152" s="10" t="s">
        <v>140</v>
      </c>
      <c r="F1152" s="10" t="s">
        <v>97</v>
      </c>
      <c r="G1152" s="10" t="s">
        <v>98</v>
      </c>
      <c r="H1152" s="10" t="s">
        <v>65</v>
      </c>
      <c r="I1152" s="10" t="s">
        <v>16</v>
      </c>
      <c r="J1152" s="10" t="s">
        <v>447</v>
      </c>
      <c r="K1152" s="10" t="s">
        <v>391</v>
      </c>
      <c r="L1152" s="10" t="s">
        <v>67</v>
      </c>
    </row>
    <row r="1153" spans="1:12" x14ac:dyDescent="0.25">
      <c r="A1153">
        <v>156</v>
      </c>
      <c r="B1153" s="10" t="s">
        <v>459</v>
      </c>
      <c r="C1153" s="10" t="s">
        <v>137</v>
      </c>
      <c r="D1153" s="10" t="s">
        <v>139</v>
      </c>
      <c r="E1153" s="10" t="s">
        <v>140</v>
      </c>
      <c r="F1153" s="10" t="s">
        <v>101</v>
      </c>
      <c r="G1153" s="10" t="s">
        <v>102</v>
      </c>
      <c r="H1153" s="10" t="s">
        <v>65</v>
      </c>
      <c r="I1153" s="10" t="s">
        <v>16</v>
      </c>
      <c r="J1153" s="10" t="s">
        <v>79</v>
      </c>
      <c r="K1153" s="10" t="s">
        <v>473</v>
      </c>
      <c r="L1153" s="10" t="s">
        <v>67</v>
      </c>
    </row>
    <row r="1154" spans="1:12" x14ac:dyDescent="0.25">
      <c r="A1154">
        <v>156</v>
      </c>
      <c r="B1154" s="10" t="s">
        <v>459</v>
      </c>
      <c r="C1154" s="10" t="s">
        <v>137</v>
      </c>
      <c r="D1154" s="10" t="s">
        <v>139</v>
      </c>
      <c r="E1154" s="10" t="s">
        <v>140</v>
      </c>
      <c r="F1154" s="10" t="s">
        <v>103</v>
      </c>
      <c r="G1154" s="10" t="s">
        <v>102</v>
      </c>
      <c r="H1154" s="10" t="s">
        <v>65</v>
      </c>
      <c r="I1154" s="10" t="s">
        <v>16</v>
      </c>
      <c r="J1154" s="10" t="s">
        <v>416</v>
      </c>
      <c r="K1154" s="10" t="s">
        <v>417</v>
      </c>
      <c r="L1154" s="10" t="s">
        <v>67</v>
      </c>
    </row>
    <row r="1155" spans="1:12" x14ac:dyDescent="0.25">
      <c r="A1155">
        <v>156</v>
      </c>
      <c r="B1155" s="10" t="s">
        <v>459</v>
      </c>
      <c r="C1155" s="10" t="s">
        <v>137</v>
      </c>
      <c r="D1155" s="10" t="s">
        <v>139</v>
      </c>
      <c r="E1155" s="10" t="s">
        <v>140</v>
      </c>
      <c r="F1155" s="10" t="s">
        <v>104</v>
      </c>
      <c r="G1155" s="10" t="s">
        <v>105</v>
      </c>
      <c r="H1155" s="10" t="s">
        <v>65</v>
      </c>
      <c r="I1155" s="10" t="s">
        <v>16</v>
      </c>
      <c r="J1155" s="10" t="s">
        <v>474</v>
      </c>
      <c r="K1155" s="10" t="s">
        <v>405</v>
      </c>
      <c r="L1155" s="10" t="s">
        <v>67</v>
      </c>
    </row>
    <row r="1156" spans="1:12" x14ac:dyDescent="0.25">
      <c r="A1156">
        <v>156</v>
      </c>
      <c r="B1156" s="10" t="s">
        <v>459</v>
      </c>
      <c r="C1156" s="10" t="s">
        <v>137</v>
      </c>
      <c r="D1156" s="10" t="s">
        <v>139</v>
      </c>
      <c r="E1156" s="10" t="s">
        <v>140</v>
      </c>
      <c r="F1156" s="10" t="s">
        <v>106</v>
      </c>
      <c r="G1156" s="10" t="s">
        <v>105</v>
      </c>
      <c r="H1156" s="10" t="s">
        <v>65</v>
      </c>
      <c r="I1156" s="10" t="s">
        <v>16</v>
      </c>
      <c r="J1156" s="10" t="s">
        <v>475</v>
      </c>
      <c r="K1156" s="10" t="s">
        <v>476</v>
      </c>
      <c r="L1156" s="10" t="s">
        <v>67</v>
      </c>
    </row>
    <row r="1157" spans="1:12" x14ac:dyDescent="0.25">
      <c r="A1157">
        <v>156</v>
      </c>
      <c r="B1157" s="10" t="s">
        <v>459</v>
      </c>
      <c r="C1157" s="10" t="s">
        <v>137</v>
      </c>
      <c r="D1157" s="10" t="s">
        <v>139</v>
      </c>
      <c r="E1157" s="10" t="s">
        <v>140</v>
      </c>
      <c r="F1157" s="10" t="s">
        <v>107</v>
      </c>
      <c r="G1157" s="10" t="s">
        <v>105</v>
      </c>
      <c r="H1157" s="10" t="s">
        <v>65</v>
      </c>
      <c r="I1157" s="10" t="s">
        <v>16</v>
      </c>
      <c r="J1157" s="10" t="s">
        <v>372</v>
      </c>
      <c r="K1157" s="10" t="s">
        <v>476</v>
      </c>
      <c r="L1157" s="10" t="s">
        <v>67</v>
      </c>
    </row>
    <row r="1158" spans="1:12" x14ac:dyDescent="0.25">
      <c r="A1158">
        <v>156</v>
      </c>
      <c r="B1158" s="10" t="s">
        <v>459</v>
      </c>
      <c r="C1158" s="10" t="s">
        <v>137</v>
      </c>
      <c r="D1158" s="10" t="s">
        <v>139</v>
      </c>
      <c r="E1158" s="10" t="s">
        <v>140</v>
      </c>
      <c r="F1158" s="10" t="s">
        <v>108</v>
      </c>
      <c r="G1158" s="10" t="s">
        <v>105</v>
      </c>
      <c r="H1158" s="10" t="s">
        <v>65</v>
      </c>
      <c r="I1158" s="10" t="s">
        <v>16</v>
      </c>
      <c r="J1158" s="10" t="s">
        <v>477</v>
      </c>
      <c r="K1158" s="10" t="s">
        <v>478</v>
      </c>
      <c r="L1158" s="10" t="s">
        <v>67</v>
      </c>
    </row>
    <row r="1159" spans="1:12" x14ac:dyDescent="0.25">
      <c r="A1159">
        <v>156</v>
      </c>
      <c r="B1159" s="10" t="s">
        <v>459</v>
      </c>
      <c r="C1159" s="10" t="s">
        <v>137</v>
      </c>
      <c r="D1159" s="10" t="s">
        <v>139</v>
      </c>
      <c r="E1159" s="10" t="s">
        <v>140</v>
      </c>
      <c r="F1159" s="10" t="s">
        <v>109</v>
      </c>
      <c r="G1159" s="10" t="s">
        <v>105</v>
      </c>
      <c r="H1159" s="10" t="s">
        <v>65</v>
      </c>
      <c r="I1159" s="10" t="s">
        <v>16</v>
      </c>
      <c r="J1159" s="10" t="s">
        <v>474</v>
      </c>
      <c r="K1159" s="10" t="s">
        <v>405</v>
      </c>
      <c r="L1159" s="10" t="s">
        <v>67</v>
      </c>
    </row>
    <row r="1160" spans="1:12" x14ac:dyDescent="0.25">
      <c r="A1160">
        <v>156</v>
      </c>
      <c r="B1160" s="10" t="s">
        <v>459</v>
      </c>
      <c r="C1160" s="10" t="s">
        <v>137</v>
      </c>
      <c r="D1160" s="10" t="s">
        <v>139</v>
      </c>
      <c r="E1160" s="10" t="s">
        <v>140</v>
      </c>
      <c r="F1160" s="10" t="s">
        <v>110</v>
      </c>
      <c r="G1160" s="10" t="s">
        <v>105</v>
      </c>
      <c r="H1160" s="10" t="s">
        <v>65</v>
      </c>
      <c r="I1160" s="10" t="s">
        <v>16</v>
      </c>
      <c r="J1160" s="10" t="s">
        <v>79</v>
      </c>
      <c r="K1160" s="10" t="s">
        <v>476</v>
      </c>
      <c r="L1160" s="10" t="s">
        <v>67</v>
      </c>
    </row>
    <row r="1161" spans="1:12" x14ac:dyDescent="0.25">
      <c r="A1161">
        <v>156</v>
      </c>
      <c r="B1161" s="10" t="s">
        <v>459</v>
      </c>
      <c r="C1161" s="10" t="s">
        <v>137</v>
      </c>
      <c r="D1161" s="10" t="s">
        <v>139</v>
      </c>
      <c r="E1161" s="10" t="s">
        <v>140</v>
      </c>
      <c r="F1161" s="10" t="s">
        <v>111</v>
      </c>
      <c r="G1161" s="10" t="s">
        <v>105</v>
      </c>
      <c r="H1161" s="10" t="s">
        <v>65</v>
      </c>
      <c r="I1161" s="10" t="s">
        <v>16</v>
      </c>
      <c r="J1161" s="10" t="s">
        <v>410</v>
      </c>
      <c r="K1161" s="10" t="s">
        <v>411</v>
      </c>
      <c r="L1161" s="10" t="s">
        <v>67</v>
      </c>
    </row>
    <row r="1162" spans="1:12" x14ac:dyDescent="0.25">
      <c r="A1162">
        <v>156</v>
      </c>
      <c r="B1162" s="10" t="s">
        <v>459</v>
      </c>
      <c r="C1162" s="10" t="s">
        <v>137</v>
      </c>
      <c r="D1162" s="10" t="s">
        <v>139</v>
      </c>
      <c r="E1162" s="10" t="s">
        <v>140</v>
      </c>
      <c r="F1162" s="10" t="s">
        <v>112</v>
      </c>
      <c r="G1162" s="10" t="s">
        <v>105</v>
      </c>
      <c r="H1162" s="10" t="s">
        <v>65</v>
      </c>
      <c r="I1162" s="10" t="s">
        <v>16</v>
      </c>
      <c r="J1162" s="10" t="s">
        <v>479</v>
      </c>
      <c r="K1162" s="10" t="s">
        <v>480</v>
      </c>
      <c r="L1162" s="10" t="s">
        <v>67</v>
      </c>
    </row>
    <row r="1163" spans="1:12" x14ac:dyDescent="0.25">
      <c r="A1163">
        <v>156</v>
      </c>
      <c r="B1163" s="10" t="s">
        <v>459</v>
      </c>
      <c r="C1163" s="10" t="s">
        <v>137</v>
      </c>
      <c r="D1163" s="10" t="s">
        <v>139</v>
      </c>
      <c r="E1163" s="10" t="s">
        <v>140</v>
      </c>
      <c r="F1163" s="10" t="s">
        <v>113</v>
      </c>
      <c r="G1163" s="10" t="s">
        <v>105</v>
      </c>
      <c r="H1163" s="10" t="s">
        <v>65</v>
      </c>
      <c r="I1163" s="10" t="s">
        <v>16</v>
      </c>
      <c r="J1163" s="10" t="s">
        <v>281</v>
      </c>
      <c r="K1163" s="10" t="s">
        <v>282</v>
      </c>
      <c r="L1163" s="10" t="s">
        <v>67</v>
      </c>
    </row>
    <row r="1164" spans="1:12" x14ac:dyDescent="0.25">
      <c r="A1164">
        <v>156</v>
      </c>
      <c r="B1164" s="10" t="s">
        <v>459</v>
      </c>
      <c r="C1164" s="10" t="s">
        <v>137</v>
      </c>
      <c r="D1164" s="10" t="s">
        <v>139</v>
      </c>
      <c r="E1164" s="10" t="s">
        <v>140</v>
      </c>
      <c r="F1164" s="10" t="s">
        <v>124</v>
      </c>
      <c r="G1164" s="10" t="s">
        <v>125</v>
      </c>
      <c r="H1164" s="10" t="s">
        <v>72</v>
      </c>
      <c r="I1164" s="10" t="s">
        <v>18</v>
      </c>
      <c r="J1164" s="10" t="s">
        <v>54</v>
      </c>
      <c r="K1164" s="10" t="s">
        <v>54</v>
      </c>
      <c r="L1164" s="10" t="s">
        <v>54</v>
      </c>
    </row>
    <row r="1165" spans="1:12" x14ac:dyDescent="0.25">
      <c r="A1165">
        <v>156</v>
      </c>
      <c r="B1165" s="10" t="s">
        <v>459</v>
      </c>
      <c r="C1165" s="10" t="s">
        <v>137</v>
      </c>
      <c r="D1165" s="10" t="s">
        <v>139</v>
      </c>
      <c r="E1165" s="10" t="s">
        <v>140</v>
      </c>
      <c r="F1165" s="10" t="s">
        <v>131</v>
      </c>
      <c r="G1165" s="10" t="s">
        <v>68</v>
      </c>
      <c r="H1165" s="10" t="s">
        <v>65</v>
      </c>
      <c r="I1165" s="10" t="s">
        <v>24</v>
      </c>
      <c r="J1165" s="10" t="s">
        <v>317</v>
      </c>
      <c r="K1165" s="10" t="s">
        <v>481</v>
      </c>
      <c r="L1165" s="10" t="s">
        <v>67</v>
      </c>
    </row>
    <row r="1166" spans="1:12" x14ac:dyDescent="0.25">
      <c r="A1166">
        <v>156</v>
      </c>
      <c r="B1166" s="10" t="s">
        <v>459</v>
      </c>
      <c r="C1166" s="10" t="s">
        <v>137</v>
      </c>
      <c r="D1166" s="10" t="s">
        <v>139</v>
      </c>
      <c r="E1166" s="10" t="s">
        <v>140</v>
      </c>
      <c r="F1166" s="10" t="s">
        <v>132</v>
      </c>
      <c r="G1166" s="10" t="s">
        <v>68</v>
      </c>
      <c r="H1166" s="10" t="s">
        <v>65</v>
      </c>
      <c r="I1166" s="10" t="s">
        <v>16</v>
      </c>
      <c r="J1166" s="10" t="s">
        <v>482</v>
      </c>
      <c r="K1166" s="10" t="s">
        <v>483</v>
      </c>
      <c r="L1166" s="10" t="s">
        <v>54</v>
      </c>
    </row>
    <row r="1167" spans="1:12" x14ac:dyDescent="0.25">
      <c r="A1167">
        <v>156</v>
      </c>
      <c r="B1167" s="10" t="s">
        <v>459</v>
      </c>
      <c r="C1167" s="10" t="s">
        <v>137</v>
      </c>
      <c r="D1167" s="10" t="s">
        <v>139</v>
      </c>
      <c r="E1167" s="10" t="s">
        <v>140</v>
      </c>
      <c r="F1167" s="10" t="s">
        <v>136</v>
      </c>
      <c r="G1167" s="10" t="s">
        <v>68</v>
      </c>
      <c r="H1167" s="10" t="s">
        <v>65</v>
      </c>
      <c r="I1167" s="10" t="s">
        <v>16</v>
      </c>
      <c r="J1167" s="10" t="s">
        <v>484</v>
      </c>
      <c r="K1167" s="10" t="s">
        <v>485</v>
      </c>
      <c r="L1167" s="10" t="s">
        <v>67</v>
      </c>
    </row>
    <row r="1168" spans="1:12" x14ac:dyDescent="0.25">
      <c r="A1168">
        <v>181</v>
      </c>
      <c r="B1168" s="10" t="s">
        <v>977</v>
      </c>
      <c r="C1168" s="10" t="s">
        <v>164</v>
      </c>
      <c r="D1168" s="10" t="s">
        <v>229</v>
      </c>
      <c r="E1168" s="10" t="s">
        <v>230</v>
      </c>
      <c r="F1168" s="10" t="s">
        <v>71</v>
      </c>
      <c r="G1168" s="10" t="s">
        <v>68</v>
      </c>
      <c r="H1168" s="10" t="s">
        <v>72</v>
      </c>
      <c r="I1168" s="10" t="s">
        <v>16</v>
      </c>
      <c r="J1168" s="10" t="s">
        <v>546</v>
      </c>
      <c r="K1168" s="10" t="s">
        <v>547</v>
      </c>
      <c r="L1168" s="10" t="s">
        <v>67</v>
      </c>
    </row>
    <row r="1169" spans="1:12" x14ac:dyDescent="0.25">
      <c r="A1169">
        <v>181</v>
      </c>
      <c r="B1169" s="10" t="s">
        <v>977</v>
      </c>
      <c r="C1169" s="10" t="s">
        <v>164</v>
      </c>
      <c r="D1169" s="10" t="s">
        <v>229</v>
      </c>
      <c r="E1169" s="10" t="s">
        <v>230</v>
      </c>
      <c r="F1169" s="10" t="s">
        <v>73</v>
      </c>
      <c r="G1169" s="10" t="s">
        <v>68</v>
      </c>
      <c r="H1169" s="10" t="s">
        <v>65</v>
      </c>
      <c r="I1169" s="10" t="s">
        <v>16</v>
      </c>
      <c r="J1169" s="10" t="s">
        <v>978</v>
      </c>
      <c r="K1169" s="10" t="s">
        <v>979</v>
      </c>
      <c r="L1169" s="10" t="s">
        <v>67</v>
      </c>
    </row>
    <row r="1170" spans="1:12" x14ac:dyDescent="0.25">
      <c r="A1170">
        <v>181</v>
      </c>
      <c r="B1170" s="10" t="s">
        <v>977</v>
      </c>
      <c r="C1170" s="10" t="s">
        <v>164</v>
      </c>
      <c r="D1170" s="10" t="s">
        <v>229</v>
      </c>
      <c r="E1170" s="10" t="s">
        <v>230</v>
      </c>
      <c r="F1170" s="10" t="s">
        <v>74</v>
      </c>
      <c r="G1170" s="10" t="s">
        <v>68</v>
      </c>
      <c r="H1170" s="10" t="s">
        <v>65</v>
      </c>
      <c r="I1170" s="10" t="s">
        <v>16</v>
      </c>
      <c r="J1170" s="10" t="s">
        <v>916</v>
      </c>
      <c r="K1170" s="10" t="s">
        <v>417</v>
      </c>
      <c r="L1170" s="10" t="s">
        <v>67</v>
      </c>
    </row>
    <row r="1171" spans="1:12" x14ac:dyDescent="0.25">
      <c r="A1171">
        <v>181</v>
      </c>
      <c r="B1171" s="10" t="s">
        <v>977</v>
      </c>
      <c r="C1171" s="10" t="s">
        <v>164</v>
      </c>
      <c r="D1171" s="10" t="s">
        <v>229</v>
      </c>
      <c r="E1171" s="10" t="s">
        <v>230</v>
      </c>
      <c r="F1171" s="10" t="s">
        <v>75</v>
      </c>
      <c r="G1171" s="10" t="s">
        <v>68</v>
      </c>
      <c r="H1171" s="10" t="s">
        <v>72</v>
      </c>
      <c r="I1171" s="10" t="s">
        <v>24</v>
      </c>
      <c r="J1171" s="10" t="s">
        <v>326</v>
      </c>
      <c r="K1171" s="10" t="s">
        <v>417</v>
      </c>
      <c r="L1171" s="10" t="s">
        <v>67</v>
      </c>
    </row>
    <row r="1172" spans="1:12" x14ac:dyDescent="0.25">
      <c r="A1172">
        <v>181</v>
      </c>
      <c r="B1172" s="10" t="s">
        <v>977</v>
      </c>
      <c r="C1172" s="10" t="s">
        <v>164</v>
      </c>
      <c r="D1172" s="10" t="s">
        <v>229</v>
      </c>
      <c r="E1172" s="10" t="s">
        <v>230</v>
      </c>
      <c r="F1172" s="10" t="s">
        <v>76</v>
      </c>
      <c r="G1172" s="10" t="s">
        <v>77</v>
      </c>
      <c r="H1172" s="10" t="s">
        <v>65</v>
      </c>
      <c r="I1172" s="10" t="s">
        <v>16</v>
      </c>
      <c r="J1172" s="10" t="s">
        <v>980</v>
      </c>
      <c r="K1172" s="10" t="s">
        <v>505</v>
      </c>
      <c r="L1172" s="10" t="s">
        <v>67</v>
      </c>
    </row>
    <row r="1173" spans="1:12" x14ac:dyDescent="0.25">
      <c r="A1173">
        <v>181</v>
      </c>
      <c r="B1173" s="10" t="s">
        <v>977</v>
      </c>
      <c r="C1173" s="10" t="s">
        <v>164</v>
      </c>
      <c r="D1173" s="10" t="s">
        <v>229</v>
      </c>
      <c r="E1173" s="10" t="s">
        <v>230</v>
      </c>
      <c r="F1173" s="10" t="s">
        <v>80</v>
      </c>
      <c r="G1173" s="10" t="s">
        <v>77</v>
      </c>
      <c r="H1173" s="10" t="s">
        <v>65</v>
      </c>
      <c r="I1173" s="10" t="s">
        <v>16</v>
      </c>
      <c r="J1173" s="10" t="s">
        <v>79</v>
      </c>
      <c r="K1173" s="10" t="s">
        <v>331</v>
      </c>
      <c r="L1173" s="10" t="s">
        <v>67</v>
      </c>
    </row>
    <row r="1174" spans="1:12" x14ac:dyDescent="0.25">
      <c r="A1174">
        <v>181</v>
      </c>
      <c r="B1174" s="10" t="s">
        <v>977</v>
      </c>
      <c r="C1174" s="10" t="s">
        <v>164</v>
      </c>
      <c r="D1174" s="10" t="s">
        <v>229</v>
      </c>
      <c r="E1174" s="10" t="s">
        <v>230</v>
      </c>
      <c r="F1174" s="10" t="s">
        <v>84</v>
      </c>
      <c r="G1174" s="10" t="s">
        <v>83</v>
      </c>
      <c r="H1174" s="10" t="s">
        <v>65</v>
      </c>
      <c r="I1174" s="10" t="s">
        <v>16</v>
      </c>
      <c r="J1174" s="10" t="s">
        <v>743</v>
      </c>
      <c r="K1174" s="10" t="s">
        <v>744</v>
      </c>
      <c r="L1174" s="10" t="s">
        <v>67</v>
      </c>
    </row>
    <row r="1175" spans="1:12" x14ac:dyDescent="0.25">
      <c r="A1175">
        <v>181</v>
      </c>
      <c r="B1175" s="10" t="s">
        <v>977</v>
      </c>
      <c r="C1175" s="10" t="s">
        <v>164</v>
      </c>
      <c r="D1175" s="10" t="s">
        <v>229</v>
      </c>
      <c r="E1175" s="10" t="s">
        <v>230</v>
      </c>
      <c r="F1175" s="10" t="s">
        <v>93</v>
      </c>
      <c r="G1175" s="10" t="s">
        <v>94</v>
      </c>
      <c r="H1175" s="10" t="s">
        <v>65</v>
      </c>
      <c r="I1175" s="10" t="s">
        <v>16</v>
      </c>
      <c r="J1175" s="10" t="s">
        <v>981</v>
      </c>
      <c r="K1175" s="10" t="s">
        <v>982</v>
      </c>
      <c r="L1175" s="10" t="s">
        <v>67</v>
      </c>
    </row>
    <row r="1176" spans="1:12" x14ac:dyDescent="0.25">
      <c r="A1176">
        <v>181</v>
      </c>
      <c r="B1176" s="10" t="s">
        <v>977</v>
      </c>
      <c r="C1176" s="10" t="s">
        <v>164</v>
      </c>
      <c r="D1176" s="10" t="s">
        <v>229</v>
      </c>
      <c r="E1176" s="10" t="s">
        <v>230</v>
      </c>
      <c r="F1176" s="10" t="s">
        <v>95</v>
      </c>
      <c r="G1176" s="10" t="s">
        <v>94</v>
      </c>
      <c r="H1176" s="10" t="s">
        <v>65</v>
      </c>
      <c r="I1176" s="10" t="s">
        <v>16</v>
      </c>
      <c r="J1176" s="10" t="s">
        <v>981</v>
      </c>
      <c r="K1176" s="10" t="s">
        <v>982</v>
      </c>
      <c r="L1176" s="10" t="s">
        <v>67</v>
      </c>
    </row>
    <row r="1177" spans="1:12" x14ac:dyDescent="0.25">
      <c r="A1177">
        <v>181</v>
      </c>
      <c r="B1177" s="10" t="s">
        <v>977</v>
      </c>
      <c r="C1177" s="10" t="s">
        <v>164</v>
      </c>
      <c r="D1177" s="10" t="s">
        <v>229</v>
      </c>
      <c r="E1177" s="10" t="s">
        <v>230</v>
      </c>
      <c r="F1177" s="10" t="s">
        <v>97</v>
      </c>
      <c r="G1177" s="10" t="s">
        <v>98</v>
      </c>
      <c r="H1177" s="10" t="s">
        <v>65</v>
      </c>
      <c r="I1177" s="10" t="s">
        <v>16</v>
      </c>
      <c r="J1177" s="10" t="s">
        <v>688</v>
      </c>
      <c r="K1177" s="10" t="s">
        <v>942</v>
      </c>
      <c r="L1177" s="10" t="s">
        <v>67</v>
      </c>
    </row>
    <row r="1178" spans="1:12" x14ac:dyDescent="0.25">
      <c r="A1178">
        <v>181</v>
      </c>
      <c r="B1178" s="10" t="s">
        <v>977</v>
      </c>
      <c r="C1178" s="10" t="s">
        <v>164</v>
      </c>
      <c r="D1178" s="10" t="s">
        <v>229</v>
      </c>
      <c r="E1178" s="10" t="s">
        <v>230</v>
      </c>
      <c r="F1178" s="10" t="s">
        <v>100</v>
      </c>
      <c r="G1178" s="10" t="s">
        <v>98</v>
      </c>
      <c r="H1178" s="10" t="s">
        <v>72</v>
      </c>
      <c r="I1178" s="10" t="s">
        <v>18</v>
      </c>
      <c r="J1178" s="10" t="s">
        <v>54</v>
      </c>
      <c r="K1178" s="10" t="s">
        <v>54</v>
      </c>
      <c r="L1178" s="10" t="s">
        <v>54</v>
      </c>
    </row>
    <row r="1179" spans="1:12" x14ac:dyDescent="0.25">
      <c r="A1179">
        <v>181</v>
      </c>
      <c r="B1179" s="10" t="s">
        <v>977</v>
      </c>
      <c r="C1179" s="10" t="s">
        <v>164</v>
      </c>
      <c r="D1179" s="10" t="s">
        <v>229</v>
      </c>
      <c r="E1179" s="10" t="s">
        <v>230</v>
      </c>
      <c r="F1179" s="10" t="s">
        <v>101</v>
      </c>
      <c r="G1179" s="10" t="s">
        <v>102</v>
      </c>
      <c r="H1179" s="10" t="s">
        <v>65</v>
      </c>
      <c r="I1179" s="10" t="s">
        <v>16</v>
      </c>
      <c r="J1179" s="10" t="s">
        <v>79</v>
      </c>
      <c r="K1179" s="10" t="s">
        <v>465</v>
      </c>
      <c r="L1179" s="10" t="s">
        <v>67</v>
      </c>
    </row>
    <row r="1180" spans="1:12" x14ac:dyDescent="0.25">
      <c r="A1180">
        <v>181</v>
      </c>
      <c r="B1180" s="10" t="s">
        <v>977</v>
      </c>
      <c r="C1180" s="10" t="s">
        <v>164</v>
      </c>
      <c r="D1180" s="10" t="s">
        <v>229</v>
      </c>
      <c r="E1180" s="10" t="s">
        <v>230</v>
      </c>
      <c r="F1180" s="10" t="s">
        <v>103</v>
      </c>
      <c r="G1180" s="10" t="s">
        <v>102</v>
      </c>
      <c r="H1180" s="10" t="s">
        <v>65</v>
      </c>
      <c r="I1180" s="10" t="s">
        <v>16</v>
      </c>
      <c r="J1180" s="10" t="s">
        <v>416</v>
      </c>
      <c r="K1180" s="10" t="s">
        <v>417</v>
      </c>
      <c r="L1180" s="10" t="s">
        <v>67</v>
      </c>
    </row>
    <row r="1181" spans="1:12" x14ac:dyDescent="0.25">
      <c r="A1181">
        <v>181</v>
      </c>
      <c r="B1181" s="10" t="s">
        <v>977</v>
      </c>
      <c r="C1181" s="10" t="s">
        <v>164</v>
      </c>
      <c r="D1181" s="10" t="s">
        <v>229</v>
      </c>
      <c r="E1181" s="10" t="s">
        <v>230</v>
      </c>
      <c r="F1181" s="10" t="s">
        <v>104</v>
      </c>
      <c r="G1181" s="10" t="s">
        <v>105</v>
      </c>
      <c r="H1181" s="10" t="s">
        <v>65</v>
      </c>
      <c r="I1181" s="10" t="s">
        <v>16</v>
      </c>
      <c r="J1181" s="10" t="s">
        <v>332</v>
      </c>
      <c r="K1181" s="10" t="s">
        <v>333</v>
      </c>
      <c r="L1181" s="10" t="s">
        <v>67</v>
      </c>
    </row>
    <row r="1182" spans="1:12" x14ac:dyDescent="0.25">
      <c r="A1182">
        <v>181</v>
      </c>
      <c r="B1182" s="10" t="s">
        <v>977</v>
      </c>
      <c r="C1182" s="10" t="s">
        <v>164</v>
      </c>
      <c r="D1182" s="10" t="s">
        <v>229</v>
      </c>
      <c r="E1182" s="10" t="s">
        <v>230</v>
      </c>
      <c r="F1182" s="10" t="s">
        <v>106</v>
      </c>
      <c r="G1182" s="10" t="s">
        <v>105</v>
      </c>
      <c r="H1182" s="10" t="s">
        <v>65</v>
      </c>
      <c r="I1182" s="10" t="s">
        <v>16</v>
      </c>
      <c r="J1182" s="10" t="s">
        <v>475</v>
      </c>
      <c r="K1182" s="10" t="s">
        <v>476</v>
      </c>
      <c r="L1182" s="10" t="s">
        <v>67</v>
      </c>
    </row>
    <row r="1183" spans="1:12" x14ac:dyDescent="0.25">
      <c r="A1183">
        <v>181</v>
      </c>
      <c r="B1183" s="10" t="s">
        <v>977</v>
      </c>
      <c r="C1183" s="10" t="s">
        <v>164</v>
      </c>
      <c r="D1183" s="10" t="s">
        <v>229</v>
      </c>
      <c r="E1183" s="10" t="s">
        <v>230</v>
      </c>
      <c r="F1183" s="10" t="s">
        <v>107</v>
      </c>
      <c r="G1183" s="10" t="s">
        <v>105</v>
      </c>
      <c r="H1183" s="10" t="s">
        <v>65</v>
      </c>
      <c r="I1183" s="10" t="s">
        <v>16</v>
      </c>
      <c r="J1183" s="10" t="s">
        <v>983</v>
      </c>
      <c r="K1183" s="10" t="s">
        <v>566</v>
      </c>
      <c r="L1183" s="10" t="s">
        <v>67</v>
      </c>
    </row>
    <row r="1184" spans="1:12" x14ac:dyDescent="0.25">
      <c r="A1184">
        <v>181</v>
      </c>
      <c r="B1184" s="10" t="s">
        <v>977</v>
      </c>
      <c r="C1184" s="10" t="s">
        <v>164</v>
      </c>
      <c r="D1184" s="10" t="s">
        <v>229</v>
      </c>
      <c r="E1184" s="10" t="s">
        <v>230</v>
      </c>
      <c r="F1184" s="10" t="s">
        <v>108</v>
      </c>
      <c r="G1184" s="10" t="s">
        <v>105</v>
      </c>
      <c r="H1184" s="10" t="s">
        <v>65</v>
      </c>
      <c r="I1184" s="10" t="s">
        <v>16</v>
      </c>
      <c r="J1184" s="10" t="s">
        <v>984</v>
      </c>
      <c r="K1184" s="10" t="s">
        <v>985</v>
      </c>
      <c r="L1184" s="10" t="s">
        <v>67</v>
      </c>
    </row>
    <row r="1185" spans="1:12" x14ac:dyDescent="0.25">
      <c r="A1185">
        <v>181</v>
      </c>
      <c r="B1185" s="10" t="s">
        <v>977</v>
      </c>
      <c r="C1185" s="10" t="s">
        <v>164</v>
      </c>
      <c r="D1185" s="10" t="s">
        <v>229</v>
      </c>
      <c r="E1185" s="10" t="s">
        <v>230</v>
      </c>
      <c r="F1185" s="10" t="s">
        <v>109</v>
      </c>
      <c r="G1185" s="10" t="s">
        <v>105</v>
      </c>
      <c r="H1185" s="10" t="s">
        <v>65</v>
      </c>
      <c r="I1185" s="10" t="s">
        <v>16</v>
      </c>
      <c r="J1185" s="10" t="s">
        <v>332</v>
      </c>
      <c r="K1185" s="10" t="s">
        <v>333</v>
      </c>
      <c r="L1185" s="10" t="s">
        <v>67</v>
      </c>
    </row>
    <row r="1186" spans="1:12" x14ac:dyDescent="0.25">
      <c r="A1186">
        <v>181</v>
      </c>
      <c r="B1186" s="10" t="s">
        <v>977</v>
      </c>
      <c r="C1186" s="10" t="s">
        <v>164</v>
      </c>
      <c r="D1186" s="10" t="s">
        <v>229</v>
      </c>
      <c r="E1186" s="10" t="s">
        <v>230</v>
      </c>
      <c r="F1186" s="10" t="s">
        <v>110</v>
      </c>
      <c r="G1186" s="10" t="s">
        <v>105</v>
      </c>
      <c r="H1186" s="10" t="s">
        <v>65</v>
      </c>
      <c r="I1186" s="10" t="s">
        <v>16</v>
      </c>
      <c r="J1186" s="10" t="s">
        <v>79</v>
      </c>
      <c r="K1186" s="10" t="s">
        <v>476</v>
      </c>
      <c r="L1186" s="10" t="s">
        <v>67</v>
      </c>
    </row>
    <row r="1187" spans="1:12" x14ac:dyDescent="0.25">
      <c r="A1187">
        <v>181</v>
      </c>
      <c r="B1187" s="10" t="s">
        <v>977</v>
      </c>
      <c r="C1187" s="10" t="s">
        <v>164</v>
      </c>
      <c r="D1187" s="10" t="s">
        <v>229</v>
      </c>
      <c r="E1187" s="10" t="s">
        <v>230</v>
      </c>
      <c r="F1187" s="10" t="s">
        <v>111</v>
      </c>
      <c r="G1187" s="10" t="s">
        <v>105</v>
      </c>
      <c r="H1187" s="10" t="s">
        <v>65</v>
      </c>
      <c r="I1187" s="10" t="s">
        <v>16</v>
      </c>
      <c r="J1187" s="10" t="s">
        <v>774</v>
      </c>
      <c r="K1187" s="10" t="s">
        <v>775</v>
      </c>
      <c r="L1187" s="10" t="s">
        <v>67</v>
      </c>
    </row>
    <row r="1188" spans="1:12" x14ac:dyDescent="0.25">
      <c r="A1188">
        <v>181</v>
      </c>
      <c r="B1188" s="10" t="s">
        <v>977</v>
      </c>
      <c r="C1188" s="10" t="s">
        <v>164</v>
      </c>
      <c r="D1188" s="10" t="s">
        <v>229</v>
      </c>
      <c r="E1188" s="10" t="s">
        <v>230</v>
      </c>
      <c r="F1188" s="10" t="s">
        <v>112</v>
      </c>
      <c r="G1188" s="10" t="s">
        <v>105</v>
      </c>
      <c r="H1188" s="10" t="s">
        <v>65</v>
      </c>
      <c r="I1188" s="10" t="s">
        <v>16</v>
      </c>
      <c r="J1188" s="10" t="s">
        <v>986</v>
      </c>
      <c r="K1188" s="10" t="s">
        <v>987</v>
      </c>
      <c r="L1188" s="10" t="s">
        <v>67</v>
      </c>
    </row>
    <row r="1189" spans="1:12" x14ac:dyDescent="0.25">
      <c r="A1189">
        <v>181</v>
      </c>
      <c r="B1189" s="10" t="s">
        <v>977</v>
      </c>
      <c r="C1189" s="10" t="s">
        <v>164</v>
      </c>
      <c r="D1189" s="10" t="s">
        <v>229</v>
      </c>
      <c r="E1189" s="10" t="s">
        <v>230</v>
      </c>
      <c r="F1189" s="10" t="s">
        <v>113</v>
      </c>
      <c r="G1189" s="10" t="s">
        <v>105</v>
      </c>
      <c r="H1189" s="10" t="s">
        <v>65</v>
      </c>
      <c r="I1189" s="10" t="s">
        <v>16</v>
      </c>
      <c r="J1189" s="10" t="s">
        <v>772</v>
      </c>
      <c r="K1189" s="10" t="s">
        <v>773</v>
      </c>
      <c r="L1189" s="10" t="s">
        <v>67</v>
      </c>
    </row>
    <row r="1190" spans="1:12" x14ac:dyDescent="0.25">
      <c r="A1190">
        <v>181</v>
      </c>
      <c r="B1190" s="10" t="s">
        <v>977</v>
      </c>
      <c r="C1190" s="10" t="s">
        <v>164</v>
      </c>
      <c r="D1190" s="10" t="s">
        <v>229</v>
      </c>
      <c r="E1190" s="10" t="s">
        <v>230</v>
      </c>
      <c r="F1190" s="10" t="s">
        <v>124</v>
      </c>
      <c r="G1190" s="10" t="s">
        <v>125</v>
      </c>
      <c r="H1190" s="10" t="s">
        <v>72</v>
      </c>
      <c r="I1190" s="10" t="s">
        <v>16</v>
      </c>
      <c r="J1190" s="10" t="s">
        <v>988</v>
      </c>
      <c r="K1190" s="10" t="s">
        <v>833</v>
      </c>
      <c r="L1190" s="10" t="s">
        <v>54</v>
      </c>
    </row>
    <row r="1191" spans="1:12" x14ac:dyDescent="0.25">
      <c r="A1191">
        <v>181</v>
      </c>
      <c r="B1191" s="10" t="s">
        <v>977</v>
      </c>
      <c r="C1191" s="10" t="s">
        <v>164</v>
      </c>
      <c r="D1191" s="10" t="s">
        <v>229</v>
      </c>
      <c r="E1191" s="10" t="s">
        <v>230</v>
      </c>
      <c r="F1191" s="10" t="s">
        <v>131</v>
      </c>
      <c r="G1191" s="10" t="s">
        <v>68</v>
      </c>
      <c r="H1191" s="10" t="s">
        <v>72</v>
      </c>
      <c r="I1191" s="10" t="s">
        <v>16</v>
      </c>
      <c r="J1191" s="10" t="s">
        <v>989</v>
      </c>
      <c r="K1191" s="10" t="s">
        <v>990</v>
      </c>
      <c r="L1191" s="10" t="s">
        <v>67</v>
      </c>
    </row>
    <row r="1192" spans="1:12" x14ac:dyDescent="0.25">
      <c r="A1192">
        <v>181</v>
      </c>
      <c r="B1192" s="10" t="s">
        <v>977</v>
      </c>
      <c r="C1192" s="10" t="s">
        <v>164</v>
      </c>
      <c r="D1192" s="10" t="s">
        <v>229</v>
      </c>
      <c r="E1192" s="10" t="s">
        <v>230</v>
      </c>
      <c r="F1192" s="10" t="s">
        <v>156</v>
      </c>
      <c r="G1192" s="10" t="s">
        <v>125</v>
      </c>
      <c r="H1192" s="10" t="s">
        <v>65</v>
      </c>
      <c r="I1192" s="10" t="s">
        <v>16</v>
      </c>
      <c r="J1192" s="10" t="s">
        <v>988</v>
      </c>
      <c r="K1192" s="10" t="s">
        <v>833</v>
      </c>
      <c r="L1192" s="10" t="s">
        <v>54</v>
      </c>
    </row>
    <row r="1193" spans="1:12" x14ac:dyDescent="0.25">
      <c r="A1193">
        <v>181</v>
      </c>
      <c r="B1193" s="10" t="s">
        <v>977</v>
      </c>
      <c r="C1193" s="10" t="s">
        <v>164</v>
      </c>
      <c r="D1193" s="10" t="s">
        <v>229</v>
      </c>
      <c r="E1193" s="10" t="s">
        <v>230</v>
      </c>
      <c r="F1193" s="10" t="s">
        <v>163</v>
      </c>
      <c r="G1193" s="10" t="s">
        <v>68</v>
      </c>
      <c r="H1193" s="10" t="s">
        <v>65</v>
      </c>
      <c r="I1193" s="10" t="s">
        <v>16</v>
      </c>
      <c r="J1193" s="10" t="s">
        <v>953</v>
      </c>
      <c r="K1193" s="10" t="s">
        <v>991</v>
      </c>
      <c r="L1193" s="10" t="s">
        <v>54</v>
      </c>
    </row>
    <row r="1194" spans="1:12" x14ac:dyDescent="0.25">
      <c r="A1194">
        <v>181</v>
      </c>
      <c r="B1194" s="10" t="s">
        <v>977</v>
      </c>
      <c r="C1194" s="10" t="s">
        <v>164</v>
      </c>
      <c r="D1194" s="10" t="s">
        <v>229</v>
      </c>
      <c r="E1194" s="10" t="s">
        <v>230</v>
      </c>
      <c r="F1194" s="10" t="s">
        <v>165</v>
      </c>
      <c r="G1194" s="10" t="s">
        <v>68</v>
      </c>
      <c r="H1194" s="10" t="s">
        <v>72</v>
      </c>
      <c r="I1194" s="10" t="s">
        <v>16</v>
      </c>
      <c r="J1194" s="10" t="s">
        <v>79</v>
      </c>
      <c r="K1194" s="10" t="s">
        <v>403</v>
      </c>
      <c r="L1194" s="10" t="s">
        <v>67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245"/>
  <sheetViews>
    <sheetView zoomScale="90" zoomScaleNormal="90" workbookViewId="0">
      <selection activeCell="M8" sqref="M8"/>
    </sheetView>
  </sheetViews>
  <sheetFormatPr defaultColWidth="9" defaultRowHeight="15" x14ac:dyDescent="0.25"/>
  <cols>
    <col min="1" max="4" width="18.28515625" customWidth="1"/>
    <col min="5" max="5" width="29.85546875" bestFit="1" customWidth="1"/>
    <col min="6" max="6" width="37" customWidth="1"/>
    <col min="7" max="7" width="50.7109375" customWidth="1"/>
    <col min="8" max="9" width="21.5703125" customWidth="1"/>
    <col min="10" max="10" width="27.85546875" customWidth="1"/>
    <col min="11" max="11" width="30" customWidth="1"/>
    <col min="12" max="13" width="30" style="7" customWidth="1"/>
    <col min="14" max="14" width="20.140625" customWidth="1"/>
    <col min="15" max="15" width="26.85546875" customWidth="1"/>
    <col min="16" max="16" width="29.140625" customWidth="1"/>
  </cols>
  <sheetData>
    <row r="1" spans="1:16" x14ac:dyDescent="0.25">
      <c r="A1" t="s">
        <v>11</v>
      </c>
      <c r="B1" s="1">
        <v>46251.533407129631</v>
      </c>
      <c r="C1" s="1" t="s">
        <v>13</v>
      </c>
    </row>
    <row r="2" spans="1:16" x14ac:dyDescent="0.25">
      <c r="A2" t="s">
        <v>12</v>
      </c>
      <c r="B2" s="1" t="s">
        <v>60</v>
      </c>
      <c r="C2" s="1" t="s">
        <v>14</v>
      </c>
    </row>
    <row r="4" spans="1:16" x14ac:dyDescent="0.25">
      <c r="A4" s="1" t="s">
        <v>5</v>
      </c>
      <c r="B4" s="1" t="s">
        <v>43</v>
      </c>
      <c r="C4" s="1" t="s">
        <v>47</v>
      </c>
      <c r="D4" s="1" t="s">
        <v>46</v>
      </c>
      <c r="E4" s="1" t="s">
        <v>6</v>
      </c>
      <c r="F4" s="1" t="s">
        <v>7</v>
      </c>
      <c r="G4" s="1" t="s">
        <v>8</v>
      </c>
      <c r="H4" s="1" t="s">
        <v>9</v>
      </c>
      <c r="I4" s="1" t="s">
        <v>29</v>
      </c>
      <c r="J4" s="1" t="s">
        <v>31</v>
      </c>
      <c r="K4" s="1" t="s">
        <v>10</v>
      </c>
      <c r="L4" s="3" t="s">
        <v>48</v>
      </c>
      <c r="M4" s="3" t="s">
        <v>59</v>
      </c>
      <c r="N4" s="1" t="s">
        <v>49</v>
      </c>
    </row>
    <row r="5" spans="1:16" x14ac:dyDescent="0.25">
      <c r="A5" t="s">
        <v>0</v>
      </c>
      <c r="B5" t="s">
        <v>42</v>
      </c>
      <c r="C5" t="s">
        <v>44</v>
      </c>
      <c r="D5" t="s">
        <v>45</v>
      </c>
      <c r="E5" t="s">
        <v>1</v>
      </c>
      <c r="F5" t="s">
        <v>2</v>
      </c>
      <c r="G5" t="s">
        <v>3</v>
      </c>
      <c r="H5" t="s">
        <v>4</v>
      </c>
      <c r="I5" t="s">
        <v>28</v>
      </c>
      <c r="J5" t="s">
        <v>32</v>
      </c>
      <c r="K5" t="s">
        <v>33</v>
      </c>
      <c r="L5" s="7" t="s">
        <v>41</v>
      </c>
      <c r="M5" s="7" t="s">
        <v>52</v>
      </c>
      <c r="N5" s="2" t="s">
        <v>40</v>
      </c>
      <c r="O5" s="2" t="s">
        <v>30</v>
      </c>
      <c r="P5" s="2" t="s">
        <v>35</v>
      </c>
    </row>
    <row r="6" spans="1:16" x14ac:dyDescent="0.25">
      <c r="A6" s="1">
        <v>147</v>
      </c>
      <c r="B6" s="1" t="s">
        <v>61</v>
      </c>
      <c r="C6" s="1" t="s">
        <v>62</v>
      </c>
      <c r="D6" s="1" t="s">
        <v>63</v>
      </c>
      <c r="E6" s="1" t="s">
        <v>64</v>
      </c>
      <c r="F6" s="1" t="s">
        <v>65</v>
      </c>
      <c r="G6" s="1" t="s">
        <v>16</v>
      </c>
      <c r="H6" s="1" t="s">
        <v>66</v>
      </c>
      <c r="I6" s="1" t="s">
        <v>60</v>
      </c>
      <c r="J6" s="1" t="s">
        <v>67</v>
      </c>
      <c r="K6" s="1" t="s">
        <v>68</v>
      </c>
      <c r="L6" s="3">
        <v>46861</v>
      </c>
      <c r="M6" s="3">
        <v>45035</v>
      </c>
      <c r="N6">
        <f>_xlfn.XLOOKUP(Data[[#This Row],[Status]],Compliance_Status[Status from OPMS],Compliance_Status[Status_Key],"")</f>
        <v>4</v>
      </c>
      <c r="O6">
        <f>_xlfn.XLOOKUP(Data[[#This Row],[Status]],Compliance_Status[Status from OPMS],Compliance_Status[Has Course booking],"")</f>
        <v>0</v>
      </c>
      <c r="P6" t="str">
        <f>_xlfn.XLOOKUP(Data[[#This Row],[StatusKey]],Status_Key[Status_Key],Status_Key[Name],"")</f>
        <v>In Date</v>
      </c>
    </row>
    <row r="7" spans="1:16" x14ac:dyDescent="0.25">
      <c r="A7" s="1">
        <v>147</v>
      </c>
      <c r="B7" s="1" t="s">
        <v>61</v>
      </c>
      <c r="C7" s="1" t="s">
        <v>62</v>
      </c>
      <c r="D7" s="1" t="s">
        <v>63</v>
      </c>
      <c r="E7" s="1" t="s">
        <v>69</v>
      </c>
      <c r="F7" s="1" t="s">
        <v>65</v>
      </c>
      <c r="G7" s="1" t="s">
        <v>16</v>
      </c>
      <c r="H7" s="1" t="s">
        <v>66</v>
      </c>
      <c r="I7" s="1" t="s">
        <v>60</v>
      </c>
      <c r="J7" s="1"/>
      <c r="K7" s="1" t="s">
        <v>68</v>
      </c>
      <c r="L7" s="3">
        <v>46861</v>
      </c>
      <c r="M7" s="3">
        <v>45035</v>
      </c>
      <c r="N7">
        <f>_xlfn.XLOOKUP(Data[[#This Row],[Status]],Compliance_Status[Status from OPMS],Compliance_Status[Status_Key],"")</f>
        <v>4</v>
      </c>
      <c r="O7">
        <f>_xlfn.XLOOKUP(Data[[#This Row],[Status]],Compliance_Status[Status from OPMS],Compliance_Status[Has Course booking],"")</f>
        <v>0</v>
      </c>
      <c r="P7" t="str">
        <f>_xlfn.XLOOKUP(Data[[#This Row],[StatusKey]],Status_Key[Status_Key],Status_Key[Name],"")</f>
        <v>In Date</v>
      </c>
    </row>
    <row r="8" spans="1:16" x14ac:dyDescent="0.25">
      <c r="A8" s="1">
        <v>147</v>
      </c>
      <c r="B8" s="1" t="s">
        <v>61</v>
      </c>
      <c r="C8" s="1" t="s">
        <v>62</v>
      </c>
      <c r="D8" s="1" t="s">
        <v>63</v>
      </c>
      <c r="E8" s="1" t="s">
        <v>70</v>
      </c>
      <c r="F8" s="1" t="s">
        <v>65</v>
      </c>
      <c r="G8" s="1" t="s">
        <v>16</v>
      </c>
      <c r="H8" s="1" t="s">
        <v>66</v>
      </c>
      <c r="I8" s="1" t="s">
        <v>60</v>
      </c>
      <c r="J8" s="1" t="s">
        <v>67</v>
      </c>
      <c r="K8" s="1" t="s">
        <v>68</v>
      </c>
      <c r="L8" s="3">
        <v>47460</v>
      </c>
      <c r="M8" s="3">
        <v>45635</v>
      </c>
      <c r="N8">
        <f>_xlfn.XLOOKUP(Data[[#This Row],[Status]],Compliance_Status[Status from OPMS],Compliance_Status[Status_Key],"")</f>
        <v>4</v>
      </c>
      <c r="O8">
        <f>_xlfn.XLOOKUP(Data[[#This Row],[Status]],Compliance_Status[Status from OPMS],Compliance_Status[Has Course booking],"")</f>
        <v>0</v>
      </c>
      <c r="P8" t="str">
        <f>_xlfn.XLOOKUP(Data[[#This Row],[StatusKey]],Status_Key[Status_Key],Status_Key[Name],"")</f>
        <v>In Date</v>
      </c>
    </row>
    <row r="9" spans="1:16" x14ac:dyDescent="0.25">
      <c r="A9" s="1">
        <v>147</v>
      </c>
      <c r="B9" s="1" t="s">
        <v>61</v>
      </c>
      <c r="C9" s="1" t="s">
        <v>62</v>
      </c>
      <c r="D9" s="1" t="s">
        <v>63</v>
      </c>
      <c r="E9" s="1" t="s">
        <v>71</v>
      </c>
      <c r="F9" s="1" t="s">
        <v>72</v>
      </c>
      <c r="G9" s="1" t="s">
        <v>18</v>
      </c>
      <c r="H9" s="1" t="s">
        <v>66</v>
      </c>
      <c r="I9" s="1" t="s">
        <v>60</v>
      </c>
      <c r="J9" s="1"/>
      <c r="K9" s="1" t="s">
        <v>68</v>
      </c>
      <c r="L9" s="3"/>
      <c r="M9" s="3"/>
      <c r="N9">
        <f>_xlfn.XLOOKUP(Data[[#This Row],[Status]],Compliance_Status[Status from OPMS],Compliance_Status[Status_Key],"")</f>
        <v>2</v>
      </c>
      <c r="O9">
        <f>_xlfn.XLOOKUP(Data[[#This Row],[Status]],Compliance_Status[Status from OPMS],Compliance_Status[Has Course booking],"")</f>
        <v>0</v>
      </c>
      <c r="P9" t="str">
        <f>_xlfn.XLOOKUP(Data[[#This Row],[StatusKey]],Status_Key[Status_Key],Status_Key[Name],"")</f>
        <v>Outstanding</v>
      </c>
    </row>
    <row r="10" spans="1:16" x14ac:dyDescent="0.25">
      <c r="A10" s="1">
        <v>147</v>
      </c>
      <c r="B10" s="1" t="s">
        <v>61</v>
      </c>
      <c r="C10" s="1" t="s">
        <v>62</v>
      </c>
      <c r="D10" s="1" t="s">
        <v>63</v>
      </c>
      <c r="E10" s="1" t="s">
        <v>73</v>
      </c>
      <c r="F10" s="1" t="s">
        <v>65</v>
      </c>
      <c r="G10" s="1" t="s">
        <v>16</v>
      </c>
      <c r="H10" s="1" t="s">
        <v>66</v>
      </c>
      <c r="I10" s="1" t="s">
        <v>60</v>
      </c>
      <c r="J10" s="1" t="s">
        <v>67</v>
      </c>
      <c r="K10" s="1" t="s">
        <v>68</v>
      </c>
      <c r="L10" s="3">
        <v>46339</v>
      </c>
      <c r="M10" s="3">
        <v>45609</v>
      </c>
      <c r="N10">
        <f>_xlfn.XLOOKUP(Data[[#This Row],[Status]],Compliance_Status[Status from OPMS],Compliance_Status[Status_Key],"")</f>
        <v>4</v>
      </c>
      <c r="O10">
        <f>_xlfn.XLOOKUP(Data[[#This Row],[Status]],Compliance_Status[Status from OPMS],Compliance_Status[Has Course booking],"")</f>
        <v>0</v>
      </c>
      <c r="P10" t="str">
        <f>_xlfn.XLOOKUP(Data[[#This Row],[StatusKey]],Status_Key[Status_Key],Status_Key[Name],"")</f>
        <v>In Date</v>
      </c>
    </row>
    <row r="11" spans="1:16" x14ac:dyDescent="0.25">
      <c r="A11" s="1">
        <v>147</v>
      </c>
      <c r="B11" s="1" t="s">
        <v>61</v>
      </c>
      <c r="C11" s="1" t="s">
        <v>62</v>
      </c>
      <c r="D11" s="1" t="s">
        <v>63</v>
      </c>
      <c r="E11" s="1" t="s">
        <v>74</v>
      </c>
      <c r="F11" s="1" t="s">
        <v>65</v>
      </c>
      <c r="G11" s="1" t="s">
        <v>16</v>
      </c>
      <c r="H11" s="1" t="s">
        <v>66</v>
      </c>
      <c r="I11" s="1" t="s">
        <v>60</v>
      </c>
      <c r="J11" s="1" t="s">
        <v>67</v>
      </c>
      <c r="K11" s="1" t="s">
        <v>68</v>
      </c>
      <c r="L11" s="3">
        <v>46583</v>
      </c>
      <c r="M11" s="3">
        <v>45488</v>
      </c>
      <c r="N11">
        <f>_xlfn.XLOOKUP(Data[[#This Row],[Status]],Compliance_Status[Status from OPMS],Compliance_Status[Status_Key],"")</f>
        <v>4</v>
      </c>
      <c r="O11">
        <f>_xlfn.XLOOKUP(Data[[#This Row],[Status]],Compliance_Status[Status from OPMS],Compliance_Status[Has Course booking],"")</f>
        <v>0</v>
      </c>
      <c r="P11" t="str">
        <f>_xlfn.XLOOKUP(Data[[#This Row],[StatusKey]],Status_Key[Status_Key],Status_Key[Name],"")</f>
        <v>In Date</v>
      </c>
    </row>
    <row r="12" spans="1:16" x14ac:dyDescent="0.25">
      <c r="A12" s="1">
        <v>147</v>
      </c>
      <c r="B12" s="1" t="s">
        <v>61</v>
      </c>
      <c r="C12" s="1" t="s">
        <v>62</v>
      </c>
      <c r="D12" s="1" t="s">
        <v>63</v>
      </c>
      <c r="E12" s="1" t="s">
        <v>75</v>
      </c>
      <c r="F12" s="1" t="s">
        <v>72</v>
      </c>
      <c r="G12" s="1" t="s">
        <v>18</v>
      </c>
      <c r="H12" s="1" t="s">
        <v>66</v>
      </c>
      <c r="I12" s="1" t="s">
        <v>60</v>
      </c>
      <c r="J12" s="1"/>
      <c r="K12" s="1" t="s">
        <v>68</v>
      </c>
      <c r="L12" s="3"/>
      <c r="M12" s="3"/>
      <c r="N12">
        <f>_xlfn.XLOOKUP(Data[[#This Row],[Status]],Compliance_Status[Status from OPMS],Compliance_Status[Status_Key],"")</f>
        <v>2</v>
      </c>
      <c r="O12">
        <f>_xlfn.XLOOKUP(Data[[#This Row],[Status]],Compliance_Status[Status from OPMS],Compliance_Status[Has Course booking],"")</f>
        <v>0</v>
      </c>
      <c r="P12" t="str">
        <f>_xlfn.XLOOKUP(Data[[#This Row],[StatusKey]],Status_Key[Status_Key],Status_Key[Name],"")</f>
        <v>Outstanding</v>
      </c>
    </row>
    <row r="13" spans="1:16" x14ac:dyDescent="0.25">
      <c r="A13" s="1">
        <v>147</v>
      </c>
      <c r="B13" s="1" t="s">
        <v>61</v>
      </c>
      <c r="C13" s="1" t="s">
        <v>62</v>
      </c>
      <c r="D13" s="1" t="s">
        <v>63</v>
      </c>
      <c r="E13" s="1" t="s">
        <v>76</v>
      </c>
      <c r="F13" s="1" t="s">
        <v>65</v>
      </c>
      <c r="G13" s="1" t="s">
        <v>16</v>
      </c>
      <c r="H13" s="1" t="s">
        <v>66</v>
      </c>
      <c r="I13" s="1" t="s">
        <v>60</v>
      </c>
      <c r="J13" s="1" t="s">
        <v>67</v>
      </c>
      <c r="K13" s="1" t="s">
        <v>77</v>
      </c>
      <c r="L13" s="3">
        <v>47299</v>
      </c>
      <c r="M13" s="3">
        <v>45838</v>
      </c>
      <c r="N13">
        <f>_xlfn.XLOOKUP(Data[[#This Row],[Status]],Compliance_Status[Status from OPMS],Compliance_Status[Status_Key],"")</f>
        <v>4</v>
      </c>
      <c r="O13">
        <f>_xlfn.XLOOKUP(Data[[#This Row],[Status]],Compliance_Status[Status from OPMS],Compliance_Status[Has Course booking],"")</f>
        <v>0</v>
      </c>
      <c r="P13" t="str">
        <f>_xlfn.XLOOKUP(Data[[#This Row],[StatusKey]],Status_Key[Status_Key],Status_Key[Name],"")</f>
        <v>In Date</v>
      </c>
    </row>
    <row r="14" spans="1:16" x14ac:dyDescent="0.25">
      <c r="A14" s="1">
        <v>147</v>
      </c>
      <c r="B14" s="1" t="s">
        <v>61</v>
      </c>
      <c r="C14" s="1" t="s">
        <v>62</v>
      </c>
      <c r="D14" s="1" t="s">
        <v>63</v>
      </c>
      <c r="E14" s="1" t="s">
        <v>78</v>
      </c>
      <c r="F14" s="1" t="s">
        <v>65</v>
      </c>
      <c r="G14" s="1" t="s">
        <v>16</v>
      </c>
      <c r="H14" s="1" t="s">
        <v>66</v>
      </c>
      <c r="I14" s="1" t="s">
        <v>60</v>
      </c>
      <c r="J14" s="1" t="s">
        <v>67</v>
      </c>
      <c r="K14" s="1" t="s">
        <v>77</v>
      </c>
      <c r="L14" s="3" t="s">
        <v>79</v>
      </c>
      <c r="M14" s="3">
        <v>45456</v>
      </c>
      <c r="N14">
        <f>_xlfn.XLOOKUP(Data[[#This Row],[Status]],Compliance_Status[Status from OPMS],Compliance_Status[Status_Key],"")</f>
        <v>4</v>
      </c>
      <c r="O14">
        <f>_xlfn.XLOOKUP(Data[[#This Row],[Status]],Compliance_Status[Status from OPMS],Compliance_Status[Has Course booking],"")</f>
        <v>0</v>
      </c>
      <c r="P14" t="str">
        <f>_xlfn.XLOOKUP(Data[[#This Row],[StatusKey]],Status_Key[Status_Key],Status_Key[Name],"")</f>
        <v>In Date</v>
      </c>
    </row>
    <row r="15" spans="1:16" x14ac:dyDescent="0.25">
      <c r="A15" s="1">
        <v>147</v>
      </c>
      <c r="B15" s="1" t="s">
        <v>61</v>
      </c>
      <c r="C15" s="1" t="s">
        <v>62</v>
      </c>
      <c r="D15" s="1" t="s">
        <v>63</v>
      </c>
      <c r="E15" s="1" t="s">
        <v>80</v>
      </c>
      <c r="F15" s="1" t="s">
        <v>65</v>
      </c>
      <c r="G15" s="1" t="s">
        <v>16</v>
      </c>
      <c r="H15" s="1" t="s">
        <v>66</v>
      </c>
      <c r="I15" s="1" t="s">
        <v>60</v>
      </c>
      <c r="J15" s="1" t="s">
        <v>67</v>
      </c>
      <c r="K15" s="1" t="s">
        <v>77</v>
      </c>
      <c r="L15" s="3" t="s">
        <v>79</v>
      </c>
      <c r="M15" s="3">
        <v>45798</v>
      </c>
      <c r="N15">
        <f>_xlfn.XLOOKUP(Data[[#This Row],[Status]],Compliance_Status[Status from OPMS],Compliance_Status[Status_Key],"")</f>
        <v>4</v>
      </c>
      <c r="O15">
        <f>_xlfn.XLOOKUP(Data[[#This Row],[Status]],Compliance_Status[Status from OPMS],Compliance_Status[Has Course booking],"")</f>
        <v>0</v>
      </c>
      <c r="P15" t="str">
        <f>_xlfn.XLOOKUP(Data[[#This Row],[StatusKey]],Status_Key[Status_Key],Status_Key[Name],"")</f>
        <v>In Date</v>
      </c>
    </row>
    <row r="16" spans="1:16" x14ac:dyDescent="0.25">
      <c r="A16" s="1">
        <v>147</v>
      </c>
      <c r="B16" s="1" t="s">
        <v>61</v>
      </c>
      <c r="C16" s="1" t="s">
        <v>62</v>
      </c>
      <c r="D16" s="1" t="s">
        <v>63</v>
      </c>
      <c r="E16" s="1" t="s">
        <v>81</v>
      </c>
      <c r="F16" s="1" t="s">
        <v>65</v>
      </c>
      <c r="G16" s="1" t="s">
        <v>16</v>
      </c>
      <c r="H16" s="1" t="s">
        <v>66</v>
      </c>
      <c r="I16" s="1" t="s">
        <v>60</v>
      </c>
      <c r="J16" s="1" t="s">
        <v>67</v>
      </c>
      <c r="K16" s="1" t="s">
        <v>77</v>
      </c>
      <c r="L16" s="3">
        <v>46744</v>
      </c>
      <c r="M16" s="3">
        <v>46014</v>
      </c>
      <c r="N16">
        <f>_xlfn.XLOOKUP(Data[[#This Row],[Status]],Compliance_Status[Status from OPMS],Compliance_Status[Status_Key],"")</f>
        <v>4</v>
      </c>
      <c r="O16">
        <f>_xlfn.XLOOKUP(Data[[#This Row],[Status]],Compliance_Status[Status from OPMS],Compliance_Status[Has Course booking],"")</f>
        <v>0</v>
      </c>
      <c r="P16" t="str">
        <f>_xlfn.XLOOKUP(Data[[#This Row],[StatusKey]],Status_Key[Status_Key],Status_Key[Name],"")</f>
        <v>In Date</v>
      </c>
    </row>
    <row r="17" spans="1:16" x14ac:dyDescent="0.25">
      <c r="A17" s="1">
        <v>147</v>
      </c>
      <c r="B17" s="1" t="s">
        <v>61</v>
      </c>
      <c r="C17" s="1" t="s">
        <v>62</v>
      </c>
      <c r="D17" s="1" t="s">
        <v>63</v>
      </c>
      <c r="E17" s="1" t="s">
        <v>82</v>
      </c>
      <c r="F17" s="1" t="s">
        <v>65</v>
      </c>
      <c r="G17" s="1" t="s">
        <v>16</v>
      </c>
      <c r="H17" s="1" t="s">
        <v>66</v>
      </c>
      <c r="I17" s="1" t="s">
        <v>60</v>
      </c>
      <c r="J17" s="1" t="s">
        <v>67</v>
      </c>
      <c r="K17" s="1" t="s">
        <v>83</v>
      </c>
      <c r="L17" s="3">
        <v>46742</v>
      </c>
      <c r="M17" s="3">
        <v>46012</v>
      </c>
      <c r="N17">
        <f>_xlfn.XLOOKUP(Data[[#This Row],[Status]],Compliance_Status[Status from OPMS],Compliance_Status[Status_Key],"")</f>
        <v>4</v>
      </c>
      <c r="O17">
        <f>_xlfn.XLOOKUP(Data[[#This Row],[Status]],Compliance_Status[Status from OPMS],Compliance_Status[Has Course booking],"")</f>
        <v>0</v>
      </c>
      <c r="P17" t="str">
        <f>_xlfn.XLOOKUP(Data[[#This Row],[StatusKey]],Status_Key[Status_Key],Status_Key[Name],"")</f>
        <v>In Date</v>
      </c>
    </row>
    <row r="18" spans="1:16" x14ac:dyDescent="0.25">
      <c r="A18" s="1">
        <v>147</v>
      </c>
      <c r="B18" s="1" t="s">
        <v>61</v>
      </c>
      <c r="C18" s="1" t="s">
        <v>62</v>
      </c>
      <c r="D18" s="1" t="s">
        <v>63</v>
      </c>
      <c r="E18" s="1" t="s">
        <v>84</v>
      </c>
      <c r="F18" s="1" t="s">
        <v>65</v>
      </c>
      <c r="G18" s="1" t="s">
        <v>16</v>
      </c>
      <c r="H18" s="1" t="s">
        <v>66</v>
      </c>
      <c r="I18" s="1" t="s">
        <v>60</v>
      </c>
      <c r="J18" s="1" t="s">
        <v>67</v>
      </c>
      <c r="K18" s="1" t="s">
        <v>83</v>
      </c>
      <c r="L18" s="3">
        <v>46728</v>
      </c>
      <c r="M18" s="3">
        <v>45998</v>
      </c>
      <c r="N18">
        <f>_xlfn.XLOOKUP(Data[[#This Row],[Status]],Compliance_Status[Status from OPMS],Compliance_Status[Status_Key],"")</f>
        <v>4</v>
      </c>
      <c r="O18">
        <f>_xlfn.XLOOKUP(Data[[#This Row],[Status]],Compliance_Status[Status from OPMS],Compliance_Status[Has Course booking],"")</f>
        <v>0</v>
      </c>
      <c r="P18" t="str">
        <f>_xlfn.XLOOKUP(Data[[#This Row],[StatusKey]],Status_Key[Status_Key],Status_Key[Name],"")</f>
        <v>In Date</v>
      </c>
    </row>
    <row r="19" spans="1:16" x14ac:dyDescent="0.25">
      <c r="A19" s="1">
        <v>147</v>
      </c>
      <c r="B19" s="1" t="s">
        <v>61</v>
      </c>
      <c r="C19" s="1" t="s">
        <v>62</v>
      </c>
      <c r="D19" s="1" t="s">
        <v>63</v>
      </c>
      <c r="E19" s="1" t="s">
        <v>85</v>
      </c>
      <c r="F19" s="1" t="s">
        <v>65</v>
      </c>
      <c r="G19" s="1" t="s">
        <v>16</v>
      </c>
      <c r="H19" s="1" t="s">
        <v>66</v>
      </c>
      <c r="I19" s="1" t="s">
        <v>60</v>
      </c>
      <c r="J19" s="1" t="s">
        <v>67</v>
      </c>
      <c r="K19" s="1" t="s">
        <v>86</v>
      </c>
      <c r="L19" s="3" t="s">
        <v>79</v>
      </c>
      <c r="M19" s="3">
        <v>45859</v>
      </c>
      <c r="N19">
        <f>_xlfn.XLOOKUP(Data[[#This Row],[Status]],Compliance_Status[Status from OPMS],Compliance_Status[Status_Key],"")</f>
        <v>4</v>
      </c>
      <c r="O19">
        <f>_xlfn.XLOOKUP(Data[[#This Row],[Status]],Compliance_Status[Status from OPMS],Compliance_Status[Has Course booking],"")</f>
        <v>0</v>
      </c>
      <c r="P19" t="str">
        <f>_xlfn.XLOOKUP(Data[[#This Row],[StatusKey]],Status_Key[Status_Key],Status_Key[Name],"")</f>
        <v>In Date</v>
      </c>
    </row>
    <row r="20" spans="1:16" x14ac:dyDescent="0.25">
      <c r="A20" s="1">
        <v>147</v>
      </c>
      <c r="B20" s="1" t="s">
        <v>61</v>
      </c>
      <c r="C20" s="1" t="s">
        <v>62</v>
      </c>
      <c r="D20" s="1" t="s">
        <v>63</v>
      </c>
      <c r="E20" s="1" t="s">
        <v>87</v>
      </c>
      <c r="F20" s="1" t="s">
        <v>65</v>
      </c>
      <c r="G20" s="1" t="s">
        <v>16</v>
      </c>
      <c r="H20" s="1" t="s">
        <v>66</v>
      </c>
      <c r="I20" s="1" t="s">
        <v>60</v>
      </c>
      <c r="J20" s="1" t="s">
        <v>67</v>
      </c>
      <c r="K20" s="1" t="s">
        <v>86</v>
      </c>
      <c r="L20" s="3" t="s">
        <v>79</v>
      </c>
      <c r="M20" s="3">
        <v>45471</v>
      </c>
      <c r="N20">
        <f>_xlfn.XLOOKUP(Data[[#This Row],[Status]],Compliance_Status[Status from OPMS],Compliance_Status[Status_Key],"")</f>
        <v>4</v>
      </c>
      <c r="O20">
        <f>_xlfn.XLOOKUP(Data[[#This Row],[Status]],Compliance_Status[Status from OPMS],Compliance_Status[Has Course booking],"")</f>
        <v>0</v>
      </c>
      <c r="P20" t="str">
        <f>_xlfn.XLOOKUP(Data[[#This Row],[StatusKey]],Status_Key[Status_Key],Status_Key[Name],"")</f>
        <v>In Date</v>
      </c>
    </row>
    <row r="21" spans="1:16" x14ac:dyDescent="0.25">
      <c r="A21" s="1">
        <v>147</v>
      </c>
      <c r="B21" s="1" t="s">
        <v>61</v>
      </c>
      <c r="C21" s="1" t="s">
        <v>62</v>
      </c>
      <c r="D21" s="1" t="s">
        <v>63</v>
      </c>
      <c r="E21" s="1" t="s">
        <v>88</v>
      </c>
      <c r="F21" s="1" t="s">
        <v>65</v>
      </c>
      <c r="G21" s="1" t="s">
        <v>16</v>
      </c>
      <c r="H21" s="1" t="s">
        <v>66</v>
      </c>
      <c r="I21" s="1" t="s">
        <v>60</v>
      </c>
      <c r="J21" s="1" t="s">
        <v>67</v>
      </c>
      <c r="K21" s="1" t="s">
        <v>86</v>
      </c>
      <c r="L21" s="3" t="s">
        <v>79</v>
      </c>
      <c r="M21" s="3">
        <v>45478</v>
      </c>
      <c r="N21">
        <f>_xlfn.XLOOKUP(Data[[#This Row],[Status]],Compliance_Status[Status from OPMS],Compliance_Status[Status_Key],"")</f>
        <v>4</v>
      </c>
      <c r="O21">
        <f>_xlfn.XLOOKUP(Data[[#This Row],[Status]],Compliance_Status[Status from OPMS],Compliance_Status[Has Course booking],"")</f>
        <v>0</v>
      </c>
      <c r="P21" t="str">
        <f>_xlfn.XLOOKUP(Data[[#This Row],[StatusKey]],Status_Key[Status_Key],Status_Key[Name],"")</f>
        <v>In Date</v>
      </c>
    </row>
    <row r="22" spans="1:16" x14ac:dyDescent="0.25">
      <c r="A22" s="1">
        <v>147</v>
      </c>
      <c r="B22" s="1" t="s">
        <v>61</v>
      </c>
      <c r="C22" s="1" t="s">
        <v>62</v>
      </c>
      <c r="D22" s="1" t="s">
        <v>63</v>
      </c>
      <c r="E22" s="1" t="s">
        <v>89</v>
      </c>
      <c r="F22" s="1" t="s">
        <v>65</v>
      </c>
      <c r="G22" s="1" t="s">
        <v>16</v>
      </c>
      <c r="H22" s="1" t="s">
        <v>66</v>
      </c>
      <c r="I22" s="1" t="s">
        <v>60</v>
      </c>
      <c r="J22" s="1" t="s">
        <v>67</v>
      </c>
      <c r="K22" s="1" t="s">
        <v>86</v>
      </c>
      <c r="L22" s="3" t="s">
        <v>79</v>
      </c>
      <c r="M22" s="3">
        <v>46224</v>
      </c>
      <c r="N22">
        <f>_xlfn.XLOOKUP(Data[[#This Row],[Status]],Compliance_Status[Status from OPMS],Compliance_Status[Status_Key],"")</f>
        <v>4</v>
      </c>
      <c r="O22">
        <f>_xlfn.XLOOKUP(Data[[#This Row],[Status]],Compliance_Status[Status from OPMS],Compliance_Status[Has Course booking],"")</f>
        <v>0</v>
      </c>
      <c r="P22" t="str">
        <f>_xlfn.XLOOKUP(Data[[#This Row],[StatusKey]],Status_Key[Status_Key],Status_Key[Name],"")</f>
        <v>In Date</v>
      </c>
    </row>
    <row r="23" spans="1:16" x14ac:dyDescent="0.25">
      <c r="A23" s="1">
        <v>147</v>
      </c>
      <c r="B23" s="1" t="s">
        <v>61</v>
      </c>
      <c r="C23" s="1" t="s">
        <v>62</v>
      </c>
      <c r="D23" s="1" t="s">
        <v>63</v>
      </c>
      <c r="E23" s="1" t="s">
        <v>90</v>
      </c>
      <c r="F23" s="1" t="s">
        <v>65</v>
      </c>
      <c r="G23" s="1" t="s">
        <v>16</v>
      </c>
      <c r="H23" s="1" t="s">
        <v>66</v>
      </c>
      <c r="I23" s="1" t="s">
        <v>60</v>
      </c>
      <c r="J23" s="1" t="s">
        <v>67</v>
      </c>
      <c r="K23" s="1" t="s">
        <v>86</v>
      </c>
      <c r="L23" s="3" t="s">
        <v>79</v>
      </c>
      <c r="M23" s="3">
        <v>45551</v>
      </c>
      <c r="N23">
        <f>_xlfn.XLOOKUP(Data[[#This Row],[Status]],Compliance_Status[Status from OPMS],Compliance_Status[Status_Key],"")</f>
        <v>4</v>
      </c>
      <c r="O23">
        <f>_xlfn.XLOOKUP(Data[[#This Row],[Status]],Compliance_Status[Status from OPMS],Compliance_Status[Has Course booking],"")</f>
        <v>0</v>
      </c>
      <c r="P23" t="str">
        <f>_xlfn.XLOOKUP(Data[[#This Row],[StatusKey]],Status_Key[Status_Key],Status_Key[Name],"")</f>
        <v>In Date</v>
      </c>
    </row>
    <row r="24" spans="1:16" x14ac:dyDescent="0.25">
      <c r="A24" s="1">
        <v>147</v>
      </c>
      <c r="B24" s="1" t="s">
        <v>61</v>
      </c>
      <c r="C24" s="1" t="s">
        <v>62</v>
      </c>
      <c r="D24" s="1" t="s">
        <v>63</v>
      </c>
      <c r="E24" s="1" t="s">
        <v>91</v>
      </c>
      <c r="F24" s="1" t="s">
        <v>65</v>
      </c>
      <c r="G24" s="1" t="s">
        <v>16</v>
      </c>
      <c r="H24" s="1" t="s">
        <v>66</v>
      </c>
      <c r="I24" s="1" t="s">
        <v>60</v>
      </c>
      <c r="J24" s="1" t="s">
        <v>67</v>
      </c>
      <c r="K24" s="1" t="s">
        <v>86</v>
      </c>
      <c r="L24" s="3" t="s">
        <v>79</v>
      </c>
      <c r="M24" s="3">
        <v>45952</v>
      </c>
      <c r="N24">
        <f>_xlfn.XLOOKUP(Data[[#This Row],[Status]],Compliance_Status[Status from OPMS],Compliance_Status[Status_Key],"")</f>
        <v>4</v>
      </c>
      <c r="O24">
        <f>_xlfn.XLOOKUP(Data[[#This Row],[Status]],Compliance_Status[Status from OPMS],Compliance_Status[Has Course booking],"")</f>
        <v>0</v>
      </c>
      <c r="P24" t="str">
        <f>_xlfn.XLOOKUP(Data[[#This Row],[StatusKey]],Status_Key[Status_Key],Status_Key[Name],"")</f>
        <v>In Date</v>
      </c>
    </row>
    <row r="25" spans="1:16" x14ac:dyDescent="0.25">
      <c r="A25" s="1">
        <v>147</v>
      </c>
      <c r="B25" s="1" t="s">
        <v>61</v>
      </c>
      <c r="C25" s="1" t="s">
        <v>62</v>
      </c>
      <c r="D25" s="1" t="s">
        <v>63</v>
      </c>
      <c r="E25" s="1" t="s">
        <v>92</v>
      </c>
      <c r="F25" s="1" t="s">
        <v>65</v>
      </c>
      <c r="G25" s="1" t="s">
        <v>16</v>
      </c>
      <c r="H25" s="1" t="s">
        <v>66</v>
      </c>
      <c r="I25" s="1" t="s">
        <v>60</v>
      </c>
      <c r="J25" s="1" t="s">
        <v>67</v>
      </c>
      <c r="K25" s="1" t="s">
        <v>86</v>
      </c>
      <c r="L25" s="3">
        <v>46284</v>
      </c>
      <c r="M25" s="3">
        <v>45554</v>
      </c>
      <c r="N25">
        <f>_xlfn.XLOOKUP(Data[[#This Row],[Status]],Compliance_Status[Status from OPMS],Compliance_Status[Status_Key],"")</f>
        <v>4</v>
      </c>
      <c r="O25">
        <f>_xlfn.XLOOKUP(Data[[#This Row],[Status]],Compliance_Status[Status from OPMS],Compliance_Status[Has Course booking],"")</f>
        <v>0</v>
      </c>
      <c r="P25" t="str">
        <f>_xlfn.XLOOKUP(Data[[#This Row],[StatusKey]],Status_Key[Status_Key],Status_Key[Name],"")</f>
        <v>In Date</v>
      </c>
    </row>
    <row r="26" spans="1:16" x14ac:dyDescent="0.25">
      <c r="A26" s="1">
        <v>147</v>
      </c>
      <c r="B26" s="1" t="s">
        <v>61</v>
      </c>
      <c r="C26" s="1" t="s">
        <v>62</v>
      </c>
      <c r="D26" s="1" t="s">
        <v>63</v>
      </c>
      <c r="E26" s="1" t="s">
        <v>93</v>
      </c>
      <c r="F26" s="1" t="s">
        <v>65</v>
      </c>
      <c r="G26" s="1" t="s">
        <v>16</v>
      </c>
      <c r="H26" s="1" t="s">
        <v>66</v>
      </c>
      <c r="I26" s="1" t="s">
        <v>60</v>
      </c>
      <c r="J26" s="1" t="s">
        <v>67</v>
      </c>
      <c r="K26" s="1" t="s">
        <v>94</v>
      </c>
      <c r="L26" s="3">
        <v>46627</v>
      </c>
      <c r="M26" s="3">
        <v>45897</v>
      </c>
      <c r="N26">
        <f>_xlfn.XLOOKUP(Data[[#This Row],[Status]],Compliance_Status[Status from OPMS],Compliance_Status[Status_Key],"")</f>
        <v>4</v>
      </c>
      <c r="O26">
        <f>_xlfn.XLOOKUP(Data[[#This Row],[Status]],Compliance_Status[Status from OPMS],Compliance_Status[Has Course booking],"")</f>
        <v>0</v>
      </c>
      <c r="P26" t="str">
        <f>_xlfn.XLOOKUP(Data[[#This Row],[StatusKey]],Status_Key[Status_Key],Status_Key[Name],"")</f>
        <v>In Date</v>
      </c>
    </row>
    <row r="27" spans="1:16" x14ac:dyDescent="0.25">
      <c r="A27" s="1">
        <v>147</v>
      </c>
      <c r="B27" s="1" t="s">
        <v>61</v>
      </c>
      <c r="C27" s="1" t="s">
        <v>62</v>
      </c>
      <c r="D27" s="1" t="s">
        <v>63</v>
      </c>
      <c r="E27" s="1" t="s">
        <v>95</v>
      </c>
      <c r="F27" s="1" t="s">
        <v>65</v>
      </c>
      <c r="G27" s="1" t="s">
        <v>16</v>
      </c>
      <c r="H27" s="1" t="s">
        <v>66</v>
      </c>
      <c r="I27" s="1" t="s">
        <v>60</v>
      </c>
      <c r="J27" s="1" t="s">
        <v>67</v>
      </c>
      <c r="K27" s="1" t="s">
        <v>94</v>
      </c>
      <c r="L27" s="3">
        <v>46626</v>
      </c>
      <c r="M27" s="3">
        <v>45896</v>
      </c>
      <c r="N27">
        <f>_xlfn.XLOOKUP(Data[[#This Row],[Status]],Compliance_Status[Status from OPMS],Compliance_Status[Status_Key],"")</f>
        <v>4</v>
      </c>
      <c r="O27">
        <f>_xlfn.XLOOKUP(Data[[#This Row],[Status]],Compliance_Status[Status from OPMS],Compliance_Status[Has Course booking],"")</f>
        <v>0</v>
      </c>
      <c r="P27" t="str">
        <f>_xlfn.XLOOKUP(Data[[#This Row],[StatusKey]],Status_Key[Status_Key],Status_Key[Name],"")</f>
        <v>In Date</v>
      </c>
    </row>
    <row r="28" spans="1:16" x14ac:dyDescent="0.25">
      <c r="A28" s="1">
        <v>147</v>
      </c>
      <c r="B28" s="1" t="s">
        <v>61</v>
      </c>
      <c r="C28" s="1" t="s">
        <v>62</v>
      </c>
      <c r="D28" s="1" t="s">
        <v>63</v>
      </c>
      <c r="E28" s="1" t="s">
        <v>96</v>
      </c>
      <c r="F28" s="1" t="s">
        <v>65</v>
      </c>
      <c r="G28" s="1" t="s">
        <v>16</v>
      </c>
      <c r="H28" s="1" t="s">
        <v>66</v>
      </c>
      <c r="I28" s="1" t="s">
        <v>60</v>
      </c>
      <c r="J28" s="1" t="s">
        <v>67</v>
      </c>
      <c r="K28" s="1" t="s">
        <v>94</v>
      </c>
      <c r="L28" s="3" t="s">
        <v>79</v>
      </c>
      <c r="M28" s="3">
        <v>46023</v>
      </c>
      <c r="N28">
        <f>_xlfn.XLOOKUP(Data[[#This Row],[Status]],Compliance_Status[Status from OPMS],Compliance_Status[Status_Key],"")</f>
        <v>4</v>
      </c>
      <c r="O28">
        <f>_xlfn.XLOOKUP(Data[[#This Row],[Status]],Compliance_Status[Status from OPMS],Compliance_Status[Has Course booking],"")</f>
        <v>0</v>
      </c>
      <c r="P28" t="str">
        <f>_xlfn.XLOOKUP(Data[[#This Row],[StatusKey]],Status_Key[Status_Key],Status_Key[Name],"")</f>
        <v>In Date</v>
      </c>
    </row>
    <row r="29" spans="1:16" x14ac:dyDescent="0.25">
      <c r="A29" s="1">
        <v>147</v>
      </c>
      <c r="B29" s="1" t="s">
        <v>61</v>
      </c>
      <c r="C29" s="1" t="s">
        <v>62</v>
      </c>
      <c r="D29" s="1" t="s">
        <v>63</v>
      </c>
      <c r="E29" s="1" t="s">
        <v>97</v>
      </c>
      <c r="F29" s="1" t="s">
        <v>65</v>
      </c>
      <c r="G29" s="1" t="s">
        <v>16</v>
      </c>
      <c r="H29" s="1" t="s">
        <v>66</v>
      </c>
      <c r="I29" s="1" t="s">
        <v>60</v>
      </c>
      <c r="J29" s="1" t="s">
        <v>67</v>
      </c>
      <c r="K29" s="1" t="s">
        <v>98</v>
      </c>
      <c r="L29" s="3">
        <v>47299</v>
      </c>
      <c r="M29" s="3">
        <v>45473</v>
      </c>
      <c r="N29">
        <f>_xlfn.XLOOKUP(Data[[#This Row],[Status]],Compliance_Status[Status from OPMS],Compliance_Status[Status_Key],"")</f>
        <v>4</v>
      </c>
      <c r="O29">
        <f>_xlfn.XLOOKUP(Data[[#This Row],[Status]],Compliance_Status[Status from OPMS],Compliance_Status[Has Course booking],"")</f>
        <v>0</v>
      </c>
      <c r="P29" t="str">
        <f>_xlfn.XLOOKUP(Data[[#This Row],[StatusKey]],Status_Key[Status_Key],Status_Key[Name],"")</f>
        <v>In Date</v>
      </c>
    </row>
    <row r="30" spans="1:16" x14ac:dyDescent="0.25">
      <c r="A30" s="1">
        <v>147</v>
      </c>
      <c r="B30" s="1" t="s">
        <v>61</v>
      </c>
      <c r="C30" s="1" t="s">
        <v>62</v>
      </c>
      <c r="D30" s="1" t="s">
        <v>63</v>
      </c>
      <c r="E30" s="1" t="s">
        <v>99</v>
      </c>
      <c r="F30" s="1" t="s">
        <v>65</v>
      </c>
      <c r="G30" s="1" t="s">
        <v>16</v>
      </c>
      <c r="H30" s="1" t="s">
        <v>66</v>
      </c>
      <c r="I30" s="1" t="s">
        <v>60</v>
      </c>
      <c r="J30" s="1" t="s">
        <v>67</v>
      </c>
      <c r="K30" s="1" t="s">
        <v>98</v>
      </c>
      <c r="L30" s="3">
        <v>47033</v>
      </c>
      <c r="M30" s="3">
        <v>45938</v>
      </c>
      <c r="N30">
        <f>_xlfn.XLOOKUP(Data[[#This Row],[Status]],Compliance_Status[Status from OPMS],Compliance_Status[Status_Key],"")</f>
        <v>4</v>
      </c>
      <c r="O30">
        <f>_xlfn.XLOOKUP(Data[[#This Row],[Status]],Compliance_Status[Status from OPMS],Compliance_Status[Has Course booking],"")</f>
        <v>0</v>
      </c>
      <c r="P30" t="str">
        <f>_xlfn.XLOOKUP(Data[[#This Row],[StatusKey]],Status_Key[Status_Key],Status_Key[Name],"")</f>
        <v>In Date</v>
      </c>
    </row>
    <row r="31" spans="1:16" x14ac:dyDescent="0.25">
      <c r="A31" s="1">
        <v>147</v>
      </c>
      <c r="B31" s="1" t="s">
        <v>61</v>
      </c>
      <c r="C31" s="1" t="s">
        <v>62</v>
      </c>
      <c r="D31" s="1" t="s">
        <v>63</v>
      </c>
      <c r="E31" s="1" t="s">
        <v>100</v>
      </c>
      <c r="F31" s="1" t="s">
        <v>65</v>
      </c>
      <c r="G31" s="1" t="s">
        <v>16</v>
      </c>
      <c r="H31" s="1" t="s">
        <v>66</v>
      </c>
      <c r="I31" s="1" t="s">
        <v>60</v>
      </c>
      <c r="J31" s="1" t="s">
        <v>67</v>
      </c>
      <c r="K31" s="1" t="s">
        <v>98</v>
      </c>
      <c r="L31" s="3">
        <v>47033</v>
      </c>
      <c r="M31" s="3">
        <v>45938</v>
      </c>
      <c r="N31">
        <f>_xlfn.XLOOKUP(Data[[#This Row],[Status]],Compliance_Status[Status from OPMS],Compliance_Status[Status_Key],"")</f>
        <v>4</v>
      </c>
      <c r="O31">
        <f>_xlfn.XLOOKUP(Data[[#This Row],[Status]],Compliance_Status[Status from OPMS],Compliance_Status[Has Course booking],"")</f>
        <v>0</v>
      </c>
      <c r="P31" t="str">
        <f>_xlfn.XLOOKUP(Data[[#This Row],[StatusKey]],Status_Key[Status_Key],Status_Key[Name],"")</f>
        <v>In Date</v>
      </c>
    </row>
    <row r="32" spans="1:16" x14ac:dyDescent="0.25">
      <c r="A32" s="1">
        <v>147</v>
      </c>
      <c r="B32" s="1" t="s">
        <v>61</v>
      </c>
      <c r="C32" s="1" t="s">
        <v>62</v>
      </c>
      <c r="D32" s="1" t="s">
        <v>63</v>
      </c>
      <c r="E32" s="1" t="s">
        <v>101</v>
      </c>
      <c r="F32" s="1" t="s">
        <v>65</v>
      </c>
      <c r="G32" s="1" t="s">
        <v>16</v>
      </c>
      <c r="H32" s="1" t="s">
        <v>66</v>
      </c>
      <c r="I32" s="1" t="s">
        <v>60</v>
      </c>
      <c r="J32" s="1" t="s">
        <v>67</v>
      </c>
      <c r="K32" s="1" t="s">
        <v>102</v>
      </c>
      <c r="L32" s="3" t="s">
        <v>79</v>
      </c>
      <c r="M32" s="3">
        <v>45495</v>
      </c>
      <c r="N32">
        <f>_xlfn.XLOOKUP(Data[[#This Row],[Status]],Compliance_Status[Status from OPMS],Compliance_Status[Status_Key],"")</f>
        <v>4</v>
      </c>
      <c r="O32">
        <f>_xlfn.XLOOKUP(Data[[#This Row],[Status]],Compliance_Status[Status from OPMS],Compliance_Status[Has Course booking],"")</f>
        <v>0</v>
      </c>
      <c r="P32" t="str">
        <f>_xlfn.XLOOKUP(Data[[#This Row],[StatusKey]],Status_Key[Status_Key],Status_Key[Name],"")</f>
        <v>In Date</v>
      </c>
    </row>
    <row r="33" spans="1:16" x14ac:dyDescent="0.25">
      <c r="A33" s="1">
        <v>147</v>
      </c>
      <c r="B33" s="1" t="s">
        <v>61</v>
      </c>
      <c r="C33" s="1" t="s">
        <v>62</v>
      </c>
      <c r="D33" s="1" t="s">
        <v>63</v>
      </c>
      <c r="E33" s="1" t="s">
        <v>103</v>
      </c>
      <c r="F33" s="1" t="s">
        <v>65</v>
      </c>
      <c r="G33" s="1" t="s">
        <v>16</v>
      </c>
      <c r="H33" s="1" t="s">
        <v>66</v>
      </c>
      <c r="I33" s="1" t="s">
        <v>60</v>
      </c>
      <c r="J33" s="1" t="s">
        <v>67</v>
      </c>
      <c r="K33" s="1" t="s">
        <v>102</v>
      </c>
      <c r="L33" s="3">
        <v>46454</v>
      </c>
      <c r="M33" s="3">
        <v>45724</v>
      </c>
      <c r="N33">
        <f>_xlfn.XLOOKUP(Data[[#This Row],[Status]],Compliance_Status[Status from OPMS],Compliance_Status[Status_Key],"")</f>
        <v>4</v>
      </c>
      <c r="O33">
        <f>_xlfn.XLOOKUP(Data[[#This Row],[Status]],Compliance_Status[Status from OPMS],Compliance_Status[Has Course booking],"")</f>
        <v>0</v>
      </c>
      <c r="P33" t="str">
        <f>_xlfn.XLOOKUP(Data[[#This Row],[StatusKey]],Status_Key[Status_Key],Status_Key[Name],"")</f>
        <v>In Date</v>
      </c>
    </row>
    <row r="34" spans="1:16" x14ac:dyDescent="0.25">
      <c r="A34" s="1">
        <v>147</v>
      </c>
      <c r="B34" s="1" t="s">
        <v>61</v>
      </c>
      <c r="C34" s="1" t="s">
        <v>62</v>
      </c>
      <c r="D34" s="1" t="s">
        <v>63</v>
      </c>
      <c r="E34" s="1" t="s">
        <v>104</v>
      </c>
      <c r="F34" s="1" t="s">
        <v>65</v>
      </c>
      <c r="G34" s="1" t="s">
        <v>16</v>
      </c>
      <c r="H34" s="1" t="s">
        <v>66</v>
      </c>
      <c r="I34" s="1" t="s">
        <v>60</v>
      </c>
      <c r="J34" s="1" t="s">
        <v>67</v>
      </c>
      <c r="K34" s="1" t="s">
        <v>105</v>
      </c>
      <c r="L34" s="3">
        <v>46630</v>
      </c>
      <c r="M34" s="3">
        <v>45900</v>
      </c>
      <c r="N34">
        <f>_xlfn.XLOOKUP(Data[[#This Row],[Status]],Compliance_Status[Status from OPMS],Compliance_Status[Status_Key],"")</f>
        <v>4</v>
      </c>
      <c r="O34">
        <f>_xlfn.XLOOKUP(Data[[#This Row],[Status]],Compliance_Status[Status from OPMS],Compliance_Status[Has Course booking],"")</f>
        <v>0</v>
      </c>
      <c r="P34" t="str">
        <f>_xlfn.XLOOKUP(Data[[#This Row],[StatusKey]],Status_Key[Status_Key],Status_Key[Name],"")</f>
        <v>In Date</v>
      </c>
    </row>
    <row r="35" spans="1:16" x14ac:dyDescent="0.25">
      <c r="A35" s="1">
        <v>147</v>
      </c>
      <c r="B35" s="1" t="s">
        <v>61</v>
      </c>
      <c r="C35" s="1" t="s">
        <v>62</v>
      </c>
      <c r="D35" s="1" t="s">
        <v>63</v>
      </c>
      <c r="E35" s="1" t="s">
        <v>106</v>
      </c>
      <c r="F35" s="1" t="s">
        <v>65</v>
      </c>
      <c r="G35" s="1" t="s">
        <v>16</v>
      </c>
      <c r="H35" s="1" t="s">
        <v>66</v>
      </c>
      <c r="I35" s="1" t="s">
        <v>60</v>
      </c>
      <c r="J35" s="1" t="s">
        <v>67</v>
      </c>
      <c r="K35" s="1" t="s">
        <v>105</v>
      </c>
      <c r="L35" s="3">
        <v>47300</v>
      </c>
      <c r="M35" s="3">
        <v>45474</v>
      </c>
      <c r="N35">
        <f>_xlfn.XLOOKUP(Data[[#This Row],[Status]],Compliance_Status[Status from OPMS],Compliance_Status[Status_Key],"")</f>
        <v>4</v>
      </c>
      <c r="O35">
        <f>_xlfn.XLOOKUP(Data[[#This Row],[Status]],Compliance_Status[Status from OPMS],Compliance_Status[Has Course booking],"")</f>
        <v>0</v>
      </c>
      <c r="P35" t="str">
        <f>_xlfn.XLOOKUP(Data[[#This Row],[StatusKey]],Status_Key[Status_Key],Status_Key[Name],"")</f>
        <v>In Date</v>
      </c>
    </row>
    <row r="36" spans="1:16" x14ac:dyDescent="0.25">
      <c r="A36" s="1">
        <v>147</v>
      </c>
      <c r="B36" s="1" t="s">
        <v>61</v>
      </c>
      <c r="C36" s="1" t="s">
        <v>62</v>
      </c>
      <c r="D36" s="1" t="s">
        <v>63</v>
      </c>
      <c r="E36" s="1" t="s">
        <v>107</v>
      </c>
      <c r="F36" s="1" t="s">
        <v>65</v>
      </c>
      <c r="G36" s="1" t="s">
        <v>16</v>
      </c>
      <c r="H36" s="1" t="s">
        <v>66</v>
      </c>
      <c r="I36" s="1" t="s">
        <v>60</v>
      </c>
      <c r="J36" s="1" t="s">
        <v>67</v>
      </c>
      <c r="K36" s="1" t="s">
        <v>105</v>
      </c>
      <c r="L36" s="3">
        <v>46567</v>
      </c>
      <c r="M36" s="3">
        <v>45472</v>
      </c>
      <c r="N36">
        <f>_xlfn.XLOOKUP(Data[[#This Row],[Status]],Compliance_Status[Status from OPMS],Compliance_Status[Status_Key],"")</f>
        <v>4</v>
      </c>
      <c r="O36">
        <f>_xlfn.XLOOKUP(Data[[#This Row],[Status]],Compliance_Status[Status from OPMS],Compliance_Status[Has Course booking],"")</f>
        <v>0</v>
      </c>
      <c r="P36" t="str">
        <f>_xlfn.XLOOKUP(Data[[#This Row],[StatusKey]],Status_Key[Status_Key],Status_Key[Name],"")</f>
        <v>In Date</v>
      </c>
    </row>
    <row r="37" spans="1:16" x14ac:dyDescent="0.25">
      <c r="A37" s="1">
        <v>147</v>
      </c>
      <c r="B37" s="1" t="s">
        <v>61</v>
      </c>
      <c r="C37" s="1" t="s">
        <v>62</v>
      </c>
      <c r="D37" s="1" t="s">
        <v>63</v>
      </c>
      <c r="E37" s="1" t="s">
        <v>108</v>
      </c>
      <c r="F37" s="1" t="s">
        <v>65</v>
      </c>
      <c r="G37" s="1" t="s">
        <v>16</v>
      </c>
      <c r="H37" s="1" t="s">
        <v>66</v>
      </c>
      <c r="I37" s="1" t="s">
        <v>60</v>
      </c>
      <c r="J37" s="1" t="s">
        <v>67</v>
      </c>
      <c r="K37" s="1" t="s">
        <v>105</v>
      </c>
      <c r="L37" s="3">
        <v>47318</v>
      </c>
      <c r="M37" s="3">
        <v>46222</v>
      </c>
      <c r="N37">
        <f>_xlfn.XLOOKUP(Data[[#This Row],[Status]],Compliance_Status[Status from OPMS],Compliance_Status[Status_Key],"")</f>
        <v>4</v>
      </c>
      <c r="O37">
        <f>_xlfn.XLOOKUP(Data[[#This Row],[Status]],Compliance_Status[Status from OPMS],Compliance_Status[Has Course booking],"")</f>
        <v>0</v>
      </c>
      <c r="P37" t="str">
        <f>_xlfn.XLOOKUP(Data[[#This Row],[StatusKey]],Status_Key[Status_Key],Status_Key[Name],"")</f>
        <v>In Date</v>
      </c>
    </row>
    <row r="38" spans="1:16" x14ac:dyDescent="0.25">
      <c r="A38" s="1">
        <v>147</v>
      </c>
      <c r="B38" s="1" t="s">
        <v>61</v>
      </c>
      <c r="C38" s="1" t="s">
        <v>62</v>
      </c>
      <c r="D38" s="1" t="s">
        <v>63</v>
      </c>
      <c r="E38" s="1" t="s">
        <v>109</v>
      </c>
      <c r="F38" s="1" t="s">
        <v>65</v>
      </c>
      <c r="G38" s="1" t="s">
        <v>16</v>
      </c>
      <c r="H38" s="1" t="s">
        <v>66</v>
      </c>
      <c r="I38" s="1" t="s">
        <v>60</v>
      </c>
      <c r="J38" s="1" t="s">
        <v>67</v>
      </c>
      <c r="K38" s="1" t="s">
        <v>105</v>
      </c>
      <c r="L38" s="3">
        <v>46873</v>
      </c>
      <c r="M38" s="3">
        <v>46142</v>
      </c>
      <c r="N38">
        <f>_xlfn.XLOOKUP(Data[[#This Row],[Status]],Compliance_Status[Status from OPMS],Compliance_Status[Status_Key],"")</f>
        <v>4</v>
      </c>
      <c r="O38">
        <f>_xlfn.XLOOKUP(Data[[#This Row],[Status]],Compliance_Status[Status from OPMS],Compliance_Status[Has Course booking],"")</f>
        <v>0</v>
      </c>
      <c r="P38" t="str">
        <f>_xlfn.XLOOKUP(Data[[#This Row],[StatusKey]],Status_Key[Status_Key],Status_Key[Name],"")</f>
        <v>In Date</v>
      </c>
    </row>
    <row r="39" spans="1:16" x14ac:dyDescent="0.25">
      <c r="A39" s="1">
        <v>147</v>
      </c>
      <c r="B39" s="1" t="s">
        <v>61</v>
      </c>
      <c r="C39" s="1" t="s">
        <v>62</v>
      </c>
      <c r="D39" s="1" t="s">
        <v>63</v>
      </c>
      <c r="E39" s="1" t="s">
        <v>110</v>
      </c>
      <c r="F39" s="1" t="s">
        <v>65</v>
      </c>
      <c r="G39" s="1" t="s">
        <v>16</v>
      </c>
      <c r="H39" s="1" t="s">
        <v>66</v>
      </c>
      <c r="I39" s="1" t="s">
        <v>60</v>
      </c>
      <c r="J39" s="1" t="s">
        <v>67</v>
      </c>
      <c r="K39" s="1" t="s">
        <v>105</v>
      </c>
      <c r="L39" s="3" t="s">
        <v>79</v>
      </c>
      <c r="M39" s="3">
        <v>45472</v>
      </c>
      <c r="N39">
        <f>_xlfn.XLOOKUP(Data[[#This Row],[Status]],Compliance_Status[Status from OPMS],Compliance_Status[Status_Key],"")</f>
        <v>4</v>
      </c>
      <c r="O39">
        <f>_xlfn.XLOOKUP(Data[[#This Row],[Status]],Compliance_Status[Status from OPMS],Compliance_Status[Has Course booking],"")</f>
        <v>0</v>
      </c>
      <c r="P39" t="str">
        <f>_xlfn.XLOOKUP(Data[[#This Row],[StatusKey]],Status_Key[Status_Key],Status_Key[Name],"")</f>
        <v>In Date</v>
      </c>
    </row>
    <row r="40" spans="1:16" x14ac:dyDescent="0.25">
      <c r="A40" s="1">
        <v>147</v>
      </c>
      <c r="B40" s="1" t="s">
        <v>61</v>
      </c>
      <c r="C40" s="1" t="s">
        <v>62</v>
      </c>
      <c r="D40" s="1" t="s">
        <v>63</v>
      </c>
      <c r="E40" s="1" t="s">
        <v>111</v>
      </c>
      <c r="F40" s="1" t="s">
        <v>65</v>
      </c>
      <c r="G40" s="1" t="s">
        <v>16</v>
      </c>
      <c r="H40" s="1" t="s">
        <v>66</v>
      </c>
      <c r="I40" s="1" t="s">
        <v>60</v>
      </c>
      <c r="J40" s="1" t="s">
        <v>67</v>
      </c>
      <c r="K40" s="1" t="s">
        <v>105</v>
      </c>
      <c r="L40" s="3">
        <v>46769</v>
      </c>
      <c r="M40" s="3">
        <v>46039</v>
      </c>
      <c r="N40">
        <f>_xlfn.XLOOKUP(Data[[#This Row],[Status]],Compliance_Status[Status from OPMS],Compliance_Status[Status_Key],"")</f>
        <v>4</v>
      </c>
      <c r="O40">
        <f>_xlfn.XLOOKUP(Data[[#This Row],[Status]],Compliance_Status[Status from OPMS],Compliance_Status[Has Course booking],"")</f>
        <v>0</v>
      </c>
      <c r="P40" t="str">
        <f>_xlfn.XLOOKUP(Data[[#This Row],[StatusKey]],Status_Key[Status_Key],Status_Key[Name],"")</f>
        <v>In Date</v>
      </c>
    </row>
    <row r="41" spans="1:16" x14ac:dyDescent="0.25">
      <c r="A41" s="1">
        <v>147</v>
      </c>
      <c r="B41" s="1" t="s">
        <v>61</v>
      </c>
      <c r="C41" s="1" t="s">
        <v>62</v>
      </c>
      <c r="D41" s="1" t="s">
        <v>63</v>
      </c>
      <c r="E41" s="1" t="s">
        <v>112</v>
      </c>
      <c r="F41" s="1" t="s">
        <v>65</v>
      </c>
      <c r="G41" s="1" t="s">
        <v>16</v>
      </c>
      <c r="H41" s="1" t="s">
        <v>66</v>
      </c>
      <c r="I41" s="1" t="s">
        <v>60</v>
      </c>
      <c r="J41" s="1" t="s">
        <v>67</v>
      </c>
      <c r="K41" s="1" t="s">
        <v>105</v>
      </c>
      <c r="L41" s="3">
        <v>46873</v>
      </c>
      <c r="M41" s="3">
        <v>46142</v>
      </c>
      <c r="N41">
        <f>_xlfn.XLOOKUP(Data[[#This Row],[Status]],Compliance_Status[Status from OPMS],Compliance_Status[Status_Key],"")</f>
        <v>4</v>
      </c>
      <c r="O41">
        <f>_xlfn.XLOOKUP(Data[[#This Row],[Status]],Compliance_Status[Status from OPMS],Compliance_Status[Has Course booking],"")</f>
        <v>0</v>
      </c>
      <c r="P41" t="str">
        <f>_xlfn.XLOOKUP(Data[[#This Row],[StatusKey]],Status_Key[Status_Key],Status_Key[Name],"")</f>
        <v>In Date</v>
      </c>
    </row>
    <row r="42" spans="1:16" x14ac:dyDescent="0.25">
      <c r="A42" s="1">
        <v>147</v>
      </c>
      <c r="B42" s="1" t="s">
        <v>61</v>
      </c>
      <c r="C42" s="1" t="s">
        <v>62</v>
      </c>
      <c r="D42" s="1" t="s">
        <v>63</v>
      </c>
      <c r="E42" s="1" t="s">
        <v>113</v>
      </c>
      <c r="F42" s="1" t="s">
        <v>65</v>
      </c>
      <c r="G42" s="1" t="s">
        <v>16</v>
      </c>
      <c r="H42" s="1" t="s">
        <v>66</v>
      </c>
      <c r="I42" s="1" t="s">
        <v>60</v>
      </c>
      <c r="J42" s="1" t="s">
        <v>67</v>
      </c>
      <c r="K42" s="1" t="s">
        <v>105</v>
      </c>
      <c r="L42" s="3">
        <v>46742</v>
      </c>
      <c r="M42" s="3">
        <v>46012</v>
      </c>
      <c r="N42">
        <f>_xlfn.XLOOKUP(Data[[#This Row],[Status]],Compliance_Status[Status from OPMS],Compliance_Status[Status_Key],"")</f>
        <v>4</v>
      </c>
      <c r="O42">
        <f>_xlfn.XLOOKUP(Data[[#This Row],[Status]],Compliance_Status[Status from OPMS],Compliance_Status[Has Course booking],"")</f>
        <v>0</v>
      </c>
      <c r="P42" t="str">
        <f>_xlfn.XLOOKUP(Data[[#This Row],[StatusKey]],Status_Key[Status_Key],Status_Key[Name],"")</f>
        <v>In Date</v>
      </c>
    </row>
    <row r="43" spans="1:16" x14ac:dyDescent="0.25">
      <c r="A43" s="1">
        <v>148</v>
      </c>
      <c r="B43" s="1" t="s">
        <v>114</v>
      </c>
      <c r="C43" s="1" t="s">
        <v>115</v>
      </c>
      <c r="D43" s="1" t="s">
        <v>116</v>
      </c>
      <c r="E43" s="1" t="s">
        <v>64</v>
      </c>
      <c r="F43" s="1" t="s">
        <v>65</v>
      </c>
      <c r="G43" s="1" t="s">
        <v>24</v>
      </c>
      <c r="H43" s="1" t="s">
        <v>66</v>
      </c>
      <c r="I43" s="1" t="s">
        <v>60</v>
      </c>
      <c r="J43" s="1" t="s">
        <v>67</v>
      </c>
      <c r="K43" s="1" t="s">
        <v>68</v>
      </c>
      <c r="L43" s="3">
        <v>46387</v>
      </c>
      <c r="M43" s="3">
        <v>44483</v>
      </c>
      <c r="N43">
        <f>_xlfn.XLOOKUP(Data[[#This Row],[Status]],Compliance_Status[Status from OPMS],Compliance_Status[Status_Key],"")</f>
        <v>3</v>
      </c>
      <c r="O43">
        <f>_xlfn.XLOOKUP(Data[[#This Row],[Status]],Compliance_Status[Status from OPMS],Compliance_Status[Has Course booking],"")</f>
        <v>0</v>
      </c>
      <c r="P43" t="str">
        <f>_xlfn.XLOOKUP(Data[[#This Row],[StatusKey]],Status_Key[Status_Key],Status_Key[Name],"")</f>
        <v>About to expire</v>
      </c>
    </row>
    <row r="44" spans="1:16" x14ac:dyDescent="0.25">
      <c r="A44" s="1">
        <v>148</v>
      </c>
      <c r="B44" s="1" t="s">
        <v>114</v>
      </c>
      <c r="C44" s="1" t="s">
        <v>115</v>
      </c>
      <c r="D44" s="1" t="s">
        <v>116</v>
      </c>
      <c r="E44" s="1" t="s">
        <v>69</v>
      </c>
      <c r="F44" s="1" t="s">
        <v>65</v>
      </c>
      <c r="G44" s="1" t="s">
        <v>16</v>
      </c>
      <c r="H44" s="1" t="s">
        <v>66</v>
      </c>
      <c r="I44" s="1" t="s">
        <v>60</v>
      </c>
      <c r="J44" s="1" t="s">
        <v>67</v>
      </c>
      <c r="K44" s="1" t="s">
        <v>68</v>
      </c>
      <c r="L44" s="3">
        <v>47869</v>
      </c>
      <c r="M44" s="3">
        <v>46044</v>
      </c>
      <c r="N44">
        <f>_xlfn.XLOOKUP(Data[[#This Row],[Status]],Compliance_Status[Status from OPMS],Compliance_Status[Status_Key],"")</f>
        <v>4</v>
      </c>
      <c r="O44">
        <f>_xlfn.XLOOKUP(Data[[#This Row],[Status]],Compliance_Status[Status from OPMS],Compliance_Status[Has Course booking],"")</f>
        <v>0</v>
      </c>
      <c r="P44" t="str">
        <f>_xlfn.XLOOKUP(Data[[#This Row],[StatusKey]],Status_Key[Status_Key],Status_Key[Name],"")</f>
        <v>In Date</v>
      </c>
    </row>
    <row r="45" spans="1:16" x14ac:dyDescent="0.25">
      <c r="A45" s="1">
        <v>148</v>
      </c>
      <c r="B45" s="1" t="s">
        <v>114</v>
      </c>
      <c r="C45" s="1" t="s">
        <v>115</v>
      </c>
      <c r="D45" s="1" t="s">
        <v>116</v>
      </c>
      <c r="E45" s="1" t="s">
        <v>70</v>
      </c>
      <c r="F45" s="1" t="s">
        <v>65</v>
      </c>
      <c r="G45" s="1" t="s">
        <v>16</v>
      </c>
      <c r="H45" s="1" t="s">
        <v>66</v>
      </c>
      <c r="I45" s="1" t="s">
        <v>60</v>
      </c>
      <c r="J45" s="1" t="s">
        <v>67</v>
      </c>
      <c r="K45" s="1" t="s">
        <v>68</v>
      </c>
      <c r="L45" s="3">
        <v>46432</v>
      </c>
      <c r="M45" s="3">
        <v>44448</v>
      </c>
      <c r="N45">
        <f>_xlfn.XLOOKUP(Data[[#This Row],[Status]],Compliance_Status[Status from OPMS],Compliance_Status[Status_Key],"")</f>
        <v>4</v>
      </c>
      <c r="O45">
        <f>_xlfn.XLOOKUP(Data[[#This Row],[Status]],Compliance_Status[Status from OPMS],Compliance_Status[Has Course booking],"")</f>
        <v>0</v>
      </c>
      <c r="P45" t="str">
        <f>_xlfn.XLOOKUP(Data[[#This Row],[StatusKey]],Status_Key[Status_Key],Status_Key[Name],"")</f>
        <v>In Date</v>
      </c>
    </row>
    <row r="46" spans="1:16" x14ac:dyDescent="0.25">
      <c r="A46" s="1">
        <v>148</v>
      </c>
      <c r="B46" s="1" t="s">
        <v>114</v>
      </c>
      <c r="C46" s="1" t="s">
        <v>115</v>
      </c>
      <c r="D46" s="1" t="s">
        <v>116</v>
      </c>
      <c r="E46" s="1" t="s">
        <v>71</v>
      </c>
      <c r="F46" s="1" t="s">
        <v>72</v>
      </c>
      <c r="G46" s="1" t="s">
        <v>24</v>
      </c>
      <c r="H46" s="1" t="s">
        <v>66</v>
      </c>
      <c r="I46" s="1" t="s">
        <v>60</v>
      </c>
      <c r="J46" s="1"/>
      <c r="K46" s="1" t="s">
        <v>68</v>
      </c>
      <c r="L46" s="3">
        <v>46308</v>
      </c>
      <c r="M46" s="3">
        <v>44483</v>
      </c>
      <c r="N46">
        <f>_xlfn.XLOOKUP(Data[[#This Row],[Status]],Compliance_Status[Status from OPMS],Compliance_Status[Status_Key],"")</f>
        <v>3</v>
      </c>
      <c r="O46">
        <f>_xlfn.XLOOKUP(Data[[#This Row],[Status]],Compliance_Status[Status from OPMS],Compliance_Status[Has Course booking],"")</f>
        <v>0</v>
      </c>
      <c r="P46" t="str">
        <f>_xlfn.XLOOKUP(Data[[#This Row],[StatusKey]],Status_Key[Status_Key],Status_Key[Name],"")</f>
        <v>About to expire</v>
      </c>
    </row>
    <row r="47" spans="1:16" x14ac:dyDescent="0.25">
      <c r="A47" s="1">
        <v>148</v>
      </c>
      <c r="B47" s="1" t="s">
        <v>114</v>
      </c>
      <c r="C47" s="1" t="s">
        <v>115</v>
      </c>
      <c r="D47" s="1" t="s">
        <v>116</v>
      </c>
      <c r="E47" s="1" t="s">
        <v>73</v>
      </c>
      <c r="F47" s="1" t="s">
        <v>65</v>
      </c>
      <c r="G47" s="1" t="s">
        <v>24</v>
      </c>
      <c r="H47" s="1" t="s">
        <v>66</v>
      </c>
      <c r="I47" s="1" t="s">
        <v>60</v>
      </c>
      <c r="J47" s="1" t="s">
        <v>67</v>
      </c>
      <c r="K47" s="1" t="s">
        <v>68</v>
      </c>
      <c r="L47" s="3">
        <v>46305</v>
      </c>
      <c r="M47" s="3">
        <v>45575</v>
      </c>
      <c r="N47">
        <f>_xlfn.XLOOKUP(Data[[#This Row],[Status]],Compliance_Status[Status from OPMS],Compliance_Status[Status_Key],"")</f>
        <v>3</v>
      </c>
      <c r="O47">
        <f>_xlfn.XLOOKUP(Data[[#This Row],[Status]],Compliance_Status[Status from OPMS],Compliance_Status[Has Course booking],"")</f>
        <v>0</v>
      </c>
      <c r="P47" t="str">
        <f>_xlfn.XLOOKUP(Data[[#This Row],[StatusKey]],Status_Key[Status_Key],Status_Key[Name],"")</f>
        <v>About to expire</v>
      </c>
    </row>
    <row r="48" spans="1:16" x14ac:dyDescent="0.25">
      <c r="A48" s="1">
        <v>148</v>
      </c>
      <c r="B48" s="1" t="s">
        <v>114</v>
      </c>
      <c r="C48" s="1" t="s">
        <v>115</v>
      </c>
      <c r="D48" s="1" t="s">
        <v>116</v>
      </c>
      <c r="E48" s="1" t="s">
        <v>74</v>
      </c>
      <c r="F48" s="1" t="s">
        <v>65</v>
      </c>
      <c r="G48" s="1" t="s">
        <v>16</v>
      </c>
      <c r="H48" s="1" t="s">
        <v>66</v>
      </c>
      <c r="I48" s="1" t="s">
        <v>60</v>
      </c>
      <c r="J48" s="1" t="s">
        <v>67</v>
      </c>
      <c r="K48" s="1" t="s">
        <v>68</v>
      </c>
      <c r="L48" s="3">
        <v>46385</v>
      </c>
      <c r="M48" s="3">
        <v>45070</v>
      </c>
      <c r="N48">
        <f>_xlfn.XLOOKUP(Data[[#This Row],[Status]],Compliance_Status[Status from OPMS],Compliance_Status[Status_Key],"")</f>
        <v>4</v>
      </c>
      <c r="O48">
        <f>_xlfn.XLOOKUP(Data[[#This Row],[Status]],Compliance_Status[Status from OPMS],Compliance_Status[Has Course booking],"")</f>
        <v>0</v>
      </c>
      <c r="P48" t="str">
        <f>_xlfn.XLOOKUP(Data[[#This Row],[StatusKey]],Status_Key[Status_Key],Status_Key[Name],"")</f>
        <v>In Date</v>
      </c>
    </row>
    <row r="49" spans="1:16" x14ac:dyDescent="0.25">
      <c r="A49" s="1">
        <v>148</v>
      </c>
      <c r="B49" s="1" t="s">
        <v>114</v>
      </c>
      <c r="C49" s="1" t="s">
        <v>115</v>
      </c>
      <c r="D49" s="1" t="s">
        <v>116</v>
      </c>
      <c r="E49" s="1" t="s">
        <v>75</v>
      </c>
      <c r="F49" s="1" t="s">
        <v>72</v>
      </c>
      <c r="G49" s="1" t="s">
        <v>18</v>
      </c>
      <c r="H49" s="1" t="s">
        <v>66</v>
      </c>
      <c r="I49" s="1" t="s">
        <v>60</v>
      </c>
      <c r="J49" s="1"/>
      <c r="K49" s="1" t="s">
        <v>68</v>
      </c>
      <c r="L49" s="3"/>
      <c r="M49" s="3"/>
      <c r="N49">
        <f>_xlfn.XLOOKUP(Data[[#This Row],[Status]],Compliance_Status[Status from OPMS],Compliance_Status[Status_Key],"")</f>
        <v>2</v>
      </c>
      <c r="O49">
        <f>_xlfn.XLOOKUP(Data[[#This Row],[Status]],Compliance_Status[Status from OPMS],Compliance_Status[Has Course booking],"")</f>
        <v>0</v>
      </c>
      <c r="P49" t="str">
        <f>_xlfn.XLOOKUP(Data[[#This Row],[StatusKey]],Status_Key[Status_Key],Status_Key[Name],"")</f>
        <v>Outstanding</v>
      </c>
    </row>
    <row r="50" spans="1:16" x14ac:dyDescent="0.25">
      <c r="A50" s="1">
        <v>148</v>
      </c>
      <c r="B50" s="1" t="s">
        <v>114</v>
      </c>
      <c r="C50" s="1" t="s">
        <v>115</v>
      </c>
      <c r="D50" s="1" t="s">
        <v>116</v>
      </c>
      <c r="E50" s="1" t="s">
        <v>76</v>
      </c>
      <c r="F50" s="1" t="s">
        <v>65</v>
      </c>
      <c r="G50" s="1" t="s">
        <v>16</v>
      </c>
      <c r="H50" s="1" t="s">
        <v>66</v>
      </c>
      <c r="I50" s="1" t="s">
        <v>60</v>
      </c>
      <c r="J50" s="1" t="s">
        <v>67</v>
      </c>
      <c r="K50" s="1" t="s">
        <v>77</v>
      </c>
      <c r="L50" s="3">
        <v>47483</v>
      </c>
      <c r="M50" s="3">
        <v>46022</v>
      </c>
      <c r="N50">
        <f>_xlfn.XLOOKUP(Data[[#This Row],[Status]],Compliance_Status[Status from OPMS],Compliance_Status[Status_Key],"")</f>
        <v>4</v>
      </c>
      <c r="O50">
        <f>_xlfn.XLOOKUP(Data[[#This Row],[Status]],Compliance_Status[Status from OPMS],Compliance_Status[Has Course booking],"")</f>
        <v>0</v>
      </c>
      <c r="P50" t="str">
        <f>_xlfn.XLOOKUP(Data[[#This Row],[StatusKey]],Status_Key[Status_Key],Status_Key[Name],"")</f>
        <v>In Date</v>
      </c>
    </row>
    <row r="51" spans="1:16" x14ac:dyDescent="0.25">
      <c r="A51" s="1">
        <v>148</v>
      </c>
      <c r="B51" s="1" t="s">
        <v>114</v>
      </c>
      <c r="C51" s="1" t="s">
        <v>115</v>
      </c>
      <c r="D51" s="1" t="s">
        <v>116</v>
      </c>
      <c r="E51" s="1" t="s">
        <v>78</v>
      </c>
      <c r="F51" s="1" t="s">
        <v>65</v>
      </c>
      <c r="G51" s="1" t="s">
        <v>16</v>
      </c>
      <c r="H51" s="1" t="s">
        <v>66</v>
      </c>
      <c r="I51" s="1" t="s">
        <v>60</v>
      </c>
      <c r="J51" s="1" t="s">
        <v>67</v>
      </c>
      <c r="K51" s="1" t="s">
        <v>77</v>
      </c>
      <c r="L51" s="3" t="s">
        <v>79</v>
      </c>
      <c r="M51" s="3">
        <v>45387</v>
      </c>
      <c r="N51">
        <f>_xlfn.XLOOKUP(Data[[#This Row],[Status]],Compliance_Status[Status from OPMS],Compliance_Status[Status_Key],"")</f>
        <v>4</v>
      </c>
      <c r="O51">
        <f>_xlfn.XLOOKUP(Data[[#This Row],[Status]],Compliance_Status[Status from OPMS],Compliance_Status[Has Course booking],"")</f>
        <v>0</v>
      </c>
      <c r="P51" t="str">
        <f>_xlfn.XLOOKUP(Data[[#This Row],[StatusKey]],Status_Key[Status_Key],Status_Key[Name],"")</f>
        <v>In Date</v>
      </c>
    </row>
    <row r="52" spans="1:16" x14ac:dyDescent="0.25">
      <c r="A52" s="1">
        <v>148</v>
      </c>
      <c r="B52" s="1" t="s">
        <v>114</v>
      </c>
      <c r="C52" s="1" t="s">
        <v>115</v>
      </c>
      <c r="D52" s="1" t="s">
        <v>116</v>
      </c>
      <c r="E52" s="1" t="s">
        <v>80</v>
      </c>
      <c r="F52" s="1" t="s">
        <v>65</v>
      </c>
      <c r="G52" s="1" t="s">
        <v>16</v>
      </c>
      <c r="H52" s="1" t="s">
        <v>66</v>
      </c>
      <c r="I52" s="1" t="s">
        <v>60</v>
      </c>
      <c r="J52" s="1" t="s">
        <v>67</v>
      </c>
      <c r="K52" s="1" t="s">
        <v>77</v>
      </c>
      <c r="L52" s="3" t="s">
        <v>79</v>
      </c>
      <c r="M52" s="3">
        <v>45779</v>
      </c>
      <c r="N52">
        <f>_xlfn.XLOOKUP(Data[[#This Row],[Status]],Compliance_Status[Status from OPMS],Compliance_Status[Status_Key],"")</f>
        <v>4</v>
      </c>
      <c r="O52">
        <f>_xlfn.XLOOKUP(Data[[#This Row],[Status]],Compliance_Status[Status from OPMS],Compliance_Status[Has Course booking],"")</f>
        <v>0</v>
      </c>
      <c r="P52" t="str">
        <f>_xlfn.XLOOKUP(Data[[#This Row],[StatusKey]],Status_Key[Status_Key],Status_Key[Name],"")</f>
        <v>In Date</v>
      </c>
    </row>
    <row r="53" spans="1:16" x14ac:dyDescent="0.25">
      <c r="A53" s="1">
        <v>148</v>
      </c>
      <c r="B53" s="1" t="s">
        <v>114</v>
      </c>
      <c r="C53" s="1" t="s">
        <v>115</v>
      </c>
      <c r="D53" s="1" t="s">
        <v>116</v>
      </c>
      <c r="E53" s="1" t="s">
        <v>81</v>
      </c>
      <c r="F53" s="1" t="s">
        <v>65</v>
      </c>
      <c r="G53" s="1" t="s">
        <v>16</v>
      </c>
      <c r="H53" s="1" t="s">
        <v>66</v>
      </c>
      <c r="I53" s="1" t="s">
        <v>60</v>
      </c>
      <c r="J53" s="1" t="s">
        <v>67</v>
      </c>
      <c r="K53" s="1" t="s">
        <v>77</v>
      </c>
      <c r="L53" s="3">
        <v>46770</v>
      </c>
      <c r="M53" s="3">
        <v>46040</v>
      </c>
      <c r="N53">
        <f>_xlfn.XLOOKUP(Data[[#This Row],[Status]],Compliance_Status[Status from OPMS],Compliance_Status[Status_Key],"")</f>
        <v>4</v>
      </c>
      <c r="O53">
        <f>_xlfn.XLOOKUP(Data[[#This Row],[Status]],Compliance_Status[Status from OPMS],Compliance_Status[Has Course booking],"")</f>
        <v>0</v>
      </c>
      <c r="P53" t="str">
        <f>_xlfn.XLOOKUP(Data[[#This Row],[StatusKey]],Status_Key[Status_Key],Status_Key[Name],"")</f>
        <v>In Date</v>
      </c>
    </row>
    <row r="54" spans="1:16" x14ac:dyDescent="0.25">
      <c r="A54" s="1">
        <v>148</v>
      </c>
      <c r="B54" s="1" t="s">
        <v>114</v>
      </c>
      <c r="C54" s="1" t="s">
        <v>115</v>
      </c>
      <c r="D54" s="1" t="s">
        <v>116</v>
      </c>
      <c r="E54" s="1" t="s">
        <v>82</v>
      </c>
      <c r="F54" s="1" t="s">
        <v>65</v>
      </c>
      <c r="G54" s="1" t="s">
        <v>16</v>
      </c>
      <c r="H54" s="1" t="s">
        <v>66</v>
      </c>
      <c r="I54" s="1" t="s">
        <v>60</v>
      </c>
      <c r="J54" s="1" t="s">
        <v>67</v>
      </c>
      <c r="K54" s="1" t="s">
        <v>83</v>
      </c>
      <c r="L54" s="3">
        <v>46766</v>
      </c>
      <c r="M54" s="3">
        <v>46036</v>
      </c>
      <c r="N54">
        <f>_xlfn.XLOOKUP(Data[[#This Row],[Status]],Compliance_Status[Status from OPMS],Compliance_Status[Status_Key],"")</f>
        <v>4</v>
      </c>
      <c r="O54">
        <f>_xlfn.XLOOKUP(Data[[#This Row],[Status]],Compliance_Status[Status from OPMS],Compliance_Status[Has Course booking],"")</f>
        <v>0</v>
      </c>
      <c r="P54" t="str">
        <f>_xlfn.XLOOKUP(Data[[#This Row],[StatusKey]],Status_Key[Status_Key],Status_Key[Name],"")</f>
        <v>In Date</v>
      </c>
    </row>
    <row r="55" spans="1:16" x14ac:dyDescent="0.25">
      <c r="A55" s="1">
        <v>148</v>
      </c>
      <c r="B55" s="1" t="s">
        <v>114</v>
      </c>
      <c r="C55" s="1" t="s">
        <v>115</v>
      </c>
      <c r="D55" s="1" t="s">
        <v>116</v>
      </c>
      <c r="E55" s="1" t="s">
        <v>84</v>
      </c>
      <c r="F55" s="1" t="s">
        <v>65</v>
      </c>
      <c r="G55" s="1" t="s">
        <v>16</v>
      </c>
      <c r="H55" s="1" t="s">
        <v>66</v>
      </c>
      <c r="I55" s="1" t="s">
        <v>60</v>
      </c>
      <c r="J55" s="1" t="s">
        <v>67</v>
      </c>
      <c r="K55" s="1" t="s">
        <v>83</v>
      </c>
      <c r="L55" s="3">
        <v>46729</v>
      </c>
      <c r="M55" s="3">
        <v>45999</v>
      </c>
      <c r="N55">
        <f>_xlfn.XLOOKUP(Data[[#This Row],[Status]],Compliance_Status[Status from OPMS],Compliance_Status[Status_Key],"")</f>
        <v>4</v>
      </c>
      <c r="O55">
        <f>_xlfn.XLOOKUP(Data[[#This Row],[Status]],Compliance_Status[Status from OPMS],Compliance_Status[Has Course booking],"")</f>
        <v>0</v>
      </c>
      <c r="P55" t="str">
        <f>_xlfn.XLOOKUP(Data[[#This Row],[StatusKey]],Status_Key[Status_Key],Status_Key[Name],"")</f>
        <v>In Date</v>
      </c>
    </row>
    <row r="56" spans="1:16" x14ac:dyDescent="0.25">
      <c r="A56" s="1">
        <v>148</v>
      </c>
      <c r="B56" s="1" t="s">
        <v>114</v>
      </c>
      <c r="C56" s="1" t="s">
        <v>115</v>
      </c>
      <c r="D56" s="1" t="s">
        <v>116</v>
      </c>
      <c r="E56" s="1" t="s">
        <v>85</v>
      </c>
      <c r="F56" s="1" t="s">
        <v>65</v>
      </c>
      <c r="G56" s="1" t="s">
        <v>16</v>
      </c>
      <c r="H56" s="1" t="s">
        <v>66</v>
      </c>
      <c r="I56" s="1" t="s">
        <v>60</v>
      </c>
      <c r="J56" s="1" t="s">
        <v>67</v>
      </c>
      <c r="K56" s="1" t="s">
        <v>86</v>
      </c>
      <c r="L56" s="3" t="s">
        <v>79</v>
      </c>
      <c r="M56" s="3">
        <v>45397</v>
      </c>
      <c r="N56">
        <f>_xlfn.XLOOKUP(Data[[#This Row],[Status]],Compliance_Status[Status from OPMS],Compliance_Status[Status_Key],"")</f>
        <v>4</v>
      </c>
      <c r="O56">
        <f>_xlfn.XLOOKUP(Data[[#This Row],[Status]],Compliance_Status[Status from OPMS],Compliance_Status[Has Course booking],"")</f>
        <v>0</v>
      </c>
      <c r="P56" t="str">
        <f>_xlfn.XLOOKUP(Data[[#This Row],[StatusKey]],Status_Key[Status_Key],Status_Key[Name],"")</f>
        <v>In Date</v>
      </c>
    </row>
    <row r="57" spans="1:16" x14ac:dyDescent="0.25">
      <c r="A57" s="1">
        <v>148</v>
      </c>
      <c r="B57" s="1" t="s">
        <v>114</v>
      </c>
      <c r="C57" s="1" t="s">
        <v>115</v>
      </c>
      <c r="D57" s="1" t="s">
        <v>116</v>
      </c>
      <c r="E57" s="1" t="s">
        <v>87</v>
      </c>
      <c r="F57" s="1" t="s">
        <v>65</v>
      </c>
      <c r="G57" s="1" t="s">
        <v>16</v>
      </c>
      <c r="H57" s="1" t="s">
        <v>66</v>
      </c>
      <c r="I57" s="1" t="s">
        <v>60</v>
      </c>
      <c r="J57" s="1" t="s">
        <v>67</v>
      </c>
      <c r="K57" s="1" t="s">
        <v>86</v>
      </c>
      <c r="L57" s="3" t="s">
        <v>79</v>
      </c>
      <c r="M57" s="3">
        <v>45331</v>
      </c>
      <c r="N57">
        <f>_xlfn.XLOOKUP(Data[[#This Row],[Status]],Compliance_Status[Status from OPMS],Compliance_Status[Status_Key],"")</f>
        <v>4</v>
      </c>
      <c r="O57">
        <f>_xlfn.XLOOKUP(Data[[#This Row],[Status]],Compliance_Status[Status from OPMS],Compliance_Status[Has Course booking],"")</f>
        <v>0</v>
      </c>
      <c r="P57" t="str">
        <f>_xlfn.XLOOKUP(Data[[#This Row],[StatusKey]],Status_Key[Status_Key],Status_Key[Name],"")</f>
        <v>In Date</v>
      </c>
    </row>
    <row r="58" spans="1:16" x14ac:dyDescent="0.25">
      <c r="A58" s="1">
        <v>148</v>
      </c>
      <c r="B58" s="1" t="s">
        <v>114</v>
      </c>
      <c r="C58" s="1" t="s">
        <v>115</v>
      </c>
      <c r="D58" s="1" t="s">
        <v>116</v>
      </c>
      <c r="E58" s="1" t="s">
        <v>88</v>
      </c>
      <c r="F58" s="1" t="s">
        <v>65</v>
      </c>
      <c r="G58" s="1" t="s">
        <v>16</v>
      </c>
      <c r="H58" s="1" t="s">
        <v>66</v>
      </c>
      <c r="I58" s="1" t="s">
        <v>60</v>
      </c>
      <c r="J58" s="1" t="s">
        <v>67</v>
      </c>
      <c r="K58" s="1" t="s">
        <v>86</v>
      </c>
      <c r="L58" s="3" t="s">
        <v>79</v>
      </c>
      <c r="M58" s="3">
        <v>45338</v>
      </c>
      <c r="N58">
        <f>_xlfn.XLOOKUP(Data[[#This Row],[Status]],Compliance_Status[Status from OPMS],Compliance_Status[Status_Key],"")</f>
        <v>4</v>
      </c>
      <c r="O58">
        <f>_xlfn.XLOOKUP(Data[[#This Row],[Status]],Compliance_Status[Status from OPMS],Compliance_Status[Has Course booking],"")</f>
        <v>0</v>
      </c>
      <c r="P58" t="str">
        <f>_xlfn.XLOOKUP(Data[[#This Row],[StatusKey]],Status_Key[Status_Key],Status_Key[Name],"")</f>
        <v>In Date</v>
      </c>
    </row>
    <row r="59" spans="1:16" x14ac:dyDescent="0.25">
      <c r="A59" s="1">
        <v>148</v>
      </c>
      <c r="B59" s="1" t="s">
        <v>114</v>
      </c>
      <c r="C59" s="1" t="s">
        <v>115</v>
      </c>
      <c r="D59" s="1" t="s">
        <v>116</v>
      </c>
      <c r="E59" s="1" t="s">
        <v>89</v>
      </c>
      <c r="F59" s="1" t="s">
        <v>65</v>
      </c>
      <c r="G59" s="1" t="s">
        <v>16</v>
      </c>
      <c r="H59" s="1" t="s">
        <v>66</v>
      </c>
      <c r="I59" s="1" t="s">
        <v>60</v>
      </c>
      <c r="J59" s="1" t="s">
        <v>67</v>
      </c>
      <c r="K59" s="1" t="s">
        <v>86</v>
      </c>
      <c r="L59" s="3" t="s">
        <v>79</v>
      </c>
      <c r="M59" s="3">
        <v>45536</v>
      </c>
      <c r="N59">
        <f>_xlfn.XLOOKUP(Data[[#This Row],[Status]],Compliance_Status[Status from OPMS],Compliance_Status[Status_Key],"")</f>
        <v>4</v>
      </c>
      <c r="O59">
        <f>_xlfn.XLOOKUP(Data[[#This Row],[Status]],Compliance_Status[Status from OPMS],Compliance_Status[Has Course booking],"")</f>
        <v>0</v>
      </c>
      <c r="P59" t="str">
        <f>_xlfn.XLOOKUP(Data[[#This Row],[StatusKey]],Status_Key[Status_Key],Status_Key[Name],"")</f>
        <v>In Date</v>
      </c>
    </row>
    <row r="60" spans="1:16" x14ac:dyDescent="0.25">
      <c r="A60" s="1">
        <v>148</v>
      </c>
      <c r="B60" s="1" t="s">
        <v>114</v>
      </c>
      <c r="C60" s="1" t="s">
        <v>115</v>
      </c>
      <c r="D60" s="1" t="s">
        <v>116</v>
      </c>
      <c r="E60" s="1" t="s">
        <v>90</v>
      </c>
      <c r="F60" s="1" t="s">
        <v>65</v>
      </c>
      <c r="G60" s="1" t="s">
        <v>16</v>
      </c>
      <c r="H60" s="1" t="s">
        <v>66</v>
      </c>
      <c r="I60" s="1" t="s">
        <v>60</v>
      </c>
      <c r="J60" s="1" t="s">
        <v>67</v>
      </c>
      <c r="K60" s="1" t="s">
        <v>86</v>
      </c>
      <c r="L60" s="3" t="s">
        <v>79</v>
      </c>
      <c r="M60" s="3">
        <v>45535</v>
      </c>
      <c r="N60">
        <f>_xlfn.XLOOKUP(Data[[#This Row],[Status]],Compliance_Status[Status from OPMS],Compliance_Status[Status_Key],"")</f>
        <v>4</v>
      </c>
      <c r="O60">
        <f>_xlfn.XLOOKUP(Data[[#This Row],[Status]],Compliance_Status[Status from OPMS],Compliance_Status[Has Course booking],"")</f>
        <v>0</v>
      </c>
      <c r="P60" t="str">
        <f>_xlfn.XLOOKUP(Data[[#This Row],[StatusKey]],Status_Key[Status_Key],Status_Key[Name],"")</f>
        <v>In Date</v>
      </c>
    </row>
    <row r="61" spans="1:16" x14ac:dyDescent="0.25">
      <c r="A61" s="1">
        <v>148</v>
      </c>
      <c r="B61" s="1" t="s">
        <v>114</v>
      </c>
      <c r="C61" s="1" t="s">
        <v>115</v>
      </c>
      <c r="D61" s="1" t="s">
        <v>116</v>
      </c>
      <c r="E61" s="1" t="s">
        <v>91</v>
      </c>
      <c r="F61" s="1" t="s">
        <v>65</v>
      </c>
      <c r="G61" s="1" t="s">
        <v>16</v>
      </c>
      <c r="H61" s="1" t="s">
        <v>66</v>
      </c>
      <c r="I61" s="1" t="s">
        <v>60</v>
      </c>
      <c r="J61" s="1" t="s">
        <v>67</v>
      </c>
      <c r="K61" s="1" t="s">
        <v>86</v>
      </c>
      <c r="L61" s="3" t="s">
        <v>79</v>
      </c>
      <c r="M61" s="3">
        <v>45950</v>
      </c>
      <c r="N61">
        <f>_xlfn.XLOOKUP(Data[[#This Row],[Status]],Compliance_Status[Status from OPMS],Compliance_Status[Status_Key],"")</f>
        <v>4</v>
      </c>
      <c r="O61">
        <f>_xlfn.XLOOKUP(Data[[#This Row],[Status]],Compliance_Status[Status from OPMS],Compliance_Status[Has Course booking],"")</f>
        <v>0</v>
      </c>
      <c r="P61" t="str">
        <f>_xlfn.XLOOKUP(Data[[#This Row],[StatusKey]],Status_Key[Status_Key],Status_Key[Name],"")</f>
        <v>In Date</v>
      </c>
    </row>
    <row r="62" spans="1:16" x14ac:dyDescent="0.25">
      <c r="A62" s="1">
        <v>148</v>
      </c>
      <c r="B62" s="1" t="s">
        <v>114</v>
      </c>
      <c r="C62" s="1" t="s">
        <v>115</v>
      </c>
      <c r="D62" s="1" t="s">
        <v>116</v>
      </c>
      <c r="E62" s="1" t="s">
        <v>92</v>
      </c>
      <c r="F62" s="1" t="s">
        <v>65</v>
      </c>
      <c r="G62" s="1" t="s">
        <v>16</v>
      </c>
      <c r="H62" s="1" t="s">
        <v>66</v>
      </c>
      <c r="I62" s="1" t="s">
        <v>60</v>
      </c>
      <c r="J62" s="1" t="s">
        <v>67</v>
      </c>
      <c r="K62" s="1" t="s">
        <v>86</v>
      </c>
      <c r="L62" s="3">
        <v>46268</v>
      </c>
      <c r="M62" s="3">
        <v>45538</v>
      </c>
      <c r="N62">
        <f>_xlfn.XLOOKUP(Data[[#This Row],[Status]],Compliance_Status[Status from OPMS],Compliance_Status[Status_Key],"")</f>
        <v>4</v>
      </c>
      <c r="O62">
        <f>_xlfn.XLOOKUP(Data[[#This Row],[Status]],Compliance_Status[Status from OPMS],Compliance_Status[Has Course booking],"")</f>
        <v>0</v>
      </c>
      <c r="P62" t="str">
        <f>_xlfn.XLOOKUP(Data[[#This Row],[StatusKey]],Status_Key[Status_Key],Status_Key[Name],"")</f>
        <v>In Date</v>
      </c>
    </row>
    <row r="63" spans="1:16" x14ac:dyDescent="0.25">
      <c r="A63" s="1">
        <v>148</v>
      </c>
      <c r="B63" s="1" t="s">
        <v>114</v>
      </c>
      <c r="C63" s="1" t="s">
        <v>115</v>
      </c>
      <c r="D63" s="1" t="s">
        <v>116</v>
      </c>
      <c r="E63" s="1" t="s">
        <v>93</v>
      </c>
      <c r="F63" s="1" t="s">
        <v>65</v>
      </c>
      <c r="G63" s="1" t="s">
        <v>16</v>
      </c>
      <c r="H63" s="1" t="s">
        <v>66</v>
      </c>
      <c r="I63" s="1" t="s">
        <v>60</v>
      </c>
      <c r="J63" s="1" t="s">
        <v>67</v>
      </c>
      <c r="K63" s="1" t="s">
        <v>94</v>
      </c>
      <c r="L63" s="3">
        <v>46729</v>
      </c>
      <c r="M63" s="3">
        <v>45999</v>
      </c>
      <c r="N63">
        <f>_xlfn.XLOOKUP(Data[[#This Row],[Status]],Compliance_Status[Status from OPMS],Compliance_Status[Status_Key],"")</f>
        <v>4</v>
      </c>
      <c r="O63">
        <f>_xlfn.XLOOKUP(Data[[#This Row],[Status]],Compliance_Status[Status from OPMS],Compliance_Status[Has Course booking],"")</f>
        <v>0</v>
      </c>
      <c r="P63" t="str">
        <f>_xlfn.XLOOKUP(Data[[#This Row],[StatusKey]],Status_Key[Status_Key],Status_Key[Name],"")</f>
        <v>In Date</v>
      </c>
    </row>
    <row r="64" spans="1:16" x14ac:dyDescent="0.25">
      <c r="A64" s="1">
        <v>148</v>
      </c>
      <c r="B64" s="1" t="s">
        <v>114</v>
      </c>
      <c r="C64" s="1" t="s">
        <v>115</v>
      </c>
      <c r="D64" s="1" t="s">
        <v>116</v>
      </c>
      <c r="E64" s="1" t="s">
        <v>95</v>
      </c>
      <c r="F64" s="1" t="s">
        <v>65</v>
      </c>
      <c r="G64" s="1" t="s">
        <v>16</v>
      </c>
      <c r="H64" s="1" t="s">
        <v>66</v>
      </c>
      <c r="I64" s="1" t="s">
        <v>60</v>
      </c>
      <c r="J64" s="1" t="s">
        <v>67</v>
      </c>
      <c r="K64" s="1" t="s">
        <v>94</v>
      </c>
      <c r="L64" s="3">
        <v>46729</v>
      </c>
      <c r="M64" s="3">
        <v>45999</v>
      </c>
      <c r="N64">
        <f>_xlfn.XLOOKUP(Data[[#This Row],[Status]],Compliance_Status[Status from OPMS],Compliance_Status[Status_Key],"")</f>
        <v>4</v>
      </c>
      <c r="O64">
        <f>_xlfn.XLOOKUP(Data[[#This Row],[Status]],Compliance_Status[Status from OPMS],Compliance_Status[Has Course booking],"")</f>
        <v>0</v>
      </c>
      <c r="P64" t="str">
        <f>_xlfn.XLOOKUP(Data[[#This Row],[StatusKey]],Status_Key[Status_Key],Status_Key[Name],"")</f>
        <v>In Date</v>
      </c>
    </row>
    <row r="65" spans="1:16" x14ac:dyDescent="0.25">
      <c r="A65" s="1">
        <v>148</v>
      </c>
      <c r="B65" s="1" t="s">
        <v>114</v>
      </c>
      <c r="C65" s="1" t="s">
        <v>115</v>
      </c>
      <c r="D65" s="1" t="s">
        <v>116</v>
      </c>
      <c r="E65" s="1" t="s">
        <v>96</v>
      </c>
      <c r="F65" s="1" t="s">
        <v>65</v>
      </c>
      <c r="G65" s="1" t="s">
        <v>16</v>
      </c>
      <c r="H65" s="1" t="s">
        <v>66</v>
      </c>
      <c r="I65" s="1" t="s">
        <v>60</v>
      </c>
      <c r="J65" s="1" t="s">
        <v>67</v>
      </c>
      <c r="K65" s="1" t="s">
        <v>94</v>
      </c>
      <c r="L65" s="3" t="s">
        <v>79</v>
      </c>
      <c r="M65" s="3">
        <v>46023</v>
      </c>
      <c r="N65">
        <f>_xlfn.XLOOKUP(Data[[#This Row],[Status]],Compliance_Status[Status from OPMS],Compliance_Status[Status_Key],"")</f>
        <v>4</v>
      </c>
      <c r="O65">
        <f>_xlfn.XLOOKUP(Data[[#This Row],[Status]],Compliance_Status[Status from OPMS],Compliance_Status[Has Course booking],"")</f>
        <v>0</v>
      </c>
      <c r="P65" t="str">
        <f>_xlfn.XLOOKUP(Data[[#This Row],[StatusKey]],Status_Key[Status_Key],Status_Key[Name],"")</f>
        <v>In Date</v>
      </c>
    </row>
    <row r="66" spans="1:16" x14ac:dyDescent="0.25">
      <c r="A66" s="1">
        <v>148</v>
      </c>
      <c r="B66" s="1" t="s">
        <v>114</v>
      </c>
      <c r="C66" s="1" t="s">
        <v>115</v>
      </c>
      <c r="D66" s="1" t="s">
        <v>116</v>
      </c>
      <c r="E66" s="1" t="s">
        <v>97</v>
      </c>
      <c r="F66" s="1" t="s">
        <v>65</v>
      </c>
      <c r="G66" s="1" t="s">
        <v>16</v>
      </c>
      <c r="H66" s="1" t="s">
        <v>66</v>
      </c>
      <c r="I66" s="1" t="s">
        <v>60</v>
      </c>
      <c r="J66" s="1" t="s">
        <v>67</v>
      </c>
      <c r="K66" s="1" t="s">
        <v>98</v>
      </c>
      <c r="L66" s="3">
        <v>47249</v>
      </c>
      <c r="M66" s="3">
        <v>45423</v>
      </c>
      <c r="N66">
        <f>_xlfn.XLOOKUP(Data[[#This Row],[Status]],Compliance_Status[Status from OPMS],Compliance_Status[Status_Key],"")</f>
        <v>4</v>
      </c>
      <c r="O66">
        <f>_xlfn.XLOOKUP(Data[[#This Row],[Status]],Compliance_Status[Status from OPMS],Compliance_Status[Has Course booking],"")</f>
        <v>0</v>
      </c>
      <c r="P66" t="str">
        <f>_xlfn.XLOOKUP(Data[[#This Row],[StatusKey]],Status_Key[Status_Key],Status_Key[Name],"")</f>
        <v>In Date</v>
      </c>
    </row>
    <row r="67" spans="1:16" x14ac:dyDescent="0.25">
      <c r="A67" s="1">
        <v>148</v>
      </c>
      <c r="B67" s="1" t="s">
        <v>114</v>
      </c>
      <c r="C67" s="1" t="s">
        <v>115</v>
      </c>
      <c r="D67" s="1" t="s">
        <v>116</v>
      </c>
      <c r="E67" s="1" t="s">
        <v>99</v>
      </c>
      <c r="F67" s="1" t="s">
        <v>65</v>
      </c>
      <c r="G67" s="1" t="s">
        <v>16</v>
      </c>
      <c r="H67" s="1" t="s">
        <v>66</v>
      </c>
      <c r="I67" s="1" t="s">
        <v>60</v>
      </c>
      <c r="J67" s="1" t="s">
        <v>67</v>
      </c>
      <c r="K67" s="1" t="s">
        <v>98</v>
      </c>
      <c r="L67" s="3">
        <v>47145</v>
      </c>
      <c r="M67" s="3">
        <v>46050</v>
      </c>
      <c r="N67">
        <f>_xlfn.XLOOKUP(Data[[#This Row],[Status]],Compliance_Status[Status from OPMS],Compliance_Status[Status_Key],"")</f>
        <v>4</v>
      </c>
      <c r="O67">
        <f>_xlfn.XLOOKUP(Data[[#This Row],[Status]],Compliance_Status[Status from OPMS],Compliance_Status[Has Course booking],"")</f>
        <v>0</v>
      </c>
      <c r="P67" t="str">
        <f>_xlfn.XLOOKUP(Data[[#This Row],[StatusKey]],Status_Key[Status_Key],Status_Key[Name],"")</f>
        <v>In Date</v>
      </c>
    </row>
    <row r="68" spans="1:16" x14ac:dyDescent="0.25">
      <c r="A68" s="1">
        <v>148</v>
      </c>
      <c r="B68" s="1" t="s">
        <v>114</v>
      </c>
      <c r="C68" s="1" t="s">
        <v>115</v>
      </c>
      <c r="D68" s="1" t="s">
        <v>116</v>
      </c>
      <c r="E68" s="1" t="s">
        <v>100</v>
      </c>
      <c r="F68" s="1" t="s">
        <v>65</v>
      </c>
      <c r="G68" s="1" t="s">
        <v>16</v>
      </c>
      <c r="H68" s="1" t="s">
        <v>66</v>
      </c>
      <c r="I68" s="1" t="s">
        <v>60</v>
      </c>
      <c r="J68" s="1" t="s">
        <v>67</v>
      </c>
      <c r="K68" s="1" t="s">
        <v>98</v>
      </c>
      <c r="L68" s="3">
        <v>47145</v>
      </c>
      <c r="M68" s="3">
        <v>46050</v>
      </c>
      <c r="N68">
        <f>_xlfn.XLOOKUP(Data[[#This Row],[Status]],Compliance_Status[Status from OPMS],Compliance_Status[Status_Key],"")</f>
        <v>4</v>
      </c>
      <c r="O68">
        <f>_xlfn.XLOOKUP(Data[[#This Row],[Status]],Compliance_Status[Status from OPMS],Compliance_Status[Has Course booking],"")</f>
        <v>0</v>
      </c>
      <c r="P68" t="str">
        <f>_xlfn.XLOOKUP(Data[[#This Row],[StatusKey]],Status_Key[Status_Key],Status_Key[Name],"")</f>
        <v>In Date</v>
      </c>
    </row>
    <row r="69" spans="1:16" x14ac:dyDescent="0.25">
      <c r="A69" s="1">
        <v>148</v>
      </c>
      <c r="B69" s="1" t="s">
        <v>114</v>
      </c>
      <c r="C69" s="1" t="s">
        <v>115</v>
      </c>
      <c r="D69" s="1" t="s">
        <v>116</v>
      </c>
      <c r="E69" s="1" t="s">
        <v>101</v>
      </c>
      <c r="F69" s="1" t="s">
        <v>65</v>
      </c>
      <c r="G69" s="1" t="s">
        <v>16</v>
      </c>
      <c r="H69" s="1" t="s">
        <v>66</v>
      </c>
      <c r="I69" s="1" t="s">
        <v>60</v>
      </c>
      <c r="J69" s="1" t="s">
        <v>67</v>
      </c>
      <c r="K69" s="1" t="s">
        <v>102</v>
      </c>
      <c r="L69" s="3" t="s">
        <v>79</v>
      </c>
      <c r="M69" s="3">
        <v>45401</v>
      </c>
      <c r="N69">
        <f>_xlfn.XLOOKUP(Data[[#This Row],[Status]],Compliance_Status[Status from OPMS],Compliance_Status[Status_Key],"")</f>
        <v>4</v>
      </c>
      <c r="O69">
        <f>_xlfn.XLOOKUP(Data[[#This Row],[Status]],Compliance_Status[Status from OPMS],Compliance_Status[Has Course booking],"")</f>
        <v>0</v>
      </c>
      <c r="P69" t="str">
        <f>_xlfn.XLOOKUP(Data[[#This Row],[StatusKey]],Status_Key[Status_Key],Status_Key[Name],"")</f>
        <v>In Date</v>
      </c>
    </row>
    <row r="70" spans="1:16" x14ac:dyDescent="0.25">
      <c r="A70" s="1">
        <v>148</v>
      </c>
      <c r="B70" s="1" t="s">
        <v>114</v>
      </c>
      <c r="C70" s="1" t="s">
        <v>115</v>
      </c>
      <c r="D70" s="1" t="s">
        <v>116</v>
      </c>
      <c r="E70" s="1" t="s">
        <v>103</v>
      </c>
      <c r="F70" s="1" t="s">
        <v>65</v>
      </c>
      <c r="G70" s="1" t="s">
        <v>16</v>
      </c>
      <c r="H70" s="1" t="s">
        <v>66</v>
      </c>
      <c r="I70" s="1" t="s">
        <v>60</v>
      </c>
      <c r="J70" s="1" t="s">
        <v>67</v>
      </c>
      <c r="K70" s="1" t="s">
        <v>102</v>
      </c>
      <c r="L70" s="3">
        <v>46525</v>
      </c>
      <c r="M70" s="3">
        <v>45795</v>
      </c>
      <c r="N70">
        <f>_xlfn.XLOOKUP(Data[[#This Row],[Status]],Compliance_Status[Status from OPMS],Compliance_Status[Status_Key],"")</f>
        <v>4</v>
      </c>
      <c r="O70">
        <f>_xlfn.XLOOKUP(Data[[#This Row],[Status]],Compliance_Status[Status from OPMS],Compliance_Status[Has Course booking],"")</f>
        <v>0</v>
      </c>
      <c r="P70" t="str">
        <f>_xlfn.XLOOKUP(Data[[#This Row],[StatusKey]],Status_Key[Status_Key],Status_Key[Name],"")</f>
        <v>In Date</v>
      </c>
    </row>
    <row r="71" spans="1:16" x14ac:dyDescent="0.25">
      <c r="A71" s="1">
        <v>148</v>
      </c>
      <c r="B71" s="1" t="s">
        <v>114</v>
      </c>
      <c r="C71" s="1" t="s">
        <v>115</v>
      </c>
      <c r="D71" s="1" t="s">
        <v>116</v>
      </c>
      <c r="E71" s="1" t="s">
        <v>104</v>
      </c>
      <c r="F71" s="1" t="s">
        <v>65</v>
      </c>
      <c r="G71" s="1" t="s">
        <v>16</v>
      </c>
      <c r="H71" s="1" t="s">
        <v>66</v>
      </c>
      <c r="I71" s="1" t="s">
        <v>60</v>
      </c>
      <c r="J71" s="1" t="s">
        <v>67</v>
      </c>
      <c r="K71" s="1" t="s">
        <v>105</v>
      </c>
      <c r="L71" s="3">
        <v>46852</v>
      </c>
      <c r="M71" s="3">
        <v>46121</v>
      </c>
      <c r="N71">
        <f>_xlfn.XLOOKUP(Data[[#This Row],[Status]],Compliance_Status[Status from OPMS],Compliance_Status[Status_Key],"")</f>
        <v>4</v>
      </c>
      <c r="O71">
        <f>_xlfn.XLOOKUP(Data[[#This Row],[Status]],Compliance_Status[Status from OPMS],Compliance_Status[Has Course booking],"")</f>
        <v>0</v>
      </c>
      <c r="P71" t="str">
        <f>_xlfn.XLOOKUP(Data[[#This Row],[StatusKey]],Status_Key[Status_Key],Status_Key[Name],"")</f>
        <v>In Date</v>
      </c>
    </row>
    <row r="72" spans="1:16" x14ac:dyDescent="0.25">
      <c r="A72" s="1">
        <v>148</v>
      </c>
      <c r="B72" s="1" t="s">
        <v>114</v>
      </c>
      <c r="C72" s="1" t="s">
        <v>115</v>
      </c>
      <c r="D72" s="1" t="s">
        <v>116</v>
      </c>
      <c r="E72" s="1" t="s">
        <v>106</v>
      </c>
      <c r="F72" s="1" t="s">
        <v>65</v>
      </c>
      <c r="G72" s="1" t="s">
        <v>16</v>
      </c>
      <c r="H72" s="1" t="s">
        <v>66</v>
      </c>
      <c r="I72" s="1" t="s">
        <v>60</v>
      </c>
      <c r="J72" s="1" t="s">
        <v>67</v>
      </c>
      <c r="K72" s="1" t="s">
        <v>105</v>
      </c>
      <c r="L72" s="3">
        <v>47249</v>
      </c>
      <c r="M72" s="3">
        <v>45423</v>
      </c>
      <c r="N72">
        <f>_xlfn.XLOOKUP(Data[[#This Row],[Status]],Compliance_Status[Status from OPMS],Compliance_Status[Status_Key],"")</f>
        <v>4</v>
      </c>
      <c r="O72">
        <f>_xlfn.XLOOKUP(Data[[#This Row],[Status]],Compliance_Status[Status from OPMS],Compliance_Status[Has Course booking],"")</f>
        <v>0</v>
      </c>
      <c r="P72" t="str">
        <f>_xlfn.XLOOKUP(Data[[#This Row],[StatusKey]],Status_Key[Status_Key],Status_Key[Name],"")</f>
        <v>In Date</v>
      </c>
    </row>
    <row r="73" spans="1:16" x14ac:dyDescent="0.25">
      <c r="A73" s="1">
        <v>148</v>
      </c>
      <c r="B73" s="1" t="s">
        <v>114</v>
      </c>
      <c r="C73" s="1" t="s">
        <v>115</v>
      </c>
      <c r="D73" s="1" t="s">
        <v>116</v>
      </c>
      <c r="E73" s="1" t="s">
        <v>107</v>
      </c>
      <c r="F73" s="1" t="s">
        <v>65</v>
      </c>
      <c r="G73" s="1" t="s">
        <v>16</v>
      </c>
      <c r="H73" s="1" t="s">
        <v>66</v>
      </c>
      <c r="I73" s="1" t="s">
        <v>60</v>
      </c>
      <c r="J73" s="1" t="s">
        <v>67</v>
      </c>
      <c r="K73" s="1" t="s">
        <v>105</v>
      </c>
      <c r="L73" s="3">
        <v>46518</v>
      </c>
      <c r="M73" s="3">
        <v>45423</v>
      </c>
      <c r="N73">
        <f>_xlfn.XLOOKUP(Data[[#This Row],[Status]],Compliance_Status[Status from OPMS],Compliance_Status[Status_Key],"")</f>
        <v>4</v>
      </c>
      <c r="O73">
        <f>_xlfn.XLOOKUP(Data[[#This Row],[Status]],Compliance_Status[Status from OPMS],Compliance_Status[Has Course booking],"")</f>
        <v>0</v>
      </c>
      <c r="P73" t="str">
        <f>_xlfn.XLOOKUP(Data[[#This Row],[StatusKey]],Status_Key[Status_Key],Status_Key[Name],"")</f>
        <v>In Date</v>
      </c>
    </row>
    <row r="74" spans="1:16" x14ac:dyDescent="0.25">
      <c r="A74" s="1">
        <v>148</v>
      </c>
      <c r="B74" s="1" t="s">
        <v>114</v>
      </c>
      <c r="C74" s="1" t="s">
        <v>115</v>
      </c>
      <c r="D74" s="1" t="s">
        <v>116</v>
      </c>
      <c r="E74" s="1" t="s">
        <v>108</v>
      </c>
      <c r="F74" s="1" t="s">
        <v>65</v>
      </c>
      <c r="G74" s="1" t="s">
        <v>16</v>
      </c>
      <c r="H74" s="1" t="s">
        <v>66</v>
      </c>
      <c r="I74" s="1" t="s">
        <v>60</v>
      </c>
      <c r="J74" s="1" t="s">
        <v>67</v>
      </c>
      <c r="K74" s="1" t="s">
        <v>105</v>
      </c>
      <c r="L74" s="3">
        <v>46960</v>
      </c>
      <c r="M74" s="3">
        <v>46229</v>
      </c>
      <c r="N74">
        <f>_xlfn.XLOOKUP(Data[[#This Row],[Status]],Compliance_Status[Status from OPMS],Compliance_Status[Status_Key],"")</f>
        <v>4</v>
      </c>
      <c r="O74">
        <f>_xlfn.XLOOKUP(Data[[#This Row],[Status]],Compliance_Status[Status from OPMS],Compliance_Status[Has Course booking],"")</f>
        <v>0</v>
      </c>
      <c r="P74" t="str">
        <f>_xlfn.XLOOKUP(Data[[#This Row],[StatusKey]],Status_Key[Status_Key],Status_Key[Name],"")</f>
        <v>In Date</v>
      </c>
    </row>
    <row r="75" spans="1:16" x14ac:dyDescent="0.25">
      <c r="A75" s="1">
        <v>148</v>
      </c>
      <c r="B75" s="1" t="s">
        <v>114</v>
      </c>
      <c r="C75" s="1" t="s">
        <v>115</v>
      </c>
      <c r="D75" s="1" t="s">
        <v>116</v>
      </c>
      <c r="E75" s="1" t="s">
        <v>109</v>
      </c>
      <c r="F75" s="1" t="s">
        <v>65</v>
      </c>
      <c r="G75" s="1" t="s">
        <v>16</v>
      </c>
      <c r="H75" s="1" t="s">
        <v>66</v>
      </c>
      <c r="I75" s="1" t="s">
        <v>60</v>
      </c>
      <c r="J75" s="1" t="s">
        <v>67</v>
      </c>
      <c r="K75" s="1" t="s">
        <v>105</v>
      </c>
      <c r="L75" s="3">
        <v>46778</v>
      </c>
      <c r="M75" s="3">
        <v>46048</v>
      </c>
      <c r="N75">
        <f>_xlfn.XLOOKUP(Data[[#This Row],[Status]],Compliance_Status[Status from OPMS],Compliance_Status[Status_Key],"")</f>
        <v>4</v>
      </c>
      <c r="O75">
        <f>_xlfn.XLOOKUP(Data[[#This Row],[Status]],Compliance_Status[Status from OPMS],Compliance_Status[Has Course booking],"")</f>
        <v>0</v>
      </c>
      <c r="P75" t="str">
        <f>_xlfn.XLOOKUP(Data[[#This Row],[StatusKey]],Status_Key[Status_Key],Status_Key[Name],"")</f>
        <v>In Date</v>
      </c>
    </row>
    <row r="76" spans="1:16" x14ac:dyDescent="0.25">
      <c r="A76" s="1">
        <v>148</v>
      </c>
      <c r="B76" s="1" t="s">
        <v>114</v>
      </c>
      <c r="C76" s="1" t="s">
        <v>115</v>
      </c>
      <c r="D76" s="1" t="s">
        <v>116</v>
      </c>
      <c r="E76" s="1" t="s">
        <v>110</v>
      </c>
      <c r="F76" s="1" t="s">
        <v>65</v>
      </c>
      <c r="G76" s="1" t="s">
        <v>16</v>
      </c>
      <c r="H76" s="1" t="s">
        <v>66</v>
      </c>
      <c r="I76" s="1" t="s">
        <v>60</v>
      </c>
      <c r="J76" s="1" t="s">
        <v>67</v>
      </c>
      <c r="K76" s="1" t="s">
        <v>105</v>
      </c>
      <c r="L76" s="3" t="s">
        <v>79</v>
      </c>
      <c r="M76" s="3">
        <v>45420</v>
      </c>
      <c r="N76">
        <f>_xlfn.XLOOKUP(Data[[#This Row],[Status]],Compliance_Status[Status from OPMS],Compliance_Status[Status_Key],"")</f>
        <v>4</v>
      </c>
      <c r="O76">
        <f>_xlfn.XLOOKUP(Data[[#This Row],[Status]],Compliance_Status[Status from OPMS],Compliance_Status[Has Course booking],"")</f>
        <v>0</v>
      </c>
      <c r="P76" t="str">
        <f>_xlfn.XLOOKUP(Data[[#This Row],[StatusKey]],Status_Key[Status_Key],Status_Key[Name],"")</f>
        <v>In Date</v>
      </c>
    </row>
    <row r="77" spans="1:16" x14ac:dyDescent="0.25">
      <c r="A77" s="1">
        <v>148</v>
      </c>
      <c r="B77" s="1" t="s">
        <v>114</v>
      </c>
      <c r="C77" s="1" t="s">
        <v>115</v>
      </c>
      <c r="D77" s="1" t="s">
        <v>116</v>
      </c>
      <c r="E77" s="1" t="s">
        <v>111</v>
      </c>
      <c r="F77" s="1" t="s">
        <v>65</v>
      </c>
      <c r="G77" s="1" t="s">
        <v>16</v>
      </c>
      <c r="H77" s="1" t="s">
        <v>66</v>
      </c>
      <c r="I77" s="1" t="s">
        <v>60</v>
      </c>
      <c r="J77" s="1" t="s">
        <v>67</v>
      </c>
      <c r="K77" s="1" t="s">
        <v>105</v>
      </c>
      <c r="L77" s="3">
        <v>46729</v>
      </c>
      <c r="M77" s="3">
        <v>45999</v>
      </c>
      <c r="N77">
        <f>_xlfn.XLOOKUP(Data[[#This Row],[Status]],Compliance_Status[Status from OPMS],Compliance_Status[Status_Key],"")</f>
        <v>4</v>
      </c>
      <c r="O77">
        <f>_xlfn.XLOOKUP(Data[[#This Row],[Status]],Compliance_Status[Status from OPMS],Compliance_Status[Has Course booking],"")</f>
        <v>0</v>
      </c>
      <c r="P77" t="str">
        <f>_xlfn.XLOOKUP(Data[[#This Row],[StatusKey]],Status_Key[Status_Key],Status_Key[Name],"")</f>
        <v>In Date</v>
      </c>
    </row>
    <row r="78" spans="1:16" x14ac:dyDescent="0.25">
      <c r="A78" s="1">
        <v>148</v>
      </c>
      <c r="B78" s="1" t="s">
        <v>114</v>
      </c>
      <c r="C78" s="1" t="s">
        <v>115</v>
      </c>
      <c r="D78" s="1" t="s">
        <v>116</v>
      </c>
      <c r="E78" s="1" t="s">
        <v>112</v>
      </c>
      <c r="F78" s="1" t="s">
        <v>65</v>
      </c>
      <c r="G78" s="1" t="s">
        <v>16</v>
      </c>
      <c r="H78" s="1" t="s">
        <v>66</v>
      </c>
      <c r="I78" s="1" t="s">
        <v>60</v>
      </c>
      <c r="J78" s="1" t="s">
        <v>67</v>
      </c>
      <c r="K78" s="1" t="s">
        <v>105</v>
      </c>
      <c r="L78" s="3">
        <v>46769</v>
      </c>
      <c r="M78" s="3">
        <v>46039</v>
      </c>
      <c r="N78">
        <f>_xlfn.XLOOKUP(Data[[#This Row],[Status]],Compliance_Status[Status from OPMS],Compliance_Status[Status_Key],"")</f>
        <v>4</v>
      </c>
      <c r="O78">
        <f>_xlfn.XLOOKUP(Data[[#This Row],[Status]],Compliance_Status[Status from OPMS],Compliance_Status[Has Course booking],"")</f>
        <v>0</v>
      </c>
      <c r="P78" t="str">
        <f>_xlfn.XLOOKUP(Data[[#This Row],[StatusKey]],Status_Key[Status_Key],Status_Key[Name],"")</f>
        <v>In Date</v>
      </c>
    </row>
    <row r="79" spans="1:16" x14ac:dyDescent="0.25">
      <c r="A79" s="1">
        <v>148</v>
      </c>
      <c r="B79" s="1" t="s">
        <v>114</v>
      </c>
      <c r="C79" s="1" t="s">
        <v>115</v>
      </c>
      <c r="D79" s="1" t="s">
        <v>116</v>
      </c>
      <c r="E79" s="1" t="s">
        <v>113</v>
      </c>
      <c r="F79" s="1" t="s">
        <v>65</v>
      </c>
      <c r="G79" s="1" t="s">
        <v>16</v>
      </c>
      <c r="H79" s="1" t="s">
        <v>66</v>
      </c>
      <c r="I79" s="1" t="s">
        <v>60</v>
      </c>
      <c r="J79" s="1" t="s">
        <v>67</v>
      </c>
      <c r="K79" s="1" t="s">
        <v>105</v>
      </c>
      <c r="L79" s="3">
        <v>46769</v>
      </c>
      <c r="M79" s="3">
        <v>46039</v>
      </c>
      <c r="N79">
        <f>_xlfn.XLOOKUP(Data[[#This Row],[Status]],Compliance_Status[Status from OPMS],Compliance_Status[Status_Key],"")</f>
        <v>4</v>
      </c>
      <c r="O79">
        <f>_xlfn.XLOOKUP(Data[[#This Row],[Status]],Compliance_Status[Status from OPMS],Compliance_Status[Has Course booking],"")</f>
        <v>0</v>
      </c>
      <c r="P79" t="str">
        <f>_xlfn.XLOOKUP(Data[[#This Row],[StatusKey]],Status_Key[Status_Key],Status_Key[Name],"")</f>
        <v>In Date</v>
      </c>
    </row>
    <row r="80" spans="1:16" x14ac:dyDescent="0.25">
      <c r="A80" s="1">
        <v>152</v>
      </c>
      <c r="B80" s="1" t="s">
        <v>117</v>
      </c>
      <c r="C80" s="1" t="s">
        <v>118</v>
      </c>
      <c r="D80" s="1" t="s">
        <v>119</v>
      </c>
      <c r="E80" s="1" t="s">
        <v>64</v>
      </c>
      <c r="F80" s="1"/>
      <c r="G80" s="1" t="s">
        <v>16</v>
      </c>
      <c r="H80" s="1" t="s">
        <v>120</v>
      </c>
      <c r="I80" s="1" t="s">
        <v>60</v>
      </c>
      <c r="J80" s="1" t="s">
        <v>67</v>
      </c>
      <c r="K80" s="1" t="s">
        <v>68</v>
      </c>
      <c r="L80" s="3">
        <v>47869</v>
      </c>
      <c r="M80" s="3">
        <v>46044</v>
      </c>
      <c r="N80">
        <f>_xlfn.XLOOKUP(Data[[#This Row],[Status]],Compliance_Status[Status from OPMS],Compliance_Status[Status_Key],"")</f>
        <v>4</v>
      </c>
      <c r="O80">
        <f>_xlfn.XLOOKUP(Data[[#This Row],[Status]],Compliance_Status[Status from OPMS],Compliance_Status[Has Course booking],"")</f>
        <v>0</v>
      </c>
      <c r="P80" t="str">
        <f>_xlfn.XLOOKUP(Data[[#This Row],[StatusKey]],Status_Key[Status_Key],Status_Key[Name],"")</f>
        <v>In Date</v>
      </c>
    </row>
    <row r="81" spans="1:16" x14ac:dyDescent="0.25">
      <c r="A81" s="1">
        <v>152</v>
      </c>
      <c r="B81" s="1" t="s">
        <v>117</v>
      </c>
      <c r="C81" s="1" t="s">
        <v>118</v>
      </c>
      <c r="D81" s="1" t="s">
        <v>119</v>
      </c>
      <c r="E81" s="1" t="s">
        <v>121</v>
      </c>
      <c r="F81" s="1" t="s">
        <v>65</v>
      </c>
      <c r="G81" s="1" t="s">
        <v>16</v>
      </c>
      <c r="H81" s="1" t="s">
        <v>120</v>
      </c>
      <c r="I81" s="1" t="s">
        <v>60</v>
      </c>
      <c r="J81" s="1" t="s">
        <v>67</v>
      </c>
      <c r="K81" s="1" t="s">
        <v>68</v>
      </c>
      <c r="L81" s="3">
        <v>47869</v>
      </c>
      <c r="M81" s="3">
        <v>46044</v>
      </c>
      <c r="N81">
        <f>_xlfn.XLOOKUP(Data[[#This Row],[Status]],Compliance_Status[Status from OPMS],Compliance_Status[Status_Key],"")</f>
        <v>4</v>
      </c>
      <c r="O81">
        <f>_xlfn.XLOOKUP(Data[[#This Row],[Status]],Compliance_Status[Status from OPMS],Compliance_Status[Has Course booking],"")</f>
        <v>0</v>
      </c>
      <c r="P81" t="str">
        <f>_xlfn.XLOOKUP(Data[[#This Row],[StatusKey]],Status_Key[Status_Key],Status_Key[Name],"")</f>
        <v>In Date</v>
      </c>
    </row>
    <row r="82" spans="1:16" x14ac:dyDescent="0.25">
      <c r="A82" s="1">
        <v>152</v>
      </c>
      <c r="B82" s="1" t="s">
        <v>117</v>
      </c>
      <c r="C82" s="1" t="s">
        <v>118</v>
      </c>
      <c r="D82" s="1" t="s">
        <v>119</v>
      </c>
      <c r="E82" s="1" t="s">
        <v>69</v>
      </c>
      <c r="F82" s="1" t="s">
        <v>65</v>
      </c>
      <c r="G82" s="1" t="s">
        <v>16</v>
      </c>
      <c r="H82" s="1" t="s">
        <v>120</v>
      </c>
      <c r="I82" s="1" t="s">
        <v>60</v>
      </c>
      <c r="J82" s="1"/>
      <c r="K82" s="1" t="s">
        <v>68</v>
      </c>
      <c r="L82" s="3">
        <v>46743</v>
      </c>
      <c r="M82" s="3">
        <v>44918</v>
      </c>
      <c r="N82">
        <f>_xlfn.XLOOKUP(Data[[#This Row],[Status]],Compliance_Status[Status from OPMS],Compliance_Status[Status_Key],"")</f>
        <v>4</v>
      </c>
      <c r="O82">
        <f>_xlfn.XLOOKUP(Data[[#This Row],[Status]],Compliance_Status[Status from OPMS],Compliance_Status[Has Course booking],"")</f>
        <v>0</v>
      </c>
      <c r="P82" t="str">
        <f>_xlfn.XLOOKUP(Data[[#This Row],[StatusKey]],Status_Key[Status_Key],Status_Key[Name],"")</f>
        <v>In Date</v>
      </c>
    </row>
    <row r="83" spans="1:16" x14ac:dyDescent="0.25">
      <c r="A83" s="1">
        <v>152</v>
      </c>
      <c r="B83" s="1" t="s">
        <v>117</v>
      </c>
      <c r="C83" s="1" t="s">
        <v>118</v>
      </c>
      <c r="D83" s="1" t="s">
        <v>119</v>
      </c>
      <c r="E83" s="1" t="s">
        <v>70</v>
      </c>
      <c r="F83" s="1" t="s">
        <v>65</v>
      </c>
      <c r="G83" s="1" t="s">
        <v>16</v>
      </c>
      <c r="H83" s="1" t="s">
        <v>120</v>
      </c>
      <c r="I83" s="1" t="s">
        <v>60</v>
      </c>
      <c r="J83" s="1" t="s">
        <v>67</v>
      </c>
      <c r="K83" s="1" t="s">
        <v>68</v>
      </c>
      <c r="L83" s="3">
        <v>47877</v>
      </c>
      <c r="M83" s="3">
        <v>46127</v>
      </c>
      <c r="N83">
        <f>_xlfn.XLOOKUP(Data[[#This Row],[Status]],Compliance_Status[Status from OPMS],Compliance_Status[Status_Key],"")</f>
        <v>4</v>
      </c>
      <c r="O83">
        <f>_xlfn.XLOOKUP(Data[[#This Row],[Status]],Compliance_Status[Status from OPMS],Compliance_Status[Has Course booking],"")</f>
        <v>0</v>
      </c>
      <c r="P83" t="str">
        <f>_xlfn.XLOOKUP(Data[[#This Row],[StatusKey]],Status_Key[Status_Key],Status_Key[Name],"")</f>
        <v>In Date</v>
      </c>
    </row>
    <row r="84" spans="1:16" x14ac:dyDescent="0.25">
      <c r="A84" s="1">
        <v>152</v>
      </c>
      <c r="B84" s="1" t="s">
        <v>117</v>
      </c>
      <c r="C84" s="1" t="s">
        <v>118</v>
      </c>
      <c r="D84" s="1" t="s">
        <v>119</v>
      </c>
      <c r="E84" s="1" t="s">
        <v>71</v>
      </c>
      <c r="F84" s="1" t="s">
        <v>72</v>
      </c>
      <c r="G84" s="1" t="s">
        <v>16</v>
      </c>
      <c r="H84" s="1" t="s">
        <v>120</v>
      </c>
      <c r="I84" s="1" t="s">
        <v>60</v>
      </c>
      <c r="J84" s="1"/>
      <c r="K84" s="1" t="s">
        <v>68</v>
      </c>
      <c r="L84" s="3">
        <v>47408</v>
      </c>
      <c r="M84" s="3">
        <v>45582</v>
      </c>
      <c r="N84">
        <f>_xlfn.XLOOKUP(Data[[#This Row],[Status]],Compliance_Status[Status from OPMS],Compliance_Status[Status_Key],"")</f>
        <v>4</v>
      </c>
      <c r="O84">
        <f>_xlfn.XLOOKUP(Data[[#This Row],[Status]],Compliance_Status[Status from OPMS],Compliance_Status[Has Course booking],"")</f>
        <v>0</v>
      </c>
      <c r="P84" t="str">
        <f>_xlfn.XLOOKUP(Data[[#This Row],[StatusKey]],Status_Key[Status_Key],Status_Key[Name],"")</f>
        <v>In Date</v>
      </c>
    </row>
    <row r="85" spans="1:16" x14ac:dyDescent="0.25">
      <c r="A85" s="1">
        <v>152</v>
      </c>
      <c r="B85" s="1" t="s">
        <v>117</v>
      </c>
      <c r="C85" s="1" t="s">
        <v>118</v>
      </c>
      <c r="D85" s="1" t="s">
        <v>119</v>
      </c>
      <c r="E85" s="1" t="s">
        <v>73</v>
      </c>
      <c r="F85" s="1" t="s">
        <v>65</v>
      </c>
      <c r="G85" s="1" t="s">
        <v>16</v>
      </c>
      <c r="H85" s="1" t="s">
        <v>120</v>
      </c>
      <c r="I85" s="1" t="s">
        <v>60</v>
      </c>
      <c r="J85" s="1" t="s">
        <v>67</v>
      </c>
      <c r="K85" s="1" t="s">
        <v>68</v>
      </c>
      <c r="L85" s="3">
        <v>46823</v>
      </c>
      <c r="M85" s="3">
        <v>46093</v>
      </c>
      <c r="N85">
        <f>_xlfn.XLOOKUP(Data[[#This Row],[Status]],Compliance_Status[Status from OPMS],Compliance_Status[Status_Key],"")</f>
        <v>4</v>
      </c>
      <c r="O85">
        <f>_xlfn.XLOOKUP(Data[[#This Row],[Status]],Compliance_Status[Status from OPMS],Compliance_Status[Has Course booking],"")</f>
        <v>0</v>
      </c>
      <c r="P85" t="str">
        <f>_xlfn.XLOOKUP(Data[[#This Row],[StatusKey]],Status_Key[Status_Key],Status_Key[Name],"")</f>
        <v>In Date</v>
      </c>
    </row>
    <row r="86" spans="1:16" x14ac:dyDescent="0.25">
      <c r="A86" s="1">
        <v>152</v>
      </c>
      <c r="B86" s="1" t="s">
        <v>117</v>
      </c>
      <c r="C86" s="1" t="s">
        <v>118</v>
      </c>
      <c r="D86" s="1" t="s">
        <v>119</v>
      </c>
      <c r="E86" s="1" t="s">
        <v>74</v>
      </c>
      <c r="F86" s="1" t="s">
        <v>65</v>
      </c>
      <c r="G86" s="1" t="s">
        <v>16</v>
      </c>
      <c r="H86" s="1" t="s">
        <v>120</v>
      </c>
      <c r="I86" s="1" t="s">
        <v>60</v>
      </c>
      <c r="J86" s="1" t="s">
        <v>67</v>
      </c>
      <c r="K86" s="1" t="s">
        <v>68</v>
      </c>
      <c r="L86" s="3">
        <v>46510</v>
      </c>
      <c r="M86" s="3">
        <v>45415</v>
      </c>
      <c r="N86">
        <f>_xlfn.XLOOKUP(Data[[#This Row],[Status]],Compliance_Status[Status from OPMS],Compliance_Status[Status_Key],"")</f>
        <v>4</v>
      </c>
      <c r="O86">
        <f>_xlfn.XLOOKUP(Data[[#This Row],[Status]],Compliance_Status[Status from OPMS],Compliance_Status[Has Course booking],"")</f>
        <v>0</v>
      </c>
      <c r="P86" t="str">
        <f>_xlfn.XLOOKUP(Data[[#This Row],[StatusKey]],Status_Key[Status_Key],Status_Key[Name],"")</f>
        <v>In Date</v>
      </c>
    </row>
    <row r="87" spans="1:16" x14ac:dyDescent="0.25">
      <c r="A87" s="1">
        <v>152</v>
      </c>
      <c r="B87" s="1" t="s">
        <v>117</v>
      </c>
      <c r="C87" s="1" t="s">
        <v>118</v>
      </c>
      <c r="D87" s="1" t="s">
        <v>119</v>
      </c>
      <c r="E87" s="1" t="s">
        <v>75</v>
      </c>
      <c r="F87" s="1" t="s">
        <v>72</v>
      </c>
      <c r="G87" s="1" t="s">
        <v>16</v>
      </c>
      <c r="H87" s="1" t="s">
        <v>120</v>
      </c>
      <c r="I87" s="1" t="s">
        <v>60</v>
      </c>
      <c r="J87" s="1" t="s">
        <v>67</v>
      </c>
      <c r="K87" s="1" t="s">
        <v>68</v>
      </c>
      <c r="L87" s="3">
        <v>46513</v>
      </c>
      <c r="M87" s="3">
        <v>46148</v>
      </c>
      <c r="N87">
        <f>_xlfn.XLOOKUP(Data[[#This Row],[Status]],Compliance_Status[Status from OPMS],Compliance_Status[Status_Key],"")</f>
        <v>4</v>
      </c>
      <c r="O87">
        <f>_xlfn.XLOOKUP(Data[[#This Row],[Status]],Compliance_Status[Status from OPMS],Compliance_Status[Has Course booking],"")</f>
        <v>0</v>
      </c>
      <c r="P87" t="str">
        <f>_xlfn.XLOOKUP(Data[[#This Row],[StatusKey]],Status_Key[Status_Key],Status_Key[Name],"")</f>
        <v>In Date</v>
      </c>
    </row>
    <row r="88" spans="1:16" x14ac:dyDescent="0.25">
      <c r="A88" s="1">
        <v>152</v>
      </c>
      <c r="B88" s="1" t="s">
        <v>117</v>
      </c>
      <c r="C88" s="1" t="s">
        <v>118</v>
      </c>
      <c r="D88" s="1" t="s">
        <v>119</v>
      </c>
      <c r="E88" s="1" t="s">
        <v>76</v>
      </c>
      <c r="F88" s="1" t="s">
        <v>65</v>
      </c>
      <c r="G88" s="1" t="s">
        <v>16</v>
      </c>
      <c r="H88" s="1" t="s">
        <v>120</v>
      </c>
      <c r="I88" s="1" t="s">
        <v>60</v>
      </c>
      <c r="J88" s="1" t="s">
        <v>67</v>
      </c>
      <c r="K88" s="1" t="s">
        <v>77</v>
      </c>
      <c r="L88" s="3">
        <v>47118</v>
      </c>
      <c r="M88" s="3">
        <v>45657</v>
      </c>
      <c r="N88">
        <f>_xlfn.XLOOKUP(Data[[#This Row],[Status]],Compliance_Status[Status from OPMS],Compliance_Status[Status_Key],"")</f>
        <v>4</v>
      </c>
      <c r="O88">
        <f>_xlfn.XLOOKUP(Data[[#This Row],[Status]],Compliance_Status[Status from OPMS],Compliance_Status[Has Course booking],"")</f>
        <v>0</v>
      </c>
      <c r="P88" t="str">
        <f>_xlfn.XLOOKUP(Data[[#This Row],[StatusKey]],Status_Key[Status_Key],Status_Key[Name],"")</f>
        <v>In Date</v>
      </c>
    </row>
    <row r="89" spans="1:16" x14ac:dyDescent="0.25">
      <c r="A89" s="1">
        <v>152</v>
      </c>
      <c r="B89" s="1" t="s">
        <v>117</v>
      </c>
      <c r="C89" s="1" t="s">
        <v>118</v>
      </c>
      <c r="D89" s="1" t="s">
        <v>119</v>
      </c>
      <c r="E89" s="1" t="s">
        <v>78</v>
      </c>
      <c r="F89" s="1" t="s">
        <v>65</v>
      </c>
      <c r="G89" s="1" t="s">
        <v>16</v>
      </c>
      <c r="H89" s="1" t="s">
        <v>120</v>
      </c>
      <c r="I89" s="1" t="s">
        <v>60</v>
      </c>
      <c r="J89" s="1" t="s">
        <v>67</v>
      </c>
      <c r="K89" s="1" t="s">
        <v>77</v>
      </c>
      <c r="L89" s="3" t="s">
        <v>79</v>
      </c>
      <c r="M89" s="3">
        <v>42939</v>
      </c>
      <c r="N89">
        <f>_xlfn.XLOOKUP(Data[[#This Row],[Status]],Compliance_Status[Status from OPMS],Compliance_Status[Status_Key],"")</f>
        <v>4</v>
      </c>
      <c r="O89">
        <f>_xlfn.XLOOKUP(Data[[#This Row],[Status]],Compliance_Status[Status from OPMS],Compliance_Status[Has Course booking],"")</f>
        <v>0</v>
      </c>
      <c r="P89" t="str">
        <f>_xlfn.XLOOKUP(Data[[#This Row],[StatusKey]],Status_Key[Status_Key],Status_Key[Name],"")</f>
        <v>In Date</v>
      </c>
    </row>
    <row r="90" spans="1:16" x14ac:dyDescent="0.25">
      <c r="A90" s="1">
        <v>152</v>
      </c>
      <c r="B90" s="1" t="s">
        <v>117</v>
      </c>
      <c r="C90" s="1" t="s">
        <v>118</v>
      </c>
      <c r="D90" s="1" t="s">
        <v>119</v>
      </c>
      <c r="E90" s="1" t="s">
        <v>80</v>
      </c>
      <c r="F90" s="1" t="s">
        <v>65</v>
      </c>
      <c r="G90" s="1" t="s">
        <v>16</v>
      </c>
      <c r="H90" s="1" t="s">
        <v>120</v>
      </c>
      <c r="I90" s="1" t="s">
        <v>60</v>
      </c>
      <c r="J90" s="1" t="s">
        <v>67</v>
      </c>
      <c r="K90" s="1" t="s">
        <v>77</v>
      </c>
      <c r="L90" s="3" t="s">
        <v>79</v>
      </c>
      <c r="M90" s="3">
        <v>45396</v>
      </c>
      <c r="N90">
        <f>_xlfn.XLOOKUP(Data[[#This Row],[Status]],Compliance_Status[Status from OPMS],Compliance_Status[Status_Key],"")</f>
        <v>4</v>
      </c>
      <c r="O90">
        <f>_xlfn.XLOOKUP(Data[[#This Row],[Status]],Compliance_Status[Status from OPMS],Compliance_Status[Has Course booking],"")</f>
        <v>0</v>
      </c>
      <c r="P90" t="str">
        <f>_xlfn.XLOOKUP(Data[[#This Row],[StatusKey]],Status_Key[Status_Key],Status_Key[Name],"")</f>
        <v>In Date</v>
      </c>
    </row>
    <row r="91" spans="1:16" x14ac:dyDescent="0.25">
      <c r="A91" s="1">
        <v>152</v>
      </c>
      <c r="B91" s="1" t="s">
        <v>117</v>
      </c>
      <c r="C91" s="1" t="s">
        <v>118</v>
      </c>
      <c r="D91" s="1" t="s">
        <v>119</v>
      </c>
      <c r="E91" s="1" t="s">
        <v>81</v>
      </c>
      <c r="F91" s="1" t="s">
        <v>65</v>
      </c>
      <c r="G91" s="1" t="s">
        <v>16</v>
      </c>
      <c r="H91" s="1" t="s">
        <v>120</v>
      </c>
      <c r="I91" s="1" t="s">
        <v>60</v>
      </c>
      <c r="J91" s="1" t="s">
        <v>67</v>
      </c>
      <c r="K91" s="1" t="s">
        <v>77</v>
      </c>
      <c r="L91" s="3">
        <v>46743</v>
      </c>
      <c r="M91" s="3">
        <v>46013</v>
      </c>
      <c r="N91">
        <f>_xlfn.XLOOKUP(Data[[#This Row],[Status]],Compliance_Status[Status from OPMS],Compliance_Status[Status_Key],"")</f>
        <v>4</v>
      </c>
      <c r="O91">
        <f>_xlfn.XLOOKUP(Data[[#This Row],[Status]],Compliance_Status[Status from OPMS],Compliance_Status[Has Course booking],"")</f>
        <v>0</v>
      </c>
      <c r="P91" t="str">
        <f>_xlfn.XLOOKUP(Data[[#This Row],[StatusKey]],Status_Key[Status_Key],Status_Key[Name],"")</f>
        <v>In Date</v>
      </c>
    </row>
    <row r="92" spans="1:16" x14ac:dyDescent="0.25">
      <c r="A92" s="1">
        <v>152</v>
      </c>
      <c r="B92" s="1" t="s">
        <v>117</v>
      </c>
      <c r="C92" s="1" t="s">
        <v>118</v>
      </c>
      <c r="D92" s="1" t="s">
        <v>119</v>
      </c>
      <c r="E92" s="1" t="s">
        <v>82</v>
      </c>
      <c r="F92" s="1" t="s">
        <v>65</v>
      </c>
      <c r="G92" s="1" t="s">
        <v>16</v>
      </c>
      <c r="H92" s="1" t="s">
        <v>120</v>
      </c>
      <c r="I92" s="1" t="s">
        <v>60</v>
      </c>
      <c r="J92" s="1" t="s">
        <v>67</v>
      </c>
      <c r="K92" s="1" t="s">
        <v>83</v>
      </c>
      <c r="L92" s="3">
        <v>46743</v>
      </c>
      <c r="M92" s="3">
        <v>46013</v>
      </c>
      <c r="N92">
        <f>_xlfn.XLOOKUP(Data[[#This Row],[Status]],Compliance_Status[Status from OPMS],Compliance_Status[Status_Key],"")</f>
        <v>4</v>
      </c>
      <c r="O92">
        <f>_xlfn.XLOOKUP(Data[[#This Row],[Status]],Compliance_Status[Status from OPMS],Compliance_Status[Has Course booking],"")</f>
        <v>0</v>
      </c>
      <c r="P92" t="str">
        <f>_xlfn.XLOOKUP(Data[[#This Row],[StatusKey]],Status_Key[Status_Key],Status_Key[Name],"")</f>
        <v>In Date</v>
      </c>
    </row>
    <row r="93" spans="1:16" x14ac:dyDescent="0.25">
      <c r="A93" s="1">
        <v>152</v>
      </c>
      <c r="B93" s="1" t="s">
        <v>117</v>
      </c>
      <c r="C93" s="1" t="s">
        <v>118</v>
      </c>
      <c r="D93" s="1" t="s">
        <v>119</v>
      </c>
      <c r="E93" s="1" t="s">
        <v>84</v>
      </c>
      <c r="F93" s="1" t="s">
        <v>65</v>
      </c>
      <c r="G93" s="1" t="s">
        <v>16</v>
      </c>
      <c r="H93" s="1" t="s">
        <v>120</v>
      </c>
      <c r="I93" s="1" t="s">
        <v>60</v>
      </c>
      <c r="J93" s="1" t="s">
        <v>67</v>
      </c>
      <c r="K93" s="1" t="s">
        <v>83</v>
      </c>
      <c r="L93" s="3">
        <v>46743</v>
      </c>
      <c r="M93" s="3">
        <v>46013</v>
      </c>
      <c r="N93">
        <f>_xlfn.XLOOKUP(Data[[#This Row],[Status]],Compliance_Status[Status from OPMS],Compliance_Status[Status_Key],"")</f>
        <v>4</v>
      </c>
      <c r="O93">
        <f>_xlfn.XLOOKUP(Data[[#This Row],[Status]],Compliance_Status[Status from OPMS],Compliance_Status[Has Course booking],"")</f>
        <v>0</v>
      </c>
      <c r="P93" t="str">
        <f>_xlfn.XLOOKUP(Data[[#This Row],[StatusKey]],Status_Key[Status_Key],Status_Key[Name],"")</f>
        <v>In Date</v>
      </c>
    </row>
    <row r="94" spans="1:16" x14ac:dyDescent="0.25">
      <c r="A94" s="1">
        <v>152</v>
      </c>
      <c r="B94" s="1" t="s">
        <v>117</v>
      </c>
      <c r="C94" s="1" t="s">
        <v>118</v>
      </c>
      <c r="D94" s="1" t="s">
        <v>119</v>
      </c>
      <c r="E94" s="1" t="s">
        <v>85</v>
      </c>
      <c r="F94" s="1"/>
      <c r="G94" s="1" t="s">
        <v>16</v>
      </c>
      <c r="H94" s="1" t="s">
        <v>120</v>
      </c>
      <c r="I94" s="1" t="s">
        <v>60</v>
      </c>
      <c r="J94" s="1" t="s">
        <v>67</v>
      </c>
      <c r="K94" s="1" t="s">
        <v>86</v>
      </c>
      <c r="L94" s="3" t="s">
        <v>79</v>
      </c>
      <c r="M94" s="3">
        <v>46182</v>
      </c>
      <c r="N94">
        <f>_xlfn.XLOOKUP(Data[[#This Row],[Status]],Compliance_Status[Status from OPMS],Compliance_Status[Status_Key],"")</f>
        <v>4</v>
      </c>
      <c r="O94">
        <f>_xlfn.XLOOKUP(Data[[#This Row],[Status]],Compliance_Status[Status from OPMS],Compliance_Status[Has Course booking],"")</f>
        <v>0</v>
      </c>
      <c r="P94" t="str">
        <f>_xlfn.XLOOKUP(Data[[#This Row],[StatusKey]],Status_Key[Status_Key],Status_Key[Name],"")</f>
        <v>In Date</v>
      </c>
    </row>
    <row r="95" spans="1:16" x14ac:dyDescent="0.25">
      <c r="A95" s="1">
        <v>152</v>
      </c>
      <c r="B95" s="1" t="s">
        <v>117</v>
      </c>
      <c r="C95" s="1" t="s">
        <v>118</v>
      </c>
      <c r="D95" s="1" t="s">
        <v>119</v>
      </c>
      <c r="E95" s="1" t="s">
        <v>87</v>
      </c>
      <c r="F95" s="1"/>
      <c r="G95" s="1" t="s">
        <v>16</v>
      </c>
      <c r="H95" s="1" t="s">
        <v>120</v>
      </c>
      <c r="I95" s="1" t="s">
        <v>60</v>
      </c>
      <c r="J95" s="1" t="s">
        <v>67</v>
      </c>
      <c r="K95" s="1" t="s">
        <v>86</v>
      </c>
      <c r="L95" s="3" t="s">
        <v>79</v>
      </c>
      <c r="M95" s="3">
        <v>46192</v>
      </c>
      <c r="N95">
        <f>_xlfn.XLOOKUP(Data[[#This Row],[Status]],Compliance_Status[Status from OPMS],Compliance_Status[Status_Key],"")</f>
        <v>4</v>
      </c>
      <c r="O95">
        <f>_xlfn.XLOOKUP(Data[[#This Row],[Status]],Compliance_Status[Status from OPMS],Compliance_Status[Has Course booking],"")</f>
        <v>0</v>
      </c>
      <c r="P95" t="str">
        <f>_xlfn.XLOOKUP(Data[[#This Row],[StatusKey]],Status_Key[Status_Key],Status_Key[Name],"")</f>
        <v>In Date</v>
      </c>
    </row>
    <row r="96" spans="1:16" x14ac:dyDescent="0.25">
      <c r="A96" s="1">
        <v>152</v>
      </c>
      <c r="B96" s="1" t="s">
        <v>117</v>
      </c>
      <c r="C96" s="1" t="s">
        <v>118</v>
      </c>
      <c r="D96" s="1" t="s">
        <v>119</v>
      </c>
      <c r="E96" s="1" t="s">
        <v>88</v>
      </c>
      <c r="F96" s="1"/>
      <c r="G96" s="1" t="s">
        <v>16</v>
      </c>
      <c r="H96" s="1" t="s">
        <v>120</v>
      </c>
      <c r="I96" s="1" t="s">
        <v>60</v>
      </c>
      <c r="J96" s="1" t="s">
        <v>67</v>
      </c>
      <c r="K96" s="1" t="s">
        <v>86</v>
      </c>
      <c r="L96" s="3" t="s">
        <v>79</v>
      </c>
      <c r="M96" s="3">
        <v>46199</v>
      </c>
      <c r="N96">
        <f>_xlfn.XLOOKUP(Data[[#This Row],[Status]],Compliance_Status[Status from OPMS],Compliance_Status[Status_Key],"")</f>
        <v>4</v>
      </c>
      <c r="O96">
        <f>_xlfn.XLOOKUP(Data[[#This Row],[Status]],Compliance_Status[Status from OPMS],Compliance_Status[Has Course booking],"")</f>
        <v>0</v>
      </c>
      <c r="P96" t="str">
        <f>_xlfn.XLOOKUP(Data[[#This Row],[StatusKey]],Status_Key[Status_Key],Status_Key[Name],"")</f>
        <v>In Date</v>
      </c>
    </row>
    <row r="97" spans="1:16" x14ac:dyDescent="0.25">
      <c r="A97" s="1">
        <v>152</v>
      </c>
      <c r="B97" s="1" t="s">
        <v>117</v>
      </c>
      <c r="C97" s="1" t="s">
        <v>118</v>
      </c>
      <c r="D97" s="1" t="s">
        <v>119</v>
      </c>
      <c r="E97" s="1" t="s">
        <v>91</v>
      </c>
      <c r="F97" s="1" t="s">
        <v>65</v>
      </c>
      <c r="G97" s="1" t="s">
        <v>16</v>
      </c>
      <c r="H97" s="1" t="s">
        <v>120</v>
      </c>
      <c r="I97" s="1" t="s">
        <v>60</v>
      </c>
      <c r="J97" s="1" t="s">
        <v>67</v>
      </c>
      <c r="K97" s="1" t="s">
        <v>86</v>
      </c>
      <c r="L97" s="3" t="s">
        <v>79</v>
      </c>
      <c r="M97" s="3">
        <v>45950</v>
      </c>
      <c r="N97">
        <f>_xlfn.XLOOKUP(Data[[#This Row],[Status]],Compliance_Status[Status from OPMS],Compliance_Status[Status_Key],"")</f>
        <v>4</v>
      </c>
      <c r="O97">
        <f>_xlfn.XLOOKUP(Data[[#This Row],[Status]],Compliance_Status[Status from OPMS],Compliance_Status[Has Course booking],"")</f>
        <v>0</v>
      </c>
      <c r="P97" t="str">
        <f>_xlfn.XLOOKUP(Data[[#This Row],[StatusKey]],Status_Key[Status_Key],Status_Key[Name],"")</f>
        <v>In Date</v>
      </c>
    </row>
    <row r="98" spans="1:16" x14ac:dyDescent="0.25">
      <c r="A98" s="1">
        <v>152</v>
      </c>
      <c r="B98" s="1" t="s">
        <v>117</v>
      </c>
      <c r="C98" s="1" t="s">
        <v>118</v>
      </c>
      <c r="D98" s="1" t="s">
        <v>119</v>
      </c>
      <c r="E98" s="1" t="s">
        <v>93</v>
      </c>
      <c r="F98" s="1" t="s">
        <v>65</v>
      </c>
      <c r="G98" s="1" t="s">
        <v>16</v>
      </c>
      <c r="H98" s="1" t="s">
        <v>120</v>
      </c>
      <c r="I98" s="1" t="s">
        <v>60</v>
      </c>
      <c r="J98" s="1" t="s">
        <v>67</v>
      </c>
      <c r="K98" s="1" t="s">
        <v>94</v>
      </c>
      <c r="L98" s="3">
        <v>46685</v>
      </c>
      <c r="M98" s="3">
        <v>45955</v>
      </c>
      <c r="N98">
        <f>_xlfn.XLOOKUP(Data[[#This Row],[Status]],Compliance_Status[Status from OPMS],Compliance_Status[Status_Key],"")</f>
        <v>4</v>
      </c>
      <c r="O98">
        <f>_xlfn.XLOOKUP(Data[[#This Row],[Status]],Compliance_Status[Status from OPMS],Compliance_Status[Has Course booking],"")</f>
        <v>0</v>
      </c>
      <c r="P98" t="str">
        <f>_xlfn.XLOOKUP(Data[[#This Row],[StatusKey]],Status_Key[Status_Key],Status_Key[Name],"")</f>
        <v>In Date</v>
      </c>
    </row>
    <row r="99" spans="1:16" x14ac:dyDescent="0.25">
      <c r="A99" s="1">
        <v>152</v>
      </c>
      <c r="B99" s="1" t="s">
        <v>117</v>
      </c>
      <c r="C99" s="1" t="s">
        <v>118</v>
      </c>
      <c r="D99" s="1" t="s">
        <v>119</v>
      </c>
      <c r="E99" s="1" t="s">
        <v>95</v>
      </c>
      <c r="F99" s="1" t="s">
        <v>65</v>
      </c>
      <c r="G99" s="1" t="s">
        <v>16</v>
      </c>
      <c r="H99" s="1" t="s">
        <v>120</v>
      </c>
      <c r="I99" s="1" t="s">
        <v>60</v>
      </c>
      <c r="J99" s="1" t="s">
        <v>67</v>
      </c>
      <c r="K99" s="1" t="s">
        <v>94</v>
      </c>
      <c r="L99" s="3">
        <v>46685</v>
      </c>
      <c r="M99" s="3">
        <v>45955</v>
      </c>
      <c r="N99">
        <f>_xlfn.XLOOKUP(Data[[#This Row],[Status]],Compliance_Status[Status from OPMS],Compliance_Status[Status_Key],"")</f>
        <v>4</v>
      </c>
      <c r="O99">
        <f>_xlfn.XLOOKUP(Data[[#This Row],[Status]],Compliance_Status[Status from OPMS],Compliance_Status[Has Course booking],"")</f>
        <v>0</v>
      </c>
      <c r="P99" t="str">
        <f>_xlfn.XLOOKUP(Data[[#This Row],[StatusKey]],Status_Key[Status_Key],Status_Key[Name],"")</f>
        <v>In Date</v>
      </c>
    </row>
    <row r="100" spans="1:16" x14ac:dyDescent="0.25">
      <c r="A100" s="1">
        <v>152</v>
      </c>
      <c r="B100" s="1" t="s">
        <v>117</v>
      </c>
      <c r="C100" s="1" t="s">
        <v>118</v>
      </c>
      <c r="D100" s="1" t="s">
        <v>119</v>
      </c>
      <c r="E100" s="1" t="s">
        <v>96</v>
      </c>
      <c r="F100" s="1" t="s">
        <v>65</v>
      </c>
      <c r="G100" s="1" t="s">
        <v>16</v>
      </c>
      <c r="H100" s="1" t="s">
        <v>120</v>
      </c>
      <c r="I100" s="1" t="s">
        <v>60</v>
      </c>
      <c r="J100" s="1" t="s">
        <v>67</v>
      </c>
      <c r="K100" s="1" t="s">
        <v>94</v>
      </c>
      <c r="L100" s="3" t="s">
        <v>79</v>
      </c>
      <c r="M100" s="3">
        <v>45444</v>
      </c>
      <c r="N100">
        <f>_xlfn.XLOOKUP(Data[[#This Row],[Status]],Compliance_Status[Status from OPMS],Compliance_Status[Status_Key],"")</f>
        <v>4</v>
      </c>
      <c r="O100">
        <f>_xlfn.XLOOKUP(Data[[#This Row],[Status]],Compliance_Status[Status from OPMS],Compliance_Status[Has Course booking],"")</f>
        <v>0</v>
      </c>
      <c r="P100" t="str">
        <f>_xlfn.XLOOKUP(Data[[#This Row],[StatusKey]],Status_Key[Status_Key],Status_Key[Name],"")</f>
        <v>In Date</v>
      </c>
    </row>
    <row r="101" spans="1:16" x14ac:dyDescent="0.25">
      <c r="A101" s="1">
        <v>152</v>
      </c>
      <c r="B101" s="1" t="s">
        <v>117</v>
      </c>
      <c r="C101" s="1" t="s">
        <v>118</v>
      </c>
      <c r="D101" s="1" t="s">
        <v>119</v>
      </c>
      <c r="E101" s="1" t="s">
        <v>122</v>
      </c>
      <c r="F101" s="1"/>
      <c r="G101" s="1" t="s">
        <v>25</v>
      </c>
      <c r="H101" s="1" t="s">
        <v>120</v>
      </c>
      <c r="I101" s="1" t="s">
        <v>60</v>
      </c>
      <c r="J101" s="1" t="s">
        <v>123</v>
      </c>
      <c r="K101" s="1" t="s">
        <v>94</v>
      </c>
      <c r="L101" s="3">
        <v>46010</v>
      </c>
      <c r="M101" s="3">
        <v>46010</v>
      </c>
      <c r="N101">
        <f>_xlfn.XLOOKUP(Data[[#This Row],[Status]],Compliance_Status[Status from OPMS],Compliance_Status[Status_Key],"")</f>
        <v>1</v>
      </c>
      <c r="O101">
        <f>_xlfn.XLOOKUP(Data[[#This Row],[Status]],Compliance_Status[Status from OPMS],Compliance_Status[Has Course booking],"")</f>
        <v>0</v>
      </c>
      <c r="P101" t="str">
        <f>_xlfn.XLOOKUP(Data[[#This Row],[StatusKey]],Status_Key[Status_Key],Status_Key[Name],"")</f>
        <v>Expired</v>
      </c>
    </row>
    <row r="102" spans="1:16" x14ac:dyDescent="0.25">
      <c r="A102" s="1">
        <v>152</v>
      </c>
      <c r="B102" s="1" t="s">
        <v>117</v>
      </c>
      <c r="C102" s="1" t="s">
        <v>118</v>
      </c>
      <c r="D102" s="1" t="s">
        <v>119</v>
      </c>
      <c r="E102" s="1" t="s">
        <v>124</v>
      </c>
      <c r="F102" s="1" t="s">
        <v>72</v>
      </c>
      <c r="G102" s="1" t="s">
        <v>18</v>
      </c>
      <c r="H102" s="1" t="s">
        <v>120</v>
      </c>
      <c r="I102" s="1" t="s">
        <v>60</v>
      </c>
      <c r="J102" s="1"/>
      <c r="K102" s="1" t="s">
        <v>125</v>
      </c>
      <c r="L102" s="3"/>
      <c r="M102" s="3"/>
      <c r="N102">
        <f>_xlfn.XLOOKUP(Data[[#This Row],[Status]],Compliance_Status[Status from OPMS],Compliance_Status[Status_Key],"")</f>
        <v>2</v>
      </c>
      <c r="O102">
        <f>_xlfn.XLOOKUP(Data[[#This Row],[Status]],Compliance_Status[Status from OPMS],Compliance_Status[Has Course booking],"")</f>
        <v>0</v>
      </c>
      <c r="P102" t="str">
        <f>_xlfn.XLOOKUP(Data[[#This Row],[StatusKey]],Status_Key[Status_Key],Status_Key[Name],"")</f>
        <v>Outstanding</v>
      </c>
    </row>
    <row r="103" spans="1:16" x14ac:dyDescent="0.25">
      <c r="A103" s="1">
        <v>152</v>
      </c>
      <c r="B103" s="1" t="s">
        <v>117</v>
      </c>
      <c r="C103" s="1" t="s">
        <v>118</v>
      </c>
      <c r="D103" s="1" t="s">
        <v>119</v>
      </c>
      <c r="E103" s="1" t="s">
        <v>97</v>
      </c>
      <c r="F103" s="1" t="s">
        <v>65</v>
      </c>
      <c r="G103" s="1" t="s">
        <v>16</v>
      </c>
      <c r="H103" s="1" t="s">
        <v>120</v>
      </c>
      <c r="I103" s="1" t="s">
        <v>60</v>
      </c>
      <c r="J103" s="1" t="s">
        <v>67</v>
      </c>
      <c r="K103" s="1" t="s">
        <v>98</v>
      </c>
      <c r="L103" s="3">
        <v>47246</v>
      </c>
      <c r="M103" s="3">
        <v>45420</v>
      </c>
      <c r="N103">
        <f>_xlfn.XLOOKUP(Data[[#This Row],[Status]],Compliance_Status[Status from OPMS],Compliance_Status[Status_Key],"")</f>
        <v>4</v>
      </c>
      <c r="O103">
        <f>_xlfn.XLOOKUP(Data[[#This Row],[Status]],Compliance_Status[Status from OPMS],Compliance_Status[Has Course booking],"")</f>
        <v>0</v>
      </c>
      <c r="P103" t="str">
        <f>_xlfn.XLOOKUP(Data[[#This Row],[StatusKey]],Status_Key[Status_Key],Status_Key[Name],"")</f>
        <v>In Date</v>
      </c>
    </row>
    <row r="104" spans="1:16" x14ac:dyDescent="0.25">
      <c r="A104" s="1">
        <v>152</v>
      </c>
      <c r="B104" s="1" t="s">
        <v>117</v>
      </c>
      <c r="C104" s="1" t="s">
        <v>118</v>
      </c>
      <c r="D104" s="1" t="s">
        <v>119</v>
      </c>
      <c r="E104" s="1" t="s">
        <v>101</v>
      </c>
      <c r="F104" s="1" t="s">
        <v>65</v>
      </c>
      <c r="G104" s="1" t="s">
        <v>16</v>
      </c>
      <c r="H104" s="1" t="s">
        <v>120</v>
      </c>
      <c r="I104" s="1" t="s">
        <v>60</v>
      </c>
      <c r="J104" s="1" t="s">
        <v>67</v>
      </c>
      <c r="K104" s="1" t="s">
        <v>102</v>
      </c>
      <c r="L104" s="3" t="s">
        <v>79</v>
      </c>
      <c r="M104" s="3">
        <v>45431</v>
      </c>
      <c r="N104">
        <f>_xlfn.XLOOKUP(Data[[#This Row],[Status]],Compliance_Status[Status from OPMS],Compliance_Status[Status_Key],"")</f>
        <v>4</v>
      </c>
      <c r="O104">
        <f>_xlfn.XLOOKUP(Data[[#This Row],[Status]],Compliance_Status[Status from OPMS],Compliance_Status[Has Course booking],"")</f>
        <v>0</v>
      </c>
      <c r="P104" t="str">
        <f>_xlfn.XLOOKUP(Data[[#This Row],[StatusKey]],Status_Key[Status_Key],Status_Key[Name],"")</f>
        <v>In Date</v>
      </c>
    </row>
    <row r="105" spans="1:16" x14ac:dyDescent="0.25">
      <c r="A105" s="1">
        <v>152</v>
      </c>
      <c r="B105" s="1" t="s">
        <v>117</v>
      </c>
      <c r="C105" s="1" t="s">
        <v>118</v>
      </c>
      <c r="D105" s="1" t="s">
        <v>119</v>
      </c>
      <c r="E105" s="1" t="s">
        <v>103</v>
      </c>
      <c r="F105" s="1" t="s">
        <v>65</v>
      </c>
      <c r="G105" s="1" t="s">
        <v>16</v>
      </c>
      <c r="H105" s="1" t="s">
        <v>120</v>
      </c>
      <c r="I105" s="1" t="s">
        <v>60</v>
      </c>
      <c r="J105" s="1" t="s">
        <v>67</v>
      </c>
      <c r="K105" s="1" t="s">
        <v>102</v>
      </c>
      <c r="L105" s="3">
        <v>46493</v>
      </c>
      <c r="M105" s="3">
        <v>45763</v>
      </c>
      <c r="N105">
        <f>_xlfn.XLOOKUP(Data[[#This Row],[Status]],Compliance_Status[Status from OPMS],Compliance_Status[Status_Key],"")</f>
        <v>4</v>
      </c>
      <c r="O105">
        <f>_xlfn.XLOOKUP(Data[[#This Row],[Status]],Compliance_Status[Status from OPMS],Compliance_Status[Has Course booking],"")</f>
        <v>0</v>
      </c>
      <c r="P105" t="str">
        <f>_xlfn.XLOOKUP(Data[[#This Row],[StatusKey]],Status_Key[Status_Key],Status_Key[Name],"")</f>
        <v>In Date</v>
      </c>
    </row>
    <row r="106" spans="1:16" x14ac:dyDescent="0.25">
      <c r="A106" s="1">
        <v>152</v>
      </c>
      <c r="B106" s="1" t="s">
        <v>117</v>
      </c>
      <c r="C106" s="1" t="s">
        <v>118</v>
      </c>
      <c r="D106" s="1" t="s">
        <v>119</v>
      </c>
      <c r="E106" s="1" t="s">
        <v>104</v>
      </c>
      <c r="F106" s="1" t="s">
        <v>65</v>
      </c>
      <c r="G106" s="1" t="s">
        <v>16</v>
      </c>
      <c r="H106" s="1" t="s">
        <v>120</v>
      </c>
      <c r="I106" s="1" t="s">
        <v>60</v>
      </c>
      <c r="J106" s="1" t="s">
        <v>67</v>
      </c>
      <c r="K106" s="1" t="s">
        <v>105</v>
      </c>
      <c r="L106" s="3">
        <v>46873</v>
      </c>
      <c r="M106" s="3">
        <v>46142</v>
      </c>
      <c r="N106">
        <f>_xlfn.XLOOKUP(Data[[#This Row],[Status]],Compliance_Status[Status from OPMS],Compliance_Status[Status_Key],"")</f>
        <v>4</v>
      </c>
      <c r="O106">
        <f>_xlfn.XLOOKUP(Data[[#This Row],[Status]],Compliance_Status[Status from OPMS],Compliance_Status[Has Course booking],"")</f>
        <v>0</v>
      </c>
      <c r="P106" t="str">
        <f>_xlfn.XLOOKUP(Data[[#This Row],[StatusKey]],Status_Key[Status_Key],Status_Key[Name],"")</f>
        <v>In Date</v>
      </c>
    </row>
    <row r="107" spans="1:16" x14ac:dyDescent="0.25">
      <c r="A107" s="1">
        <v>152</v>
      </c>
      <c r="B107" s="1" t="s">
        <v>117</v>
      </c>
      <c r="C107" s="1" t="s">
        <v>118</v>
      </c>
      <c r="D107" s="1" t="s">
        <v>119</v>
      </c>
      <c r="E107" s="1" t="s">
        <v>106</v>
      </c>
      <c r="F107" s="1" t="s">
        <v>65</v>
      </c>
      <c r="G107" s="1" t="s">
        <v>16</v>
      </c>
      <c r="H107" s="1" t="s">
        <v>120</v>
      </c>
      <c r="I107" s="1" t="s">
        <v>60</v>
      </c>
      <c r="J107" s="1" t="s">
        <v>67</v>
      </c>
      <c r="K107" s="1" t="s">
        <v>105</v>
      </c>
      <c r="L107" s="3">
        <v>47246</v>
      </c>
      <c r="M107" s="3">
        <v>45420</v>
      </c>
      <c r="N107">
        <f>_xlfn.XLOOKUP(Data[[#This Row],[Status]],Compliance_Status[Status from OPMS],Compliance_Status[Status_Key],"")</f>
        <v>4</v>
      </c>
      <c r="O107">
        <f>_xlfn.XLOOKUP(Data[[#This Row],[Status]],Compliance_Status[Status from OPMS],Compliance_Status[Has Course booking],"")</f>
        <v>0</v>
      </c>
      <c r="P107" t="str">
        <f>_xlfn.XLOOKUP(Data[[#This Row],[StatusKey]],Status_Key[Status_Key],Status_Key[Name],"")</f>
        <v>In Date</v>
      </c>
    </row>
    <row r="108" spans="1:16" x14ac:dyDescent="0.25">
      <c r="A108" s="1">
        <v>152</v>
      </c>
      <c r="B108" s="1" t="s">
        <v>117</v>
      </c>
      <c r="C108" s="1" t="s">
        <v>118</v>
      </c>
      <c r="D108" s="1" t="s">
        <v>119</v>
      </c>
      <c r="E108" s="1" t="s">
        <v>107</v>
      </c>
      <c r="F108" s="1" t="s">
        <v>65</v>
      </c>
      <c r="G108" s="1" t="s">
        <v>16</v>
      </c>
      <c r="H108" s="1" t="s">
        <v>120</v>
      </c>
      <c r="I108" s="1" t="s">
        <v>60</v>
      </c>
      <c r="J108" s="1" t="s">
        <v>67</v>
      </c>
      <c r="K108" s="1" t="s">
        <v>105</v>
      </c>
      <c r="L108" s="3">
        <v>46515</v>
      </c>
      <c r="M108" s="3">
        <v>45420</v>
      </c>
      <c r="N108">
        <f>_xlfn.XLOOKUP(Data[[#This Row],[Status]],Compliance_Status[Status from OPMS],Compliance_Status[Status_Key],"")</f>
        <v>4</v>
      </c>
      <c r="O108">
        <f>_xlfn.XLOOKUP(Data[[#This Row],[Status]],Compliance_Status[Status from OPMS],Compliance_Status[Has Course booking],"")</f>
        <v>0</v>
      </c>
      <c r="P108" t="str">
        <f>_xlfn.XLOOKUP(Data[[#This Row],[StatusKey]],Status_Key[Status_Key],Status_Key[Name],"")</f>
        <v>In Date</v>
      </c>
    </row>
    <row r="109" spans="1:16" x14ac:dyDescent="0.25">
      <c r="A109" s="1">
        <v>152</v>
      </c>
      <c r="B109" s="1" t="s">
        <v>117</v>
      </c>
      <c r="C109" s="1" t="s">
        <v>118</v>
      </c>
      <c r="D109" s="1" t="s">
        <v>119</v>
      </c>
      <c r="E109" s="1" t="s">
        <v>108</v>
      </c>
      <c r="F109" s="1" t="s">
        <v>65</v>
      </c>
      <c r="G109" s="1" t="s">
        <v>16</v>
      </c>
      <c r="H109" s="1" t="s">
        <v>120</v>
      </c>
      <c r="I109" s="1" t="s">
        <v>60</v>
      </c>
      <c r="J109" s="1" t="s">
        <v>67</v>
      </c>
      <c r="K109" s="1" t="s">
        <v>105</v>
      </c>
      <c r="L109" s="3">
        <v>47326</v>
      </c>
      <c r="M109" s="3">
        <v>46230</v>
      </c>
      <c r="N109">
        <f>_xlfn.XLOOKUP(Data[[#This Row],[Status]],Compliance_Status[Status from OPMS],Compliance_Status[Status_Key],"")</f>
        <v>4</v>
      </c>
      <c r="O109">
        <f>_xlfn.XLOOKUP(Data[[#This Row],[Status]],Compliance_Status[Status from OPMS],Compliance_Status[Has Course booking],"")</f>
        <v>0</v>
      </c>
      <c r="P109" t="str">
        <f>_xlfn.XLOOKUP(Data[[#This Row],[StatusKey]],Status_Key[Status_Key],Status_Key[Name],"")</f>
        <v>In Date</v>
      </c>
    </row>
    <row r="110" spans="1:16" x14ac:dyDescent="0.25">
      <c r="A110" s="1">
        <v>152</v>
      </c>
      <c r="B110" s="1" t="s">
        <v>117</v>
      </c>
      <c r="C110" s="1" t="s">
        <v>118</v>
      </c>
      <c r="D110" s="1" t="s">
        <v>119</v>
      </c>
      <c r="E110" s="1" t="s">
        <v>109</v>
      </c>
      <c r="F110" s="1" t="s">
        <v>65</v>
      </c>
      <c r="G110" s="1" t="s">
        <v>16</v>
      </c>
      <c r="H110" s="1" t="s">
        <v>120</v>
      </c>
      <c r="I110" s="1" t="s">
        <v>60</v>
      </c>
      <c r="J110" s="1" t="s">
        <v>67</v>
      </c>
      <c r="K110" s="1" t="s">
        <v>105</v>
      </c>
      <c r="L110" s="3">
        <v>46843</v>
      </c>
      <c r="M110" s="3">
        <v>46112</v>
      </c>
      <c r="N110">
        <f>_xlfn.XLOOKUP(Data[[#This Row],[Status]],Compliance_Status[Status from OPMS],Compliance_Status[Status_Key],"")</f>
        <v>4</v>
      </c>
      <c r="O110">
        <f>_xlfn.XLOOKUP(Data[[#This Row],[Status]],Compliance_Status[Status from OPMS],Compliance_Status[Has Course booking],"")</f>
        <v>0</v>
      </c>
      <c r="P110" t="str">
        <f>_xlfn.XLOOKUP(Data[[#This Row],[StatusKey]],Status_Key[Status_Key],Status_Key[Name],"")</f>
        <v>In Date</v>
      </c>
    </row>
    <row r="111" spans="1:16" x14ac:dyDescent="0.25">
      <c r="A111" s="1">
        <v>152</v>
      </c>
      <c r="B111" s="1" t="s">
        <v>117</v>
      </c>
      <c r="C111" s="1" t="s">
        <v>118</v>
      </c>
      <c r="D111" s="1" t="s">
        <v>119</v>
      </c>
      <c r="E111" s="1" t="s">
        <v>110</v>
      </c>
      <c r="F111" s="1" t="s">
        <v>65</v>
      </c>
      <c r="G111" s="1" t="s">
        <v>16</v>
      </c>
      <c r="H111" s="1" t="s">
        <v>120</v>
      </c>
      <c r="I111" s="1" t="s">
        <v>60</v>
      </c>
      <c r="J111" s="1" t="s">
        <v>67</v>
      </c>
      <c r="K111" s="1" t="s">
        <v>105</v>
      </c>
      <c r="L111" s="3" t="s">
        <v>79</v>
      </c>
      <c r="M111" s="3">
        <v>45421</v>
      </c>
      <c r="N111">
        <f>_xlfn.XLOOKUP(Data[[#This Row],[Status]],Compliance_Status[Status from OPMS],Compliance_Status[Status_Key],"")</f>
        <v>4</v>
      </c>
      <c r="O111">
        <f>_xlfn.XLOOKUP(Data[[#This Row],[Status]],Compliance_Status[Status from OPMS],Compliance_Status[Has Course booking],"")</f>
        <v>0</v>
      </c>
      <c r="P111" t="str">
        <f>_xlfn.XLOOKUP(Data[[#This Row],[StatusKey]],Status_Key[Status_Key],Status_Key[Name],"")</f>
        <v>In Date</v>
      </c>
    </row>
    <row r="112" spans="1:16" x14ac:dyDescent="0.25">
      <c r="A112" s="1">
        <v>152</v>
      </c>
      <c r="B112" s="1" t="s">
        <v>117</v>
      </c>
      <c r="C112" s="1" t="s">
        <v>118</v>
      </c>
      <c r="D112" s="1" t="s">
        <v>119</v>
      </c>
      <c r="E112" s="1" t="s">
        <v>111</v>
      </c>
      <c r="F112" s="1" t="s">
        <v>65</v>
      </c>
      <c r="G112" s="1" t="s">
        <v>16</v>
      </c>
      <c r="H112" s="1" t="s">
        <v>120</v>
      </c>
      <c r="I112" s="1" t="s">
        <v>60</v>
      </c>
      <c r="J112" s="1" t="s">
        <v>67</v>
      </c>
      <c r="K112" s="1" t="s">
        <v>105</v>
      </c>
      <c r="L112" s="3">
        <v>46727</v>
      </c>
      <c r="M112" s="3">
        <v>45997</v>
      </c>
      <c r="N112">
        <f>_xlfn.XLOOKUP(Data[[#This Row],[Status]],Compliance_Status[Status from OPMS],Compliance_Status[Status_Key],"")</f>
        <v>4</v>
      </c>
      <c r="O112">
        <f>_xlfn.XLOOKUP(Data[[#This Row],[Status]],Compliance_Status[Status from OPMS],Compliance_Status[Has Course booking],"")</f>
        <v>0</v>
      </c>
      <c r="P112" t="str">
        <f>_xlfn.XLOOKUP(Data[[#This Row],[StatusKey]],Status_Key[Status_Key],Status_Key[Name],"")</f>
        <v>In Date</v>
      </c>
    </row>
    <row r="113" spans="1:16" x14ac:dyDescent="0.25">
      <c r="A113" s="1">
        <v>152</v>
      </c>
      <c r="B113" s="1" t="s">
        <v>117</v>
      </c>
      <c r="C113" s="1" t="s">
        <v>118</v>
      </c>
      <c r="D113" s="1" t="s">
        <v>119</v>
      </c>
      <c r="E113" s="1" t="s">
        <v>112</v>
      </c>
      <c r="F113" s="1" t="s">
        <v>65</v>
      </c>
      <c r="G113" s="1" t="s">
        <v>16</v>
      </c>
      <c r="H113" s="1" t="s">
        <v>120</v>
      </c>
      <c r="I113" s="1" t="s">
        <v>60</v>
      </c>
      <c r="J113" s="1" t="s">
        <v>67</v>
      </c>
      <c r="K113" s="1" t="s">
        <v>105</v>
      </c>
      <c r="L113" s="3">
        <v>46769</v>
      </c>
      <c r="M113" s="3">
        <v>46039</v>
      </c>
      <c r="N113">
        <f>_xlfn.XLOOKUP(Data[[#This Row],[Status]],Compliance_Status[Status from OPMS],Compliance_Status[Status_Key],"")</f>
        <v>4</v>
      </c>
      <c r="O113">
        <f>_xlfn.XLOOKUP(Data[[#This Row],[Status]],Compliance_Status[Status from OPMS],Compliance_Status[Has Course booking],"")</f>
        <v>0</v>
      </c>
      <c r="P113" t="str">
        <f>_xlfn.XLOOKUP(Data[[#This Row],[StatusKey]],Status_Key[Status_Key],Status_Key[Name],"")</f>
        <v>In Date</v>
      </c>
    </row>
    <row r="114" spans="1:16" x14ac:dyDescent="0.25">
      <c r="A114" s="1">
        <v>152</v>
      </c>
      <c r="B114" s="1" t="s">
        <v>117</v>
      </c>
      <c r="C114" s="1" t="s">
        <v>118</v>
      </c>
      <c r="D114" s="1" t="s">
        <v>119</v>
      </c>
      <c r="E114" s="1" t="s">
        <v>113</v>
      </c>
      <c r="F114" s="1" t="s">
        <v>65</v>
      </c>
      <c r="G114" s="1" t="s">
        <v>16</v>
      </c>
      <c r="H114" s="1" t="s">
        <v>120</v>
      </c>
      <c r="I114" s="1" t="s">
        <v>60</v>
      </c>
      <c r="J114" s="1" t="s">
        <v>67</v>
      </c>
      <c r="K114" s="1" t="s">
        <v>105</v>
      </c>
      <c r="L114" s="3">
        <v>46770</v>
      </c>
      <c r="M114" s="3">
        <v>46040</v>
      </c>
      <c r="N114">
        <f>_xlfn.XLOOKUP(Data[[#This Row],[Status]],Compliance_Status[Status from OPMS],Compliance_Status[Status_Key],"")</f>
        <v>4</v>
      </c>
      <c r="O114">
        <f>_xlfn.XLOOKUP(Data[[#This Row],[Status]],Compliance_Status[Status from OPMS],Compliance_Status[Has Course booking],"")</f>
        <v>0</v>
      </c>
      <c r="P114" t="str">
        <f>_xlfn.XLOOKUP(Data[[#This Row],[StatusKey]],Status_Key[Status_Key],Status_Key[Name],"")</f>
        <v>In Date</v>
      </c>
    </row>
    <row r="115" spans="1:16" x14ac:dyDescent="0.25">
      <c r="A115" s="1">
        <v>153</v>
      </c>
      <c r="B115" s="1" t="s">
        <v>126</v>
      </c>
      <c r="C115" s="1" t="s">
        <v>127</v>
      </c>
      <c r="D115" s="1" t="s">
        <v>128</v>
      </c>
      <c r="E115" s="1" t="s">
        <v>129</v>
      </c>
      <c r="F115" s="1" t="s">
        <v>65</v>
      </c>
      <c r="G115" s="1" t="s">
        <v>16</v>
      </c>
      <c r="H115" s="1" t="s">
        <v>130</v>
      </c>
      <c r="I115" s="1" t="s">
        <v>60</v>
      </c>
      <c r="J115" s="1" t="s">
        <v>67</v>
      </c>
      <c r="K115" s="1" t="s">
        <v>68</v>
      </c>
      <c r="L115" s="3">
        <v>47768</v>
      </c>
      <c r="M115" s="3">
        <v>45943</v>
      </c>
      <c r="N115">
        <f>_xlfn.XLOOKUP(Data[[#This Row],[Status]],Compliance_Status[Status from OPMS],Compliance_Status[Status_Key],"")</f>
        <v>4</v>
      </c>
      <c r="O115">
        <f>_xlfn.XLOOKUP(Data[[#This Row],[Status]],Compliance_Status[Status from OPMS],Compliance_Status[Has Course booking],"")</f>
        <v>0</v>
      </c>
      <c r="P115" t="str">
        <f>_xlfn.XLOOKUP(Data[[#This Row],[StatusKey]],Status_Key[Status_Key],Status_Key[Name],"")</f>
        <v>In Date</v>
      </c>
    </row>
    <row r="116" spans="1:16" x14ac:dyDescent="0.25">
      <c r="A116" s="1">
        <v>153</v>
      </c>
      <c r="B116" s="1" t="s">
        <v>126</v>
      </c>
      <c r="C116" s="1" t="s">
        <v>127</v>
      </c>
      <c r="D116" s="1" t="s">
        <v>128</v>
      </c>
      <c r="E116" s="1" t="s">
        <v>131</v>
      </c>
      <c r="F116" s="1" t="s">
        <v>65</v>
      </c>
      <c r="G116" s="1" t="s">
        <v>16</v>
      </c>
      <c r="H116" s="1" t="s">
        <v>130</v>
      </c>
      <c r="I116" s="1" t="s">
        <v>60</v>
      </c>
      <c r="J116" s="1" t="s">
        <v>67</v>
      </c>
      <c r="K116" s="1" t="s">
        <v>68</v>
      </c>
      <c r="L116" s="3">
        <v>48068</v>
      </c>
      <c r="M116" s="3">
        <v>46142</v>
      </c>
      <c r="N116">
        <f>_xlfn.XLOOKUP(Data[[#This Row],[Status]],Compliance_Status[Status from OPMS],Compliance_Status[Status_Key],"")</f>
        <v>4</v>
      </c>
      <c r="O116">
        <f>_xlfn.XLOOKUP(Data[[#This Row],[Status]],Compliance_Status[Status from OPMS],Compliance_Status[Has Course booking],"")</f>
        <v>0</v>
      </c>
      <c r="P116" t="str">
        <f>_xlfn.XLOOKUP(Data[[#This Row],[StatusKey]],Status_Key[Status_Key],Status_Key[Name],"")</f>
        <v>In Date</v>
      </c>
    </row>
    <row r="117" spans="1:16" x14ac:dyDescent="0.25">
      <c r="A117" s="1">
        <v>153</v>
      </c>
      <c r="B117" s="1" t="s">
        <v>126</v>
      </c>
      <c r="C117" s="1" t="s">
        <v>127</v>
      </c>
      <c r="D117" s="1" t="s">
        <v>128</v>
      </c>
      <c r="E117" s="1" t="s">
        <v>69</v>
      </c>
      <c r="F117" s="1" t="s">
        <v>65</v>
      </c>
      <c r="G117" s="1" t="s">
        <v>16</v>
      </c>
      <c r="H117" s="1" t="s">
        <v>130</v>
      </c>
      <c r="I117" s="1" t="s">
        <v>60</v>
      </c>
      <c r="J117" s="1" t="s">
        <v>67</v>
      </c>
      <c r="K117" s="1" t="s">
        <v>68</v>
      </c>
      <c r="L117" s="3">
        <v>47967</v>
      </c>
      <c r="M117" s="3">
        <v>46142</v>
      </c>
      <c r="N117">
        <f>_xlfn.XLOOKUP(Data[[#This Row],[Status]],Compliance_Status[Status from OPMS],Compliance_Status[Status_Key],"")</f>
        <v>4</v>
      </c>
      <c r="O117">
        <f>_xlfn.XLOOKUP(Data[[#This Row],[Status]],Compliance_Status[Status from OPMS],Compliance_Status[Has Course booking],"")</f>
        <v>0</v>
      </c>
      <c r="P117" t="str">
        <f>_xlfn.XLOOKUP(Data[[#This Row],[StatusKey]],Status_Key[Status_Key],Status_Key[Name],"")</f>
        <v>In Date</v>
      </c>
    </row>
    <row r="118" spans="1:16" x14ac:dyDescent="0.25">
      <c r="A118" s="1">
        <v>153</v>
      </c>
      <c r="B118" s="1" t="s">
        <v>126</v>
      </c>
      <c r="C118" s="1" t="s">
        <v>127</v>
      </c>
      <c r="D118" s="1" t="s">
        <v>128</v>
      </c>
      <c r="E118" s="1" t="s">
        <v>70</v>
      </c>
      <c r="F118" s="1" t="s">
        <v>65</v>
      </c>
      <c r="G118" s="1" t="s">
        <v>16</v>
      </c>
      <c r="H118" s="1" t="s">
        <v>130</v>
      </c>
      <c r="I118" s="1" t="s">
        <v>60</v>
      </c>
      <c r="J118" s="1" t="s">
        <v>67</v>
      </c>
      <c r="K118" s="1" t="s">
        <v>68</v>
      </c>
      <c r="L118" s="3">
        <v>47775</v>
      </c>
      <c r="M118" s="3">
        <v>45909</v>
      </c>
      <c r="N118">
        <f>_xlfn.XLOOKUP(Data[[#This Row],[Status]],Compliance_Status[Status from OPMS],Compliance_Status[Status_Key],"")</f>
        <v>4</v>
      </c>
      <c r="O118">
        <f>_xlfn.XLOOKUP(Data[[#This Row],[Status]],Compliance_Status[Status from OPMS],Compliance_Status[Has Course booking],"")</f>
        <v>0</v>
      </c>
      <c r="P118" t="str">
        <f>_xlfn.XLOOKUP(Data[[#This Row],[StatusKey]],Status_Key[Status_Key],Status_Key[Name],"")</f>
        <v>In Date</v>
      </c>
    </row>
    <row r="119" spans="1:16" x14ac:dyDescent="0.25">
      <c r="A119" s="1">
        <v>153</v>
      </c>
      <c r="B119" s="1" t="s">
        <v>126</v>
      </c>
      <c r="C119" s="1" t="s">
        <v>127</v>
      </c>
      <c r="D119" s="1" t="s">
        <v>128</v>
      </c>
      <c r="E119" s="1" t="s">
        <v>132</v>
      </c>
      <c r="F119" s="1" t="s">
        <v>65</v>
      </c>
      <c r="G119" s="1" t="s">
        <v>16</v>
      </c>
      <c r="H119" s="1" t="s">
        <v>130</v>
      </c>
      <c r="I119" s="1" t="s">
        <v>60</v>
      </c>
      <c r="J119" s="1"/>
      <c r="K119" s="1" t="s">
        <v>68</v>
      </c>
      <c r="L119" s="3">
        <v>47775</v>
      </c>
      <c r="M119" s="3">
        <v>45909</v>
      </c>
      <c r="N119">
        <f>_xlfn.XLOOKUP(Data[[#This Row],[Status]],Compliance_Status[Status from OPMS],Compliance_Status[Status_Key],"")</f>
        <v>4</v>
      </c>
      <c r="O119">
        <f>_xlfn.XLOOKUP(Data[[#This Row],[Status]],Compliance_Status[Status from OPMS],Compliance_Status[Has Course booking],"")</f>
        <v>0</v>
      </c>
      <c r="P119" t="str">
        <f>_xlfn.XLOOKUP(Data[[#This Row],[StatusKey]],Status_Key[Status_Key],Status_Key[Name],"")</f>
        <v>In Date</v>
      </c>
    </row>
    <row r="120" spans="1:16" x14ac:dyDescent="0.25">
      <c r="A120" s="1">
        <v>153</v>
      </c>
      <c r="B120" s="1" t="s">
        <v>126</v>
      </c>
      <c r="C120" s="1" t="s">
        <v>127</v>
      </c>
      <c r="D120" s="1" t="s">
        <v>128</v>
      </c>
      <c r="E120" s="1" t="s">
        <v>71</v>
      </c>
      <c r="F120" s="1" t="s">
        <v>72</v>
      </c>
      <c r="G120" s="1" t="s">
        <v>25</v>
      </c>
      <c r="H120" s="1" t="s">
        <v>130</v>
      </c>
      <c r="I120" s="1" t="s">
        <v>60</v>
      </c>
      <c r="J120" s="1"/>
      <c r="K120" s="1" t="s">
        <v>68</v>
      </c>
      <c r="L120" s="3">
        <v>46242</v>
      </c>
      <c r="M120" s="3">
        <v>44416</v>
      </c>
      <c r="N120">
        <f>_xlfn.XLOOKUP(Data[[#This Row],[Status]],Compliance_Status[Status from OPMS],Compliance_Status[Status_Key],"")</f>
        <v>1</v>
      </c>
      <c r="O120">
        <f>_xlfn.XLOOKUP(Data[[#This Row],[Status]],Compliance_Status[Status from OPMS],Compliance_Status[Has Course booking],"")</f>
        <v>0</v>
      </c>
      <c r="P120" t="str">
        <f>_xlfn.XLOOKUP(Data[[#This Row],[StatusKey]],Status_Key[Status_Key],Status_Key[Name],"")</f>
        <v>Expired</v>
      </c>
    </row>
    <row r="121" spans="1:16" x14ac:dyDescent="0.25">
      <c r="A121" s="1">
        <v>153</v>
      </c>
      <c r="B121" s="1" t="s">
        <v>126</v>
      </c>
      <c r="C121" s="1" t="s">
        <v>127</v>
      </c>
      <c r="D121" s="1" t="s">
        <v>128</v>
      </c>
      <c r="E121" s="1" t="s">
        <v>73</v>
      </c>
      <c r="F121" s="1" t="s">
        <v>65</v>
      </c>
      <c r="G121" s="1" t="s">
        <v>16</v>
      </c>
      <c r="H121" s="1" t="s">
        <v>130</v>
      </c>
      <c r="I121" s="1" t="s">
        <v>60</v>
      </c>
      <c r="J121" s="1" t="s">
        <v>67</v>
      </c>
      <c r="K121" s="1" t="s">
        <v>68</v>
      </c>
      <c r="L121" s="3">
        <v>46438</v>
      </c>
      <c r="M121" s="3">
        <v>45708</v>
      </c>
      <c r="N121">
        <f>_xlfn.XLOOKUP(Data[[#This Row],[Status]],Compliance_Status[Status from OPMS],Compliance_Status[Status_Key],"")</f>
        <v>4</v>
      </c>
      <c r="O121">
        <f>_xlfn.XLOOKUP(Data[[#This Row],[Status]],Compliance_Status[Status from OPMS],Compliance_Status[Has Course booking],"")</f>
        <v>0</v>
      </c>
      <c r="P121" t="str">
        <f>_xlfn.XLOOKUP(Data[[#This Row],[StatusKey]],Status_Key[Status_Key],Status_Key[Name],"")</f>
        <v>In Date</v>
      </c>
    </row>
    <row r="122" spans="1:16" x14ac:dyDescent="0.25">
      <c r="A122" s="1">
        <v>153</v>
      </c>
      <c r="B122" s="1" t="s">
        <v>126</v>
      </c>
      <c r="C122" s="1" t="s">
        <v>127</v>
      </c>
      <c r="D122" s="1" t="s">
        <v>128</v>
      </c>
      <c r="E122" s="1" t="s">
        <v>74</v>
      </c>
      <c r="F122" s="1" t="s">
        <v>65</v>
      </c>
      <c r="G122" s="1" t="s">
        <v>16</v>
      </c>
      <c r="H122" s="1" t="s">
        <v>130</v>
      </c>
      <c r="I122" s="1" t="s">
        <v>60</v>
      </c>
      <c r="J122" s="1" t="s">
        <v>67</v>
      </c>
      <c r="K122" s="1" t="s">
        <v>68</v>
      </c>
      <c r="L122" s="3">
        <v>46444</v>
      </c>
      <c r="M122" s="3">
        <v>45348</v>
      </c>
      <c r="N122">
        <f>_xlfn.XLOOKUP(Data[[#This Row],[Status]],Compliance_Status[Status from OPMS],Compliance_Status[Status_Key],"")</f>
        <v>4</v>
      </c>
      <c r="O122">
        <f>_xlfn.XLOOKUP(Data[[#This Row],[Status]],Compliance_Status[Status from OPMS],Compliance_Status[Has Course booking],"")</f>
        <v>0</v>
      </c>
      <c r="P122" t="str">
        <f>_xlfn.XLOOKUP(Data[[#This Row],[StatusKey]],Status_Key[Status_Key],Status_Key[Name],"")</f>
        <v>In Date</v>
      </c>
    </row>
    <row r="123" spans="1:16" x14ac:dyDescent="0.25">
      <c r="A123" s="1">
        <v>153</v>
      </c>
      <c r="B123" s="1" t="s">
        <v>126</v>
      </c>
      <c r="C123" s="1" t="s">
        <v>127</v>
      </c>
      <c r="D123" s="1" t="s">
        <v>128</v>
      </c>
      <c r="E123" s="1" t="s">
        <v>75</v>
      </c>
      <c r="F123" s="1" t="s">
        <v>72</v>
      </c>
      <c r="G123" s="1" t="s">
        <v>24</v>
      </c>
      <c r="H123" s="1" t="s">
        <v>130</v>
      </c>
      <c r="I123" s="1" t="s">
        <v>60</v>
      </c>
      <c r="J123" s="1" t="s">
        <v>67</v>
      </c>
      <c r="K123" s="1" t="s">
        <v>68</v>
      </c>
      <c r="L123" s="3">
        <v>46437</v>
      </c>
      <c r="M123" s="3">
        <v>46072</v>
      </c>
      <c r="N123">
        <f>_xlfn.XLOOKUP(Data[[#This Row],[Status]],Compliance_Status[Status from OPMS],Compliance_Status[Status_Key],"")</f>
        <v>3</v>
      </c>
      <c r="O123">
        <f>_xlfn.XLOOKUP(Data[[#This Row],[Status]],Compliance_Status[Status from OPMS],Compliance_Status[Has Course booking],"")</f>
        <v>0</v>
      </c>
      <c r="P123" t="str">
        <f>_xlfn.XLOOKUP(Data[[#This Row],[StatusKey]],Status_Key[Status_Key],Status_Key[Name],"")</f>
        <v>About to expire</v>
      </c>
    </row>
    <row r="124" spans="1:16" x14ac:dyDescent="0.25">
      <c r="A124" s="1">
        <v>153</v>
      </c>
      <c r="B124" s="1" t="s">
        <v>126</v>
      </c>
      <c r="C124" s="1" t="s">
        <v>127</v>
      </c>
      <c r="D124" s="1" t="s">
        <v>128</v>
      </c>
      <c r="E124" s="1" t="s">
        <v>76</v>
      </c>
      <c r="F124" s="1" t="s">
        <v>65</v>
      </c>
      <c r="G124" s="1" t="s">
        <v>16</v>
      </c>
      <c r="H124" s="1" t="s">
        <v>130</v>
      </c>
      <c r="I124" s="1" t="s">
        <v>60</v>
      </c>
      <c r="J124" s="1" t="s">
        <v>67</v>
      </c>
      <c r="K124" s="1" t="s">
        <v>77</v>
      </c>
      <c r="L124" s="3">
        <v>47087</v>
      </c>
      <c r="M124" s="3">
        <v>45626</v>
      </c>
      <c r="N124">
        <f>_xlfn.XLOOKUP(Data[[#This Row],[Status]],Compliance_Status[Status from OPMS],Compliance_Status[Status_Key],"")</f>
        <v>4</v>
      </c>
      <c r="O124">
        <f>_xlfn.XLOOKUP(Data[[#This Row],[Status]],Compliance_Status[Status from OPMS],Compliance_Status[Has Course booking],"")</f>
        <v>0</v>
      </c>
      <c r="P124" t="str">
        <f>_xlfn.XLOOKUP(Data[[#This Row],[StatusKey]],Status_Key[Status_Key],Status_Key[Name],"")</f>
        <v>In Date</v>
      </c>
    </row>
    <row r="125" spans="1:16" x14ac:dyDescent="0.25">
      <c r="A125" s="1">
        <v>153</v>
      </c>
      <c r="B125" s="1" t="s">
        <v>126</v>
      </c>
      <c r="C125" s="1" t="s">
        <v>127</v>
      </c>
      <c r="D125" s="1" t="s">
        <v>128</v>
      </c>
      <c r="E125" s="1" t="s">
        <v>78</v>
      </c>
      <c r="F125" s="1" t="s">
        <v>65</v>
      </c>
      <c r="G125" s="1" t="s">
        <v>16</v>
      </c>
      <c r="H125" s="1" t="s">
        <v>130</v>
      </c>
      <c r="I125" s="1" t="s">
        <v>60</v>
      </c>
      <c r="J125" s="1" t="s">
        <v>67</v>
      </c>
      <c r="K125" s="1" t="s">
        <v>77</v>
      </c>
      <c r="L125" s="3" t="s">
        <v>79</v>
      </c>
      <c r="M125" s="3">
        <v>45389</v>
      </c>
      <c r="N125">
        <f>_xlfn.XLOOKUP(Data[[#This Row],[Status]],Compliance_Status[Status from OPMS],Compliance_Status[Status_Key],"")</f>
        <v>4</v>
      </c>
      <c r="O125">
        <f>_xlfn.XLOOKUP(Data[[#This Row],[Status]],Compliance_Status[Status from OPMS],Compliance_Status[Has Course booking],"")</f>
        <v>0</v>
      </c>
      <c r="P125" t="str">
        <f>_xlfn.XLOOKUP(Data[[#This Row],[StatusKey]],Status_Key[Status_Key],Status_Key[Name],"")</f>
        <v>In Date</v>
      </c>
    </row>
    <row r="126" spans="1:16" x14ac:dyDescent="0.25">
      <c r="A126" s="1">
        <v>153</v>
      </c>
      <c r="B126" s="1" t="s">
        <v>126</v>
      </c>
      <c r="C126" s="1" t="s">
        <v>127</v>
      </c>
      <c r="D126" s="1" t="s">
        <v>128</v>
      </c>
      <c r="E126" s="1" t="s">
        <v>80</v>
      </c>
      <c r="F126" s="1" t="s">
        <v>65</v>
      </c>
      <c r="G126" s="1" t="s">
        <v>16</v>
      </c>
      <c r="H126" s="1" t="s">
        <v>130</v>
      </c>
      <c r="I126" s="1" t="s">
        <v>60</v>
      </c>
      <c r="J126" s="1" t="s">
        <v>67</v>
      </c>
      <c r="K126" s="1" t="s">
        <v>77</v>
      </c>
      <c r="L126" s="3" t="s">
        <v>79</v>
      </c>
      <c r="M126" s="3">
        <v>45779</v>
      </c>
      <c r="N126">
        <f>_xlfn.XLOOKUP(Data[[#This Row],[Status]],Compliance_Status[Status from OPMS],Compliance_Status[Status_Key],"")</f>
        <v>4</v>
      </c>
      <c r="O126">
        <f>_xlfn.XLOOKUP(Data[[#This Row],[Status]],Compliance_Status[Status from OPMS],Compliance_Status[Has Course booking],"")</f>
        <v>0</v>
      </c>
      <c r="P126" t="str">
        <f>_xlfn.XLOOKUP(Data[[#This Row],[StatusKey]],Status_Key[Status_Key],Status_Key[Name],"")</f>
        <v>In Date</v>
      </c>
    </row>
    <row r="127" spans="1:16" x14ac:dyDescent="0.25">
      <c r="A127" s="1">
        <v>153</v>
      </c>
      <c r="B127" s="1" t="s">
        <v>126</v>
      </c>
      <c r="C127" s="1" t="s">
        <v>127</v>
      </c>
      <c r="D127" s="1" t="s">
        <v>128</v>
      </c>
      <c r="E127" s="1" t="s">
        <v>81</v>
      </c>
      <c r="F127" s="1" t="s">
        <v>65</v>
      </c>
      <c r="G127" s="1" t="s">
        <v>16</v>
      </c>
      <c r="H127" s="1" t="s">
        <v>130</v>
      </c>
      <c r="I127" s="1" t="s">
        <v>60</v>
      </c>
      <c r="J127" s="1" t="s">
        <v>67</v>
      </c>
      <c r="K127" s="1" t="s">
        <v>77</v>
      </c>
      <c r="L127" s="3">
        <v>46780</v>
      </c>
      <c r="M127" s="3">
        <v>46050</v>
      </c>
      <c r="N127">
        <f>_xlfn.XLOOKUP(Data[[#This Row],[Status]],Compliance_Status[Status from OPMS],Compliance_Status[Status_Key],"")</f>
        <v>4</v>
      </c>
      <c r="O127">
        <f>_xlfn.XLOOKUP(Data[[#This Row],[Status]],Compliance_Status[Status from OPMS],Compliance_Status[Has Course booking],"")</f>
        <v>0</v>
      </c>
      <c r="P127" t="str">
        <f>_xlfn.XLOOKUP(Data[[#This Row],[StatusKey]],Status_Key[Status_Key],Status_Key[Name],"")</f>
        <v>In Date</v>
      </c>
    </row>
    <row r="128" spans="1:16" x14ac:dyDescent="0.25">
      <c r="A128" s="1">
        <v>153</v>
      </c>
      <c r="B128" s="1" t="s">
        <v>126</v>
      </c>
      <c r="C128" s="1" t="s">
        <v>127</v>
      </c>
      <c r="D128" s="1" t="s">
        <v>128</v>
      </c>
      <c r="E128" s="1" t="s">
        <v>82</v>
      </c>
      <c r="F128" s="1" t="s">
        <v>65</v>
      </c>
      <c r="G128" s="1" t="s">
        <v>16</v>
      </c>
      <c r="H128" s="1" t="s">
        <v>130</v>
      </c>
      <c r="I128" s="1" t="s">
        <v>60</v>
      </c>
      <c r="J128" s="1" t="s">
        <v>67</v>
      </c>
      <c r="K128" s="1" t="s">
        <v>83</v>
      </c>
      <c r="L128" s="3">
        <v>46743</v>
      </c>
      <c r="M128" s="3">
        <v>46013</v>
      </c>
      <c r="N128">
        <f>_xlfn.XLOOKUP(Data[[#This Row],[Status]],Compliance_Status[Status from OPMS],Compliance_Status[Status_Key],"")</f>
        <v>4</v>
      </c>
      <c r="O128">
        <f>_xlfn.XLOOKUP(Data[[#This Row],[Status]],Compliance_Status[Status from OPMS],Compliance_Status[Has Course booking],"")</f>
        <v>0</v>
      </c>
      <c r="P128" t="str">
        <f>_xlfn.XLOOKUP(Data[[#This Row],[StatusKey]],Status_Key[Status_Key],Status_Key[Name],"")</f>
        <v>In Date</v>
      </c>
    </row>
    <row r="129" spans="1:16" x14ac:dyDescent="0.25">
      <c r="A129" s="1">
        <v>153</v>
      </c>
      <c r="B129" s="1" t="s">
        <v>126</v>
      </c>
      <c r="C129" s="1" t="s">
        <v>127</v>
      </c>
      <c r="D129" s="1" t="s">
        <v>128</v>
      </c>
      <c r="E129" s="1" t="s">
        <v>84</v>
      </c>
      <c r="F129" s="1" t="s">
        <v>65</v>
      </c>
      <c r="G129" s="1" t="s">
        <v>16</v>
      </c>
      <c r="H129" s="1" t="s">
        <v>130</v>
      </c>
      <c r="I129" s="1" t="s">
        <v>60</v>
      </c>
      <c r="J129" s="1" t="s">
        <v>67</v>
      </c>
      <c r="K129" s="1" t="s">
        <v>83</v>
      </c>
      <c r="L129" s="3">
        <v>46721</v>
      </c>
      <c r="M129" s="3">
        <v>45991</v>
      </c>
      <c r="N129">
        <f>_xlfn.XLOOKUP(Data[[#This Row],[Status]],Compliance_Status[Status from OPMS],Compliance_Status[Status_Key],"")</f>
        <v>4</v>
      </c>
      <c r="O129">
        <f>_xlfn.XLOOKUP(Data[[#This Row],[Status]],Compliance_Status[Status from OPMS],Compliance_Status[Has Course booking],"")</f>
        <v>0</v>
      </c>
      <c r="P129" t="str">
        <f>_xlfn.XLOOKUP(Data[[#This Row],[StatusKey]],Status_Key[Status_Key],Status_Key[Name],"")</f>
        <v>In Date</v>
      </c>
    </row>
    <row r="130" spans="1:16" x14ac:dyDescent="0.25">
      <c r="A130" s="1">
        <v>153</v>
      </c>
      <c r="B130" s="1" t="s">
        <v>126</v>
      </c>
      <c r="C130" s="1" t="s">
        <v>127</v>
      </c>
      <c r="D130" s="1" t="s">
        <v>128</v>
      </c>
      <c r="E130" s="1" t="s">
        <v>91</v>
      </c>
      <c r="F130" s="1" t="s">
        <v>65</v>
      </c>
      <c r="G130" s="1" t="s">
        <v>16</v>
      </c>
      <c r="H130" s="1" t="s">
        <v>130</v>
      </c>
      <c r="I130" s="1" t="s">
        <v>60</v>
      </c>
      <c r="J130" s="1" t="s">
        <v>67</v>
      </c>
      <c r="K130" s="1" t="s">
        <v>86</v>
      </c>
      <c r="L130" s="3" t="s">
        <v>79</v>
      </c>
      <c r="M130" s="3">
        <v>45952</v>
      </c>
      <c r="N130">
        <f>_xlfn.XLOOKUP(Data[[#This Row],[Status]],Compliance_Status[Status from OPMS],Compliance_Status[Status_Key],"")</f>
        <v>4</v>
      </c>
      <c r="O130">
        <f>_xlfn.XLOOKUP(Data[[#This Row],[Status]],Compliance_Status[Status from OPMS],Compliance_Status[Has Course booking],"")</f>
        <v>0</v>
      </c>
      <c r="P130" t="str">
        <f>_xlfn.XLOOKUP(Data[[#This Row],[StatusKey]],Status_Key[Status_Key],Status_Key[Name],"")</f>
        <v>In Date</v>
      </c>
    </row>
    <row r="131" spans="1:16" x14ac:dyDescent="0.25">
      <c r="A131" s="1">
        <v>153</v>
      </c>
      <c r="B131" s="1" t="s">
        <v>126</v>
      </c>
      <c r="C131" s="1" t="s">
        <v>127</v>
      </c>
      <c r="D131" s="1" t="s">
        <v>128</v>
      </c>
      <c r="E131" s="1" t="s">
        <v>93</v>
      </c>
      <c r="F131" s="1" t="s">
        <v>65</v>
      </c>
      <c r="G131" s="1" t="s">
        <v>16</v>
      </c>
      <c r="H131" s="1" t="s">
        <v>130</v>
      </c>
      <c r="I131" s="1" t="s">
        <v>60</v>
      </c>
      <c r="J131" s="1" t="s">
        <v>67</v>
      </c>
      <c r="K131" s="1" t="s">
        <v>94</v>
      </c>
      <c r="L131" s="3">
        <v>46677</v>
      </c>
      <c r="M131" s="3">
        <v>45947</v>
      </c>
      <c r="N131">
        <f>_xlfn.XLOOKUP(Data[[#This Row],[Status]],Compliance_Status[Status from OPMS],Compliance_Status[Status_Key],"")</f>
        <v>4</v>
      </c>
      <c r="O131">
        <f>_xlfn.XLOOKUP(Data[[#This Row],[Status]],Compliance_Status[Status from OPMS],Compliance_Status[Has Course booking],"")</f>
        <v>0</v>
      </c>
      <c r="P131" t="str">
        <f>_xlfn.XLOOKUP(Data[[#This Row],[StatusKey]],Status_Key[Status_Key],Status_Key[Name],"")</f>
        <v>In Date</v>
      </c>
    </row>
    <row r="132" spans="1:16" x14ac:dyDescent="0.25">
      <c r="A132" s="1">
        <v>153</v>
      </c>
      <c r="B132" s="1" t="s">
        <v>126</v>
      </c>
      <c r="C132" s="1" t="s">
        <v>127</v>
      </c>
      <c r="D132" s="1" t="s">
        <v>128</v>
      </c>
      <c r="E132" s="1" t="s">
        <v>95</v>
      </c>
      <c r="F132" s="1" t="s">
        <v>65</v>
      </c>
      <c r="G132" s="1" t="s">
        <v>16</v>
      </c>
      <c r="H132" s="1" t="s">
        <v>130</v>
      </c>
      <c r="I132" s="1" t="s">
        <v>60</v>
      </c>
      <c r="J132" s="1" t="s">
        <v>67</v>
      </c>
      <c r="K132" s="1" t="s">
        <v>94</v>
      </c>
      <c r="L132" s="3">
        <v>46677</v>
      </c>
      <c r="M132" s="3">
        <v>45947</v>
      </c>
      <c r="N132">
        <f>_xlfn.XLOOKUP(Data[[#This Row],[Status]],Compliance_Status[Status from OPMS],Compliance_Status[Status_Key],"")</f>
        <v>4</v>
      </c>
      <c r="O132">
        <f>_xlfn.XLOOKUP(Data[[#This Row],[Status]],Compliance_Status[Status from OPMS],Compliance_Status[Has Course booking],"")</f>
        <v>0</v>
      </c>
      <c r="P132" t="str">
        <f>_xlfn.XLOOKUP(Data[[#This Row],[StatusKey]],Status_Key[Status_Key],Status_Key[Name],"")</f>
        <v>In Date</v>
      </c>
    </row>
    <row r="133" spans="1:16" x14ac:dyDescent="0.25">
      <c r="A133" s="1">
        <v>153</v>
      </c>
      <c r="B133" s="1" t="s">
        <v>126</v>
      </c>
      <c r="C133" s="1" t="s">
        <v>127</v>
      </c>
      <c r="D133" s="1" t="s">
        <v>128</v>
      </c>
      <c r="E133" s="1" t="s">
        <v>96</v>
      </c>
      <c r="F133" s="1" t="s">
        <v>65</v>
      </c>
      <c r="G133" s="1" t="s">
        <v>16</v>
      </c>
      <c r="H133" s="1" t="s">
        <v>130</v>
      </c>
      <c r="I133" s="1" t="s">
        <v>60</v>
      </c>
      <c r="J133" s="1" t="s">
        <v>67</v>
      </c>
      <c r="K133" s="1" t="s">
        <v>94</v>
      </c>
      <c r="L133" s="3" t="s">
        <v>79</v>
      </c>
      <c r="M133" s="3">
        <v>46023</v>
      </c>
      <c r="N133">
        <f>_xlfn.XLOOKUP(Data[[#This Row],[Status]],Compliance_Status[Status from OPMS],Compliance_Status[Status_Key],"")</f>
        <v>4</v>
      </c>
      <c r="O133">
        <f>_xlfn.XLOOKUP(Data[[#This Row],[Status]],Compliance_Status[Status from OPMS],Compliance_Status[Has Course booking],"")</f>
        <v>0</v>
      </c>
      <c r="P133" t="str">
        <f>_xlfn.XLOOKUP(Data[[#This Row],[StatusKey]],Status_Key[Status_Key],Status_Key[Name],"")</f>
        <v>In Date</v>
      </c>
    </row>
    <row r="134" spans="1:16" x14ac:dyDescent="0.25">
      <c r="A134" s="1">
        <v>153</v>
      </c>
      <c r="B134" s="1" t="s">
        <v>126</v>
      </c>
      <c r="C134" s="1" t="s">
        <v>127</v>
      </c>
      <c r="D134" s="1" t="s">
        <v>128</v>
      </c>
      <c r="E134" s="1" t="s">
        <v>122</v>
      </c>
      <c r="F134" s="1" t="s">
        <v>65</v>
      </c>
      <c r="G134" s="1" t="s">
        <v>16</v>
      </c>
      <c r="H134" s="1" t="s">
        <v>130</v>
      </c>
      <c r="I134" s="1" t="s">
        <v>60</v>
      </c>
      <c r="J134" s="1" t="s">
        <v>67</v>
      </c>
      <c r="K134" s="1" t="s">
        <v>94</v>
      </c>
      <c r="L134" s="3" t="s">
        <v>79</v>
      </c>
      <c r="M134" s="3">
        <v>0</v>
      </c>
      <c r="N134">
        <f>_xlfn.XLOOKUP(Data[[#This Row],[Status]],Compliance_Status[Status from OPMS],Compliance_Status[Status_Key],"")</f>
        <v>4</v>
      </c>
      <c r="O134">
        <f>_xlfn.XLOOKUP(Data[[#This Row],[Status]],Compliance_Status[Status from OPMS],Compliance_Status[Has Course booking],"")</f>
        <v>0</v>
      </c>
      <c r="P134" t="str">
        <f>_xlfn.XLOOKUP(Data[[#This Row],[StatusKey]],Status_Key[Status_Key],Status_Key[Name],"")</f>
        <v>In Date</v>
      </c>
    </row>
    <row r="135" spans="1:16" x14ac:dyDescent="0.25">
      <c r="A135" s="1">
        <v>153</v>
      </c>
      <c r="B135" s="1" t="s">
        <v>126</v>
      </c>
      <c r="C135" s="1" t="s">
        <v>127</v>
      </c>
      <c r="D135" s="1" t="s">
        <v>128</v>
      </c>
      <c r="E135" s="1" t="s">
        <v>124</v>
      </c>
      <c r="F135" s="1" t="s">
        <v>72</v>
      </c>
      <c r="G135" s="1" t="s">
        <v>18</v>
      </c>
      <c r="H135" s="1" t="s">
        <v>130</v>
      </c>
      <c r="I135" s="1" t="s">
        <v>60</v>
      </c>
      <c r="J135" s="1"/>
      <c r="K135" s="1" t="s">
        <v>125</v>
      </c>
      <c r="L135" s="3"/>
      <c r="M135" s="3"/>
      <c r="N135">
        <f>_xlfn.XLOOKUP(Data[[#This Row],[Status]],Compliance_Status[Status from OPMS],Compliance_Status[Status_Key],"")</f>
        <v>2</v>
      </c>
      <c r="O135">
        <f>_xlfn.XLOOKUP(Data[[#This Row],[Status]],Compliance_Status[Status from OPMS],Compliance_Status[Has Course booking],"")</f>
        <v>0</v>
      </c>
      <c r="P135" t="str">
        <f>_xlfn.XLOOKUP(Data[[#This Row],[StatusKey]],Status_Key[Status_Key],Status_Key[Name],"")</f>
        <v>Outstanding</v>
      </c>
    </row>
    <row r="136" spans="1:16" x14ac:dyDescent="0.25">
      <c r="A136" s="1">
        <v>153</v>
      </c>
      <c r="B136" s="1" t="s">
        <v>126</v>
      </c>
      <c r="C136" s="1" t="s">
        <v>127</v>
      </c>
      <c r="D136" s="1" t="s">
        <v>128</v>
      </c>
      <c r="E136" s="1" t="s">
        <v>97</v>
      </c>
      <c r="F136" s="1" t="s">
        <v>65</v>
      </c>
      <c r="G136" s="1" t="s">
        <v>16</v>
      </c>
      <c r="H136" s="1" t="s">
        <v>130</v>
      </c>
      <c r="I136" s="1" t="s">
        <v>60</v>
      </c>
      <c r="J136" s="1" t="s">
        <v>67</v>
      </c>
      <c r="K136" s="1" t="s">
        <v>98</v>
      </c>
      <c r="L136" s="3">
        <v>47248</v>
      </c>
      <c r="M136" s="3">
        <v>45422</v>
      </c>
      <c r="N136">
        <f>_xlfn.XLOOKUP(Data[[#This Row],[Status]],Compliance_Status[Status from OPMS],Compliance_Status[Status_Key],"")</f>
        <v>4</v>
      </c>
      <c r="O136">
        <f>_xlfn.XLOOKUP(Data[[#This Row],[Status]],Compliance_Status[Status from OPMS],Compliance_Status[Has Course booking],"")</f>
        <v>0</v>
      </c>
      <c r="P136" t="str">
        <f>_xlfn.XLOOKUP(Data[[#This Row],[StatusKey]],Status_Key[Status_Key],Status_Key[Name],"")</f>
        <v>In Date</v>
      </c>
    </row>
    <row r="137" spans="1:16" x14ac:dyDescent="0.25">
      <c r="A137" s="1">
        <v>153</v>
      </c>
      <c r="B137" s="1" t="s">
        <v>126</v>
      </c>
      <c r="C137" s="1" t="s">
        <v>127</v>
      </c>
      <c r="D137" s="1" t="s">
        <v>128</v>
      </c>
      <c r="E137" s="1" t="s">
        <v>101</v>
      </c>
      <c r="F137" s="1" t="s">
        <v>65</v>
      </c>
      <c r="G137" s="1" t="s">
        <v>16</v>
      </c>
      <c r="H137" s="1" t="s">
        <v>130</v>
      </c>
      <c r="I137" s="1" t="s">
        <v>60</v>
      </c>
      <c r="J137" s="1" t="s">
        <v>67</v>
      </c>
      <c r="K137" s="1" t="s">
        <v>102</v>
      </c>
      <c r="L137" s="3" t="s">
        <v>79</v>
      </c>
      <c r="M137" s="3">
        <v>45431</v>
      </c>
      <c r="N137">
        <f>_xlfn.XLOOKUP(Data[[#This Row],[Status]],Compliance_Status[Status from OPMS],Compliance_Status[Status_Key],"")</f>
        <v>4</v>
      </c>
      <c r="O137">
        <f>_xlfn.XLOOKUP(Data[[#This Row],[Status]],Compliance_Status[Status from OPMS],Compliance_Status[Has Course booking],"")</f>
        <v>0</v>
      </c>
      <c r="P137" t="str">
        <f>_xlfn.XLOOKUP(Data[[#This Row],[StatusKey]],Status_Key[Status_Key],Status_Key[Name],"")</f>
        <v>In Date</v>
      </c>
    </row>
    <row r="138" spans="1:16" x14ac:dyDescent="0.25">
      <c r="A138" s="1">
        <v>153</v>
      </c>
      <c r="B138" s="1" t="s">
        <v>126</v>
      </c>
      <c r="C138" s="1" t="s">
        <v>127</v>
      </c>
      <c r="D138" s="1" t="s">
        <v>128</v>
      </c>
      <c r="E138" s="1" t="s">
        <v>103</v>
      </c>
      <c r="F138" s="1" t="s">
        <v>65</v>
      </c>
      <c r="G138" s="1" t="s">
        <v>16</v>
      </c>
      <c r="H138" s="1" t="s">
        <v>130</v>
      </c>
      <c r="I138" s="1" t="s">
        <v>60</v>
      </c>
      <c r="J138" s="1" t="s">
        <v>67</v>
      </c>
      <c r="K138" s="1" t="s">
        <v>102</v>
      </c>
      <c r="L138" s="3">
        <v>46453</v>
      </c>
      <c r="M138" s="3">
        <v>45723</v>
      </c>
      <c r="N138">
        <f>_xlfn.XLOOKUP(Data[[#This Row],[Status]],Compliance_Status[Status from OPMS],Compliance_Status[Status_Key],"")</f>
        <v>4</v>
      </c>
      <c r="O138">
        <f>_xlfn.XLOOKUP(Data[[#This Row],[Status]],Compliance_Status[Status from OPMS],Compliance_Status[Has Course booking],"")</f>
        <v>0</v>
      </c>
      <c r="P138" t="str">
        <f>_xlfn.XLOOKUP(Data[[#This Row],[StatusKey]],Status_Key[Status_Key],Status_Key[Name],"")</f>
        <v>In Date</v>
      </c>
    </row>
    <row r="139" spans="1:16" x14ac:dyDescent="0.25">
      <c r="A139" s="1">
        <v>153</v>
      </c>
      <c r="B139" s="1" t="s">
        <v>126</v>
      </c>
      <c r="C139" s="1" t="s">
        <v>127</v>
      </c>
      <c r="D139" s="1" t="s">
        <v>128</v>
      </c>
      <c r="E139" s="1" t="s">
        <v>104</v>
      </c>
      <c r="F139" s="1" t="s">
        <v>65</v>
      </c>
      <c r="G139" s="1" t="s">
        <v>16</v>
      </c>
      <c r="H139" s="1" t="s">
        <v>130</v>
      </c>
      <c r="I139" s="1" t="s">
        <v>60</v>
      </c>
      <c r="J139" s="1" t="s">
        <v>67</v>
      </c>
      <c r="K139" s="1" t="s">
        <v>105</v>
      </c>
      <c r="L139" s="3">
        <v>46824</v>
      </c>
      <c r="M139" s="3">
        <v>46093</v>
      </c>
      <c r="N139">
        <f>_xlfn.XLOOKUP(Data[[#This Row],[Status]],Compliance_Status[Status from OPMS],Compliance_Status[Status_Key],"")</f>
        <v>4</v>
      </c>
      <c r="O139">
        <f>_xlfn.XLOOKUP(Data[[#This Row],[Status]],Compliance_Status[Status from OPMS],Compliance_Status[Has Course booking],"")</f>
        <v>0</v>
      </c>
      <c r="P139" t="str">
        <f>_xlfn.XLOOKUP(Data[[#This Row],[StatusKey]],Status_Key[Status_Key],Status_Key[Name],"")</f>
        <v>In Date</v>
      </c>
    </row>
    <row r="140" spans="1:16" x14ac:dyDescent="0.25">
      <c r="A140" s="1">
        <v>153</v>
      </c>
      <c r="B140" s="1" t="s">
        <v>126</v>
      </c>
      <c r="C140" s="1" t="s">
        <v>127</v>
      </c>
      <c r="D140" s="1" t="s">
        <v>128</v>
      </c>
      <c r="E140" s="1" t="s">
        <v>106</v>
      </c>
      <c r="F140" s="1" t="s">
        <v>65</v>
      </c>
      <c r="G140" s="1" t="s">
        <v>16</v>
      </c>
      <c r="H140" s="1" t="s">
        <v>130</v>
      </c>
      <c r="I140" s="1" t="s">
        <v>60</v>
      </c>
      <c r="J140" s="1" t="s">
        <v>67</v>
      </c>
      <c r="K140" s="1" t="s">
        <v>105</v>
      </c>
      <c r="L140" s="3">
        <v>47248</v>
      </c>
      <c r="M140" s="3">
        <v>45422</v>
      </c>
      <c r="N140">
        <f>_xlfn.XLOOKUP(Data[[#This Row],[Status]],Compliance_Status[Status from OPMS],Compliance_Status[Status_Key],"")</f>
        <v>4</v>
      </c>
      <c r="O140">
        <f>_xlfn.XLOOKUP(Data[[#This Row],[Status]],Compliance_Status[Status from OPMS],Compliance_Status[Has Course booking],"")</f>
        <v>0</v>
      </c>
      <c r="P140" t="str">
        <f>_xlfn.XLOOKUP(Data[[#This Row],[StatusKey]],Status_Key[Status_Key],Status_Key[Name],"")</f>
        <v>In Date</v>
      </c>
    </row>
    <row r="141" spans="1:16" x14ac:dyDescent="0.25">
      <c r="A141" s="1">
        <v>153</v>
      </c>
      <c r="B141" s="1" t="s">
        <v>126</v>
      </c>
      <c r="C141" s="1" t="s">
        <v>127</v>
      </c>
      <c r="D141" s="1" t="s">
        <v>128</v>
      </c>
      <c r="E141" s="1" t="s">
        <v>107</v>
      </c>
      <c r="F141" s="1" t="s">
        <v>65</v>
      </c>
      <c r="G141" s="1" t="s">
        <v>16</v>
      </c>
      <c r="H141" s="1" t="s">
        <v>130</v>
      </c>
      <c r="I141" s="1" t="s">
        <v>60</v>
      </c>
      <c r="J141" s="1" t="s">
        <v>67</v>
      </c>
      <c r="K141" s="1" t="s">
        <v>105</v>
      </c>
      <c r="L141" s="3">
        <v>46517</v>
      </c>
      <c r="M141" s="3">
        <v>45422</v>
      </c>
      <c r="N141">
        <f>_xlfn.XLOOKUP(Data[[#This Row],[Status]],Compliance_Status[Status from OPMS],Compliance_Status[Status_Key],"")</f>
        <v>4</v>
      </c>
      <c r="O141">
        <f>_xlfn.XLOOKUP(Data[[#This Row],[Status]],Compliance_Status[Status from OPMS],Compliance_Status[Has Course booking],"")</f>
        <v>0</v>
      </c>
      <c r="P141" t="str">
        <f>_xlfn.XLOOKUP(Data[[#This Row],[StatusKey]],Status_Key[Status_Key],Status_Key[Name],"")</f>
        <v>In Date</v>
      </c>
    </row>
    <row r="142" spans="1:16" x14ac:dyDescent="0.25">
      <c r="A142" s="1">
        <v>153</v>
      </c>
      <c r="B142" s="1" t="s">
        <v>126</v>
      </c>
      <c r="C142" s="1" t="s">
        <v>127</v>
      </c>
      <c r="D142" s="1" t="s">
        <v>128</v>
      </c>
      <c r="E142" s="1" t="s">
        <v>108</v>
      </c>
      <c r="F142" s="1" t="s">
        <v>65</v>
      </c>
      <c r="G142" s="1" t="s">
        <v>16</v>
      </c>
      <c r="H142" s="1" t="s">
        <v>130</v>
      </c>
      <c r="I142" s="1" t="s">
        <v>60</v>
      </c>
      <c r="J142" s="1" t="s">
        <v>67</v>
      </c>
      <c r="K142" s="1" t="s">
        <v>105</v>
      </c>
      <c r="L142" s="3">
        <v>47325</v>
      </c>
      <c r="M142" s="3">
        <v>46229</v>
      </c>
      <c r="N142">
        <f>_xlfn.XLOOKUP(Data[[#This Row],[Status]],Compliance_Status[Status from OPMS],Compliance_Status[Status_Key],"")</f>
        <v>4</v>
      </c>
      <c r="O142">
        <f>_xlfn.XLOOKUP(Data[[#This Row],[Status]],Compliance_Status[Status from OPMS],Compliance_Status[Has Course booking],"")</f>
        <v>0</v>
      </c>
      <c r="P142" t="str">
        <f>_xlfn.XLOOKUP(Data[[#This Row],[StatusKey]],Status_Key[Status_Key],Status_Key[Name],"")</f>
        <v>In Date</v>
      </c>
    </row>
    <row r="143" spans="1:16" x14ac:dyDescent="0.25">
      <c r="A143" s="1">
        <v>153</v>
      </c>
      <c r="B143" s="1" t="s">
        <v>126</v>
      </c>
      <c r="C143" s="1" t="s">
        <v>127</v>
      </c>
      <c r="D143" s="1" t="s">
        <v>128</v>
      </c>
      <c r="E143" s="1" t="s">
        <v>109</v>
      </c>
      <c r="F143" s="1" t="s">
        <v>65</v>
      </c>
      <c r="G143" s="1" t="s">
        <v>16</v>
      </c>
      <c r="H143" s="1" t="s">
        <v>130</v>
      </c>
      <c r="I143" s="1" t="s">
        <v>60</v>
      </c>
      <c r="J143" s="1" t="s">
        <v>67</v>
      </c>
      <c r="K143" s="1" t="s">
        <v>105</v>
      </c>
      <c r="L143" s="3">
        <v>46826</v>
      </c>
      <c r="M143" s="3">
        <v>46095</v>
      </c>
      <c r="N143">
        <f>_xlfn.XLOOKUP(Data[[#This Row],[Status]],Compliance_Status[Status from OPMS],Compliance_Status[Status_Key],"")</f>
        <v>4</v>
      </c>
      <c r="O143">
        <f>_xlfn.XLOOKUP(Data[[#This Row],[Status]],Compliance_Status[Status from OPMS],Compliance_Status[Has Course booking],"")</f>
        <v>0</v>
      </c>
      <c r="P143" t="str">
        <f>_xlfn.XLOOKUP(Data[[#This Row],[StatusKey]],Status_Key[Status_Key],Status_Key[Name],"")</f>
        <v>In Date</v>
      </c>
    </row>
    <row r="144" spans="1:16" x14ac:dyDescent="0.25">
      <c r="A144" s="1">
        <v>153</v>
      </c>
      <c r="B144" s="1" t="s">
        <v>126</v>
      </c>
      <c r="C144" s="1" t="s">
        <v>127</v>
      </c>
      <c r="D144" s="1" t="s">
        <v>128</v>
      </c>
      <c r="E144" s="1" t="s">
        <v>110</v>
      </c>
      <c r="F144" s="1" t="s">
        <v>65</v>
      </c>
      <c r="G144" s="1" t="s">
        <v>16</v>
      </c>
      <c r="H144" s="1" t="s">
        <v>130</v>
      </c>
      <c r="I144" s="1" t="s">
        <v>60</v>
      </c>
      <c r="J144" s="1" t="s">
        <v>67</v>
      </c>
      <c r="K144" s="1" t="s">
        <v>105</v>
      </c>
      <c r="L144" s="3" t="s">
        <v>79</v>
      </c>
      <c r="M144" s="3">
        <v>45422</v>
      </c>
      <c r="N144">
        <f>_xlfn.XLOOKUP(Data[[#This Row],[Status]],Compliance_Status[Status from OPMS],Compliance_Status[Status_Key],"")</f>
        <v>4</v>
      </c>
      <c r="O144">
        <f>_xlfn.XLOOKUP(Data[[#This Row],[Status]],Compliance_Status[Status from OPMS],Compliance_Status[Has Course booking],"")</f>
        <v>0</v>
      </c>
      <c r="P144" t="str">
        <f>_xlfn.XLOOKUP(Data[[#This Row],[StatusKey]],Status_Key[Status_Key],Status_Key[Name],"")</f>
        <v>In Date</v>
      </c>
    </row>
    <row r="145" spans="1:16" x14ac:dyDescent="0.25">
      <c r="A145" s="1">
        <v>153</v>
      </c>
      <c r="B145" s="1" t="s">
        <v>126</v>
      </c>
      <c r="C145" s="1" t="s">
        <v>127</v>
      </c>
      <c r="D145" s="1" t="s">
        <v>128</v>
      </c>
      <c r="E145" s="1" t="s">
        <v>111</v>
      </c>
      <c r="F145" s="1" t="s">
        <v>65</v>
      </c>
      <c r="G145" s="1" t="s">
        <v>16</v>
      </c>
      <c r="H145" s="1" t="s">
        <v>130</v>
      </c>
      <c r="I145" s="1" t="s">
        <v>60</v>
      </c>
      <c r="J145" s="1" t="s">
        <v>67</v>
      </c>
      <c r="K145" s="1" t="s">
        <v>105</v>
      </c>
      <c r="L145" s="3">
        <v>46730</v>
      </c>
      <c r="M145" s="3">
        <v>46000</v>
      </c>
      <c r="N145">
        <f>_xlfn.XLOOKUP(Data[[#This Row],[Status]],Compliance_Status[Status from OPMS],Compliance_Status[Status_Key],"")</f>
        <v>4</v>
      </c>
      <c r="O145">
        <f>_xlfn.XLOOKUP(Data[[#This Row],[Status]],Compliance_Status[Status from OPMS],Compliance_Status[Has Course booking],"")</f>
        <v>0</v>
      </c>
      <c r="P145" t="str">
        <f>_xlfn.XLOOKUP(Data[[#This Row],[StatusKey]],Status_Key[Status_Key],Status_Key[Name],"")</f>
        <v>In Date</v>
      </c>
    </row>
    <row r="146" spans="1:16" x14ac:dyDescent="0.25">
      <c r="A146" s="1">
        <v>153</v>
      </c>
      <c r="B146" s="1" t="s">
        <v>126</v>
      </c>
      <c r="C146" s="1" t="s">
        <v>127</v>
      </c>
      <c r="D146" s="1" t="s">
        <v>128</v>
      </c>
      <c r="E146" s="1" t="s">
        <v>112</v>
      </c>
      <c r="F146" s="1" t="s">
        <v>65</v>
      </c>
      <c r="G146" s="1" t="s">
        <v>16</v>
      </c>
      <c r="H146" s="1" t="s">
        <v>130</v>
      </c>
      <c r="I146" s="1" t="s">
        <v>60</v>
      </c>
      <c r="J146" s="1" t="s">
        <v>67</v>
      </c>
      <c r="K146" s="1" t="s">
        <v>105</v>
      </c>
      <c r="L146" s="3">
        <v>46678</v>
      </c>
      <c r="M146" s="3">
        <v>45948</v>
      </c>
      <c r="N146">
        <f>_xlfn.XLOOKUP(Data[[#This Row],[Status]],Compliance_Status[Status from OPMS],Compliance_Status[Status_Key],"")</f>
        <v>4</v>
      </c>
      <c r="O146">
        <f>_xlfn.XLOOKUP(Data[[#This Row],[Status]],Compliance_Status[Status from OPMS],Compliance_Status[Has Course booking],"")</f>
        <v>0</v>
      </c>
      <c r="P146" t="str">
        <f>_xlfn.XLOOKUP(Data[[#This Row],[StatusKey]],Status_Key[Status_Key],Status_Key[Name],"")</f>
        <v>In Date</v>
      </c>
    </row>
    <row r="147" spans="1:16" x14ac:dyDescent="0.25">
      <c r="A147" s="1">
        <v>153</v>
      </c>
      <c r="B147" s="1" t="s">
        <v>126</v>
      </c>
      <c r="C147" s="1" t="s">
        <v>127</v>
      </c>
      <c r="D147" s="1" t="s">
        <v>128</v>
      </c>
      <c r="E147" s="1" t="s">
        <v>113</v>
      </c>
      <c r="F147" s="1" t="s">
        <v>65</v>
      </c>
      <c r="G147" s="1" t="s">
        <v>16</v>
      </c>
      <c r="H147" s="1" t="s">
        <v>130</v>
      </c>
      <c r="I147" s="1" t="s">
        <v>60</v>
      </c>
      <c r="J147" s="1" t="s">
        <v>67</v>
      </c>
      <c r="K147" s="1" t="s">
        <v>105</v>
      </c>
      <c r="L147" s="3">
        <v>46730</v>
      </c>
      <c r="M147" s="3">
        <v>46000</v>
      </c>
      <c r="N147">
        <f>_xlfn.XLOOKUP(Data[[#This Row],[Status]],Compliance_Status[Status from OPMS],Compliance_Status[Status_Key],"")</f>
        <v>4</v>
      </c>
      <c r="O147">
        <f>_xlfn.XLOOKUP(Data[[#This Row],[Status]],Compliance_Status[Status from OPMS],Compliance_Status[Has Course booking],"")</f>
        <v>0</v>
      </c>
      <c r="P147" t="str">
        <f>_xlfn.XLOOKUP(Data[[#This Row],[StatusKey]],Status_Key[Status_Key],Status_Key[Name],"")</f>
        <v>In Date</v>
      </c>
    </row>
    <row r="148" spans="1:16" x14ac:dyDescent="0.25">
      <c r="A148" s="1">
        <v>157</v>
      </c>
      <c r="B148" s="1" t="s">
        <v>133</v>
      </c>
      <c r="C148" s="1" t="s">
        <v>134</v>
      </c>
      <c r="D148" s="1" t="s">
        <v>135</v>
      </c>
      <c r="E148" s="1" t="s">
        <v>136</v>
      </c>
      <c r="F148" s="1" t="s">
        <v>65</v>
      </c>
      <c r="G148" s="1" t="s">
        <v>16</v>
      </c>
      <c r="H148" s="1" t="s">
        <v>137</v>
      </c>
      <c r="I148" s="1" t="s">
        <v>60</v>
      </c>
      <c r="J148" s="1" t="s">
        <v>67</v>
      </c>
      <c r="K148" s="1" t="s">
        <v>68</v>
      </c>
      <c r="L148" s="3">
        <v>48042</v>
      </c>
      <c r="M148" s="3">
        <v>46217</v>
      </c>
      <c r="N148">
        <f>_xlfn.XLOOKUP(Data[[#This Row],[Status]],Compliance_Status[Status from OPMS],Compliance_Status[Status_Key],"")</f>
        <v>4</v>
      </c>
      <c r="O148">
        <f>_xlfn.XLOOKUP(Data[[#This Row],[Status]],Compliance_Status[Status from OPMS],Compliance_Status[Has Course booking],"")</f>
        <v>0</v>
      </c>
      <c r="P148" t="str">
        <f>_xlfn.XLOOKUP(Data[[#This Row],[StatusKey]],Status_Key[Status_Key],Status_Key[Name],"")</f>
        <v>In Date</v>
      </c>
    </row>
    <row r="149" spans="1:16" x14ac:dyDescent="0.25">
      <c r="A149" s="1">
        <v>157</v>
      </c>
      <c r="B149" s="1" t="s">
        <v>133</v>
      </c>
      <c r="C149" s="1" t="s">
        <v>134</v>
      </c>
      <c r="D149" s="1" t="s">
        <v>135</v>
      </c>
      <c r="E149" s="1" t="s">
        <v>131</v>
      </c>
      <c r="F149" s="1" t="s">
        <v>65</v>
      </c>
      <c r="G149" s="1" t="s">
        <v>16</v>
      </c>
      <c r="H149" s="1" t="s">
        <v>137</v>
      </c>
      <c r="I149" s="1" t="s">
        <v>60</v>
      </c>
      <c r="J149" s="1"/>
      <c r="K149" s="1" t="s">
        <v>68</v>
      </c>
      <c r="L149" s="3">
        <v>48042</v>
      </c>
      <c r="M149" s="3">
        <v>46217</v>
      </c>
      <c r="N149">
        <f>_xlfn.XLOOKUP(Data[[#This Row],[Status]],Compliance_Status[Status from OPMS],Compliance_Status[Status_Key],"")</f>
        <v>4</v>
      </c>
      <c r="O149">
        <f>_xlfn.XLOOKUP(Data[[#This Row],[Status]],Compliance_Status[Status from OPMS],Compliance_Status[Has Course booking],"")</f>
        <v>0</v>
      </c>
      <c r="P149" t="str">
        <f>_xlfn.XLOOKUP(Data[[#This Row],[StatusKey]],Status_Key[Status_Key],Status_Key[Name],"")</f>
        <v>In Date</v>
      </c>
    </row>
    <row r="150" spans="1:16" x14ac:dyDescent="0.25">
      <c r="A150" s="1">
        <v>157</v>
      </c>
      <c r="B150" s="1" t="s">
        <v>133</v>
      </c>
      <c r="C150" s="1" t="s">
        <v>134</v>
      </c>
      <c r="D150" s="1" t="s">
        <v>135</v>
      </c>
      <c r="E150" s="1" t="s">
        <v>69</v>
      </c>
      <c r="F150" s="1" t="s">
        <v>65</v>
      </c>
      <c r="G150" s="1" t="s">
        <v>16</v>
      </c>
      <c r="H150" s="1" t="s">
        <v>137</v>
      </c>
      <c r="I150" s="1" t="s">
        <v>60</v>
      </c>
      <c r="J150" s="1" t="s">
        <v>67</v>
      </c>
      <c r="K150" s="1" t="s">
        <v>68</v>
      </c>
      <c r="L150" s="3">
        <v>47883</v>
      </c>
      <c r="M150" s="3">
        <v>46058</v>
      </c>
      <c r="N150">
        <f>_xlfn.XLOOKUP(Data[[#This Row],[Status]],Compliance_Status[Status from OPMS],Compliance_Status[Status_Key],"")</f>
        <v>4</v>
      </c>
      <c r="O150">
        <f>_xlfn.XLOOKUP(Data[[#This Row],[Status]],Compliance_Status[Status from OPMS],Compliance_Status[Has Course booking],"")</f>
        <v>0</v>
      </c>
      <c r="P150" t="str">
        <f>_xlfn.XLOOKUP(Data[[#This Row],[StatusKey]],Status_Key[Status_Key],Status_Key[Name],"")</f>
        <v>In Date</v>
      </c>
    </row>
    <row r="151" spans="1:16" x14ac:dyDescent="0.25">
      <c r="A151" s="1">
        <v>157</v>
      </c>
      <c r="B151" s="1" t="s">
        <v>133</v>
      </c>
      <c r="C151" s="1" t="s">
        <v>134</v>
      </c>
      <c r="D151" s="1" t="s">
        <v>135</v>
      </c>
      <c r="E151" s="1" t="s">
        <v>70</v>
      </c>
      <c r="F151" s="1"/>
      <c r="G151" s="1" t="s">
        <v>16</v>
      </c>
      <c r="H151" s="1" t="s">
        <v>137</v>
      </c>
      <c r="I151" s="1" t="s">
        <v>60</v>
      </c>
      <c r="J151" s="1" t="s">
        <v>67</v>
      </c>
      <c r="K151" s="1" t="s">
        <v>68</v>
      </c>
      <c r="L151" s="3">
        <v>47054</v>
      </c>
      <c r="M151" s="3">
        <v>45112</v>
      </c>
      <c r="N151">
        <f>_xlfn.XLOOKUP(Data[[#This Row],[Status]],Compliance_Status[Status from OPMS],Compliance_Status[Status_Key],"")</f>
        <v>4</v>
      </c>
      <c r="O151">
        <f>_xlfn.XLOOKUP(Data[[#This Row],[Status]],Compliance_Status[Status from OPMS],Compliance_Status[Has Course booking],"")</f>
        <v>0</v>
      </c>
      <c r="P151" t="str">
        <f>_xlfn.XLOOKUP(Data[[#This Row],[StatusKey]],Status_Key[Status_Key],Status_Key[Name],"")</f>
        <v>In Date</v>
      </c>
    </row>
    <row r="152" spans="1:16" x14ac:dyDescent="0.25">
      <c r="A152" s="1">
        <v>157</v>
      </c>
      <c r="B152" s="1" t="s">
        <v>133</v>
      </c>
      <c r="C152" s="1" t="s">
        <v>134</v>
      </c>
      <c r="D152" s="1" t="s">
        <v>135</v>
      </c>
      <c r="E152" s="1" t="s">
        <v>132</v>
      </c>
      <c r="F152" s="1" t="s">
        <v>65</v>
      </c>
      <c r="G152" s="1" t="s">
        <v>16</v>
      </c>
      <c r="H152" s="1" t="s">
        <v>137</v>
      </c>
      <c r="I152" s="1" t="s">
        <v>60</v>
      </c>
      <c r="J152" s="1"/>
      <c r="K152" s="1" t="s">
        <v>68</v>
      </c>
      <c r="L152" s="3">
        <v>47054</v>
      </c>
      <c r="M152" s="3">
        <v>45112</v>
      </c>
      <c r="N152">
        <f>_xlfn.XLOOKUP(Data[[#This Row],[Status]],Compliance_Status[Status from OPMS],Compliance_Status[Status_Key],"")</f>
        <v>4</v>
      </c>
      <c r="O152">
        <f>_xlfn.XLOOKUP(Data[[#This Row],[Status]],Compliance_Status[Status from OPMS],Compliance_Status[Has Course booking],"")</f>
        <v>0</v>
      </c>
      <c r="P152" t="str">
        <f>_xlfn.XLOOKUP(Data[[#This Row],[StatusKey]],Status_Key[Status_Key],Status_Key[Name],"")</f>
        <v>In Date</v>
      </c>
    </row>
    <row r="153" spans="1:16" x14ac:dyDescent="0.25">
      <c r="A153" s="1">
        <v>157</v>
      </c>
      <c r="B153" s="1" t="s">
        <v>133</v>
      </c>
      <c r="C153" s="1" t="s">
        <v>134</v>
      </c>
      <c r="D153" s="1" t="s">
        <v>135</v>
      </c>
      <c r="E153" s="1" t="s">
        <v>71</v>
      </c>
      <c r="F153" s="1" t="s">
        <v>72</v>
      </c>
      <c r="G153" s="1" t="s">
        <v>18</v>
      </c>
      <c r="H153" s="1" t="s">
        <v>137</v>
      </c>
      <c r="I153" s="1" t="s">
        <v>60</v>
      </c>
      <c r="J153" s="1"/>
      <c r="K153" s="1" t="s">
        <v>68</v>
      </c>
      <c r="L153" s="3"/>
      <c r="M153" s="3"/>
      <c r="N153">
        <f>_xlfn.XLOOKUP(Data[[#This Row],[Status]],Compliance_Status[Status from OPMS],Compliance_Status[Status_Key],"")</f>
        <v>2</v>
      </c>
      <c r="O153">
        <f>_xlfn.XLOOKUP(Data[[#This Row],[Status]],Compliance_Status[Status from OPMS],Compliance_Status[Has Course booking],"")</f>
        <v>0</v>
      </c>
      <c r="P153" t="str">
        <f>_xlfn.XLOOKUP(Data[[#This Row],[StatusKey]],Status_Key[Status_Key],Status_Key[Name],"")</f>
        <v>Outstanding</v>
      </c>
    </row>
    <row r="154" spans="1:16" x14ac:dyDescent="0.25">
      <c r="A154" s="1">
        <v>157</v>
      </c>
      <c r="B154" s="1" t="s">
        <v>133</v>
      </c>
      <c r="C154" s="1" t="s">
        <v>134</v>
      </c>
      <c r="D154" s="1" t="s">
        <v>135</v>
      </c>
      <c r="E154" s="1" t="s">
        <v>73</v>
      </c>
      <c r="F154" s="1" t="s">
        <v>65</v>
      </c>
      <c r="G154" s="1" t="s">
        <v>16</v>
      </c>
      <c r="H154" s="1" t="s">
        <v>137</v>
      </c>
      <c r="I154" s="1" t="s">
        <v>60</v>
      </c>
      <c r="J154" s="1" t="s">
        <v>67</v>
      </c>
      <c r="K154" s="1" t="s">
        <v>68</v>
      </c>
      <c r="L154" s="3">
        <v>46757</v>
      </c>
      <c r="M154" s="3">
        <v>46027</v>
      </c>
      <c r="N154">
        <f>_xlfn.XLOOKUP(Data[[#This Row],[Status]],Compliance_Status[Status from OPMS],Compliance_Status[Status_Key],"")</f>
        <v>4</v>
      </c>
      <c r="O154">
        <f>_xlfn.XLOOKUP(Data[[#This Row],[Status]],Compliance_Status[Status from OPMS],Compliance_Status[Has Course booking],"")</f>
        <v>0</v>
      </c>
      <c r="P154" t="str">
        <f>_xlfn.XLOOKUP(Data[[#This Row],[StatusKey]],Status_Key[Status_Key],Status_Key[Name],"")</f>
        <v>In Date</v>
      </c>
    </row>
    <row r="155" spans="1:16" x14ac:dyDescent="0.25">
      <c r="A155" s="1">
        <v>157</v>
      </c>
      <c r="B155" s="1" t="s">
        <v>133</v>
      </c>
      <c r="C155" s="1" t="s">
        <v>134</v>
      </c>
      <c r="D155" s="1" t="s">
        <v>135</v>
      </c>
      <c r="E155" s="1" t="s">
        <v>74</v>
      </c>
      <c r="F155" s="1" t="s">
        <v>65</v>
      </c>
      <c r="G155" s="1" t="s">
        <v>16</v>
      </c>
      <c r="H155" s="1" t="s">
        <v>137</v>
      </c>
      <c r="I155" s="1" t="s">
        <v>60</v>
      </c>
      <c r="J155" s="1" t="s">
        <v>67</v>
      </c>
      <c r="K155" s="1" t="s">
        <v>68</v>
      </c>
      <c r="L155" s="3">
        <v>46953</v>
      </c>
      <c r="M155" s="3">
        <v>45857</v>
      </c>
      <c r="N155">
        <f>_xlfn.XLOOKUP(Data[[#This Row],[Status]],Compliance_Status[Status from OPMS],Compliance_Status[Status_Key],"")</f>
        <v>4</v>
      </c>
      <c r="O155">
        <f>_xlfn.XLOOKUP(Data[[#This Row],[Status]],Compliance_Status[Status from OPMS],Compliance_Status[Has Course booking],"")</f>
        <v>0</v>
      </c>
      <c r="P155" t="str">
        <f>_xlfn.XLOOKUP(Data[[#This Row],[StatusKey]],Status_Key[Status_Key],Status_Key[Name],"")</f>
        <v>In Date</v>
      </c>
    </row>
    <row r="156" spans="1:16" x14ac:dyDescent="0.25">
      <c r="A156" s="1">
        <v>157</v>
      </c>
      <c r="B156" s="1" t="s">
        <v>133</v>
      </c>
      <c r="C156" s="1" t="s">
        <v>134</v>
      </c>
      <c r="D156" s="1" t="s">
        <v>135</v>
      </c>
      <c r="E156" s="1" t="s">
        <v>75</v>
      </c>
      <c r="F156" s="1" t="s">
        <v>72</v>
      </c>
      <c r="G156" s="1" t="s">
        <v>24</v>
      </c>
      <c r="H156" s="1" t="s">
        <v>137</v>
      </c>
      <c r="I156" s="1" t="s">
        <v>60</v>
      </c>
      <c r="J156" s="1" t="s">
        <v>67</v>
      </c>
      <c r="K156" s="1" t="s">
        <v>68</v>
      </c>
      <c r="L156" s="3">
        <v>46385</v>
      </c>
      <c r="M156" s="3">
        <v>45720</v>
      </c>
      <c r="N156">
        <f>_xlfn.XLOOKUP(Data[[#This Row],[Status]],Compliance_Status[Status from OPMS],Compliance_Status[Status_Key],"")</f>
        <v>3</v>
      </c>
      <c r="O156">
        <f>_xlfn.XLOOKUP(Data[[#This Row],[Status]],Compliance_Status[Status from OPMS],Compliance_Status[Has Course booking],"")</f>
        <v>0</v>
      </c>
      <c r="P156" t="str">
        <f>_xlfn.XLOOKUP(Data[[#This Row],[StatusKey]],Status_Key[Status_Key],Status_Key[Name],"")</f>
        <v>About to expire</v>
      </c>
    </row>
    <row r="157" spans="1:16" x14ac:dyDescent="0.25">
      <c r="A157" s="1">
        <v>157</v>
      </c>
      <c r="B157" s="1" t="s">
        <v>133</v>
      </c>
      <c r="C157" s="1" t="s">
        <v>134</v>
      </c>
      <c r="D157" s="1" t="s">
        <v>135</v>
      </c>
      <c r="E157" s="1" t="s">
        <v>76</v>
      </c>
      <c r="F157" s="1" t="s">
        <v>65</v>
      </c>
      <c r="G157" s="1" t="s">
        <v>16</v>
      </c>
      <c r="H157" s="1" t="s">
        <v>137</v>
      </c>
      <c r="I157" s="1" t="s">
        <v>60</v>
      </c>
      <c r="J157" s="1" t="s">
        <v>67</v>
      </c>
      <c r="K157" s="1" t="s">
        <v>77</v>
      </c>
      <c r="L157" s="3">
        <v>46934</v>
      </c>
      <c r="M157" s="3">
        <v>46194</v>
      </c>
      <c r="N157">
        <f>_xlfn.XLOOKUP(Data[[#This Row],[Status]],Compliance_Status[Status from OPMS],Compliance_Status[Status_Key],"")</f>
        <v>4</v>
      </c>
      <c r="O157">
        <f>_xlfn.XLOOKUP(Data[[#This Row],[Status]],Compliance_Status[Status from OPMS],Compliance_Status[Has Course booking],"")</f>
        <v>0</v>
      </c>
      <c r="P157" t="str">
        <f>_xlfn.XLOOKUP(Data[[#This Row],[StatusKey]],Status_Key[Status_Key],Status_Key[Name],"")</f>
        <v>In Date</v>
      </c>
    </row>
    <row r="158" spans="1:16" x14ac:dyDescent="0.25">
      <c r="A158" s="1">
        <v>157</v>
      </c>
      <c r="B158" s="1" t="s">
        <v>133</v>
      </c>
      <c r="C158" s="1" t="s">
        <v>134</v>
      </c>
      <c r="D158" s="1" t="s">
        <v>135</v>
      </c>
      <c r="E158" s="1" t="s">
        <v>78</v>
      </c>
      <c r="F158" s="1" t="s">
        <v>65</v>
      </c>
      <c r="G158" s="1" t="s">
        <v>16</v>
      </c>
      <c r="H158" s="1" t="s">
        <v>137</v>
      </c>
      <c r="I158" s="1" t="s">
        <v>60</v>
      </c>
      <c r="J158" s="1" t="s">
        <v>67</v>
      </c>
      <c r="K158" s="1" t="s">
        <v>77</v>
      </c>
      <c r="L158" s="3" t="s">
        <v>79</v>
      </c>
      <c r="M158" s="3">
        <v>45375</v>
      </c>
      <c r="N158">
        <f>_xlfn.XLOOKUP(Data[[#This Row],[Status]],Compliance_Status[Status from OPMS],Compliance_Status[Status_Key],"")</f>
        <v>4</v>
      </c>
      <c r="O158">
        <f>_xlfn.XLOOKUP(Data[[#This Row],[Status]],Compliance_Status[Status from OPMS],Compliance_Status[Has Course booking],"")</f>
        <v>0</v>
      </c>
      <c r="P158" t="str">
        <f>_xlfn.XLOOKUP(Data[[#This Row],[StatusKey]],Status_Key[Status_Key],Status_Key[Name],"")</f>
        <v>In Date</v>
      </c>
    </row>
    <row r="159" spans="1:16" x14ac:dyDescent="0.25">
      <c r="A159" s="1">
        <v>157</v>
      </c>
      <c r="B159" s="1" t="s">
        <v>133</v>
      </c>
      <c r="C159" s="1" t="s">
        <v>134</v>
      </c>
      <c r="D159" s="1" t="s">
        <v>135</v>
      </c>
      <c r="E159" s="1" t="s">
        <v>80</v>
      </c>
      <c r="F159" s="1" t="s">
        <v>65</v>
      </c>
      <c r="G159" s="1" t="s">
        <v>16</v>
      </c>
      <c r="H159" s="1" t="s">
        <v>137</v>
      </c>
      <c r="I159" s="1" t="s">
        <v>60</v>
      </c>
      <c r="J159" s="1" t="s">
        <v>67</v>
      </c>
      <c r="K159" s="1" t="s">
        <v>77</v>
      </c>
      <c r="L159" s="3" t="s">
        <v>79</v>
      </c>
      <c r="M159" s="3">
        <v>45392</v>
      </c>
      <c r="N159">
        <f>_xlfn.XLOOKUP(Data[[#This Row],[Status]],Compliance_Status[Status from OPMS],Compliance_Status[Status_Key],"")</f>
        <v>4</v>
      </c>
      <c r="O159">
        <f>_xlfn.XLOOKUP(Data[[#This Row],[Status]],Compliance_Status[Status from OPMS],Compliance_Status[Has Course booking],"")</f>
        <v>0</v>
      </c>
      <c r="P159" t="str">
        <f>_xlfn.XLOOKUP(Data[[#This Row],[StatusKey]],Status_Key[Status_Key],Status_Key[Name],"")</f>
        <v>In Date</v>
      </c>
    </row>
    <row r="160" spans="1:16" x14ac:dyDescent="0.25">
      <c r="A160" s="1">
        <v>157</v>
      </c>
      <c r="B160" s="1" t="s">
        <v>133</v>
      </c>
      <c r="C160" s="1" t="s">
        <v>134</v>
      </c>
      <c r="D160" s="1" t="s">
        <v>135</v>
      </c>
      <c r="E160" s="1" t="s">
        <v>81</v>
      </c>
      <c r="F160" s="1" t="s">
        <v>65</v>
      </c>
      <c r="G160" s="1" t="s">
        <v>16</v>
      </c>
      <c r="H160" s="1" t="s">
        <v>137</v>
      </c>
      <c r="I160" s="1" t="s">
        <v>60</v>
      </c>
      <c r="J160" s="1" t="s">
        <v>67</v>
      </c>
      <c r="K160" s="1" t="s">
        <v>77</v>
      </c>
      <c r="L160" s="3">
        <v>46740</v>
      </c>
      <c r="M160" s="3">
        <v>46010</v>
      </c>
      <c r="N160">
        <f>_xlfn.XLOOKUP(Data[[#This Row],[Status]],Compliance_Status[Status from OPMS],Compliance_Status[Status_Key],"")</f>
        <v>4</v>
      </c>
      <c r="O160">
        <f>_xlfn.XLOOKUP(Data[[#This Row],[Status]],Compliance_Status[Status from OPMS],Compliance_Status[Has Course booking],"")</f>
        <v>0</v>
      </c>
      <c r="P160" t="str">
        <f>_xlfn.XLOOKUP(Data[[#This Row],[StatusKey]],Status_Key[Status_Key],Status_Key[Name],"")</f>
        <v>In Date</v>
      </c>
    </row>
    <row r="161" spans="1:16" x14ac:dyDescent="0.25">
      <c r="A161" s="1">
        <v>157</v>
      </c>
      <c r="B161" s="1" t="s">
        <v>133</v>
      </c>
      <c r="C161" s="1" t="s">
        <v>134</v>
      </c>
      <c r="D161" s="1" t="s">
        <v>135</v>
      </c>
      <c r="E161" s="1" t="s">
        <v>82</v>
      </c>
      <c r="F161" s="1" t="s">
        <v>65</v>
      </c>
      <c r="G161" s="1" t="s">
        <v>16</v>
      </c>
      <c r="H161" s="1" t="s">
        <v>137</v>
      </c>
      <c r="I161" s="1" t="s">
        <v>60</v>
      </c>
      <c r="J161" s="1" t="s">
        <v>67</v>
      </c>
      <c r="K161" s="1" t="s">
        <v>83</v>
      </c>
      <c r="L161" s="3">
        <v>46742</v>
      </c>
      <c r="M161" s="3">
        <v>46012</v>
      </c>
      <c r="N161">
        <f>_xlfn.XLOOKUP(Data[[#This Row],[Status]],Compliance_Status[Status from OPMS],Compliance_Status[Status_Key],"")</f>
        <v>4</v>
      </c>
      <c r="O161">
        <f>_xlfn.XLOOKUP(Data[[#This Row],[Status]],Compliance_Status[Status from OPMS],Compliance_Status[Has Course booking],"")</f>
        <v>0</v>
      </c>
      <c r="P161" t="str">
        <f>_xlfn.XLOOKUP(Data[[#This Row],[StatusKey]],Status_Key[Status_Key],Status_Key[Name],"")</f>
        <v>In Date</v>
      </c>
    </row>
    <row r="162" spans="1:16" x14ac:dyDescent="0.25">
      <c r="A162" s="1">
        <v>157</v>
      </c>
      <c r="B162" s="1" t="s">
        <v>133</v>
      </c>
      <c r="C162" s="1" t="s">
        <v>134</v>
      </c>
      <c r="D162" s="1" t="s">
        <v>135</v>
      </c>
      <c r="E162" s="1" t="s">
        <v>84</v>
      </c>
      <c r="F162" s="1" t="s">
        <v>65</v>
      </c>
      <c r="G162" s="1" t="s">
        <v>16</v>
      </c>
      <c r="H162" s="1" t="s">
        <v>137</v>
      </c>
      <c r="I162" s="1" t="s">
        <v>60</v>
      </c>
      <c r="J162" s="1" t="s">
        <v>67</v>
      </c>
      <c r="K162" s="1" t="s">
        <v>83</v>
      </c>
      <c r="L162" s="3">
        <v>46721</v>
      </c>
      <c r="M162" s="3">
        <v>45991</v>
      </c>
      <c r="N162">
        <f>_xlfn.XLOOKUP(Data[[#This Row],[Status]],Compliance_Status[Status from OPMS],Compliance_Status[Status_Key],"")</f>
        <v>4</v>
      </c>
      <c r="O162">
        <f>_xlfn.XLOOKUP(Data[[#This Row],[Status]],Compliance_Status[Status from OPMS],Compliance_Status[Has Course booking],"")</f>
        <v>0</v>
      </c>
      <c r="P162" t="str">
        <f>_xlfn.XLOOKUP(Data[[#This Row],[StatusKey]],Status_Key[Status_Key],Status_Key[Name],"")</f>
        <v>In Date</v>
      </c>
    </row>
    <row r="163" spans="1:16" x14ac:dyDescent="0.25">
      <c r="A163" s="1">
        <v>157</v>
      </c>
      <c r="B163" s="1" t="s">
        <v>133</v>
      </c>
      <c r="C163" s="1" t="s">
        <v>134</v>
      </c>
      <c r="D163" s="1" t="s">
        <v>135</v>
      </c>
      <c r="E163" s="1" t="s">
        <v>85</v>
      </c>
      <c r="F163" s="1"/>
      <c r="G163" s="1" t="s">
        <v>16</v>
      </c>
      <c r="H163" s="1" t="s">
        <v>137</v>
      </c>
      <c r="I163" s="1" t="s">
        <v>60</v>
      </c>
      <c r="J163" s="1" t="s">
        <v>67</v>
      </c>
      <c r="K163" s="1" t="s">
        <v>86</v>
      </c>
      <c r="L163" s="3" t="s">
        <v>79</v>
      </c>
      <c r="M163" s="3">
        <v>44407</v>
      </c>
      <c r="N163">
        <f>_xlfn.XLOOKUP(Data[[#This Row],[Status]],Compliance_Status[Status from OPMS],Compliance_Status[Status_Key],"")</f>
        <v>4</v>
      </c>
      <c r="O163">
        <f>_xlfn.XLOOKUP(Data[[#This Row],[Status]],Compliance_Status[Status from OPMS],Compliance_Status[Has Course booking],"")</f>
        <v>0</v>
      </c>
      <c r="P163" t="str">
        <f>_xlfn.XLOOKUP(Data[[#This Row],[StatusKey]],Status_Key[Status_Key],Status_Key[Name],"")</f>
        <v>In Date</v>
      </c>
    </row>
    <row r="164" spans="1:16" x14ac:dyDescent="0.25">
      <c r="A164" s="1">
        <v>157</v>
      </c>
      <c r="B164" s="1" t="s">
        <v>133</v>
      </c>
      <c r="C164" s="1" t="s">
        <v>134</v>
      </c>
      <c r="D164" s="1" t="s">
        <v>135</v>
      </c>
      <c r="E164" s="1" t="s">
        <v>87</v>
      </c>
      <c r="F164" s="1"/>
      <c r="G164" s="1" t="s">
        <v>16</v>
      </c>
      <c r="H164" s="1" t="s">
        <v>137</v>
      </c>
      <c r="I164" s="1" t="s">
        <v>60</v>
      </c>
      <c r="J164" s="1" t="s">
        <v>67</v>
      </c>
      <c r="K164" s="1" t="s">
        <v>86</v>
      </c>
      <c r="L164" s="3" t="s">
        <v>79</v>
      </c>
      <c r="M164" s="3">
        <v>44165</v>
      </c>
      <c r="N164">
        <f>_xlfn.XLOOKUP(Data[[#This Row],[Status]],Compliance_Status[Status from OPMS],Compliance_Status[Status_Key],"")</f>
        <v>4</v>
      </c>
      <c r="O164">
        <f>_xlfn.XLOOKUP(Data[[#This Row],[Status]],Compliance_Status[Status from OPMS],Compliance_Status[Has Course booking],"")</f>
        <v>0</v>
      </c>
      <c r="P164" t="str">
        <f>_xlfn.XLOOKUP(Data[[#This Row],[StatusKey]],Status_Key[Status_Key],Status_Key[Name],"")</f>
        <v>In Date</v>
      </c>
    </row>
    <row r="165" spans="1:16" x14ac:dyDescent="0.25">
      <c r="A165" s="1">
        <v>157</v>
      </c>
      <c r="B165" s="1" t="s">
        <v>133</v>
      </c>
      <c r="C165" s="1" t="s">
        <v>134</v>
      </c>
      <c r="D165" s="1" t="s">
        <v>135</v>
      </c>
      <c r="E165" s="1" t="s">
        <v>91</v>
      </c>
      <c r="F165" s="1"/>
      <c r="G165" s="1" t="s">
        <v>16</v>
      </c>
      <c r="H165" s="1" t="s">
        <v>137</v>
      </c>
      <c r="I165" s="1" t="s">
        <v>60</v>
      </c>
      <c r="J165" s="1" t="s">
        <v>67</v>
      </c>
      <c r="K165" s="1" t="s">
        <v>86</v>
      </c>
      <c r="L165" s="3" t="s">
        <v>79</v>
      </c>
      <c r="M165" s="3">
        <v>46228</v>
      </c>
      <c r="N165">
        <f>_xlfn.XLOOKUP(Data[[#This Row],[Status]],Compliance_Status[Status from OPMS],Compliance_Status[Status_Key],"")</f>
        <v>4</v>
      </c>
      <c r="O165">
        <f>_xlfn.XLOOKUP(Data[[#This Row],[Status]],Compliance_Status[Status from OPMS],Compliance_Status[Has Course booking],"")</f>
        <v>0</v>
      </c>
      <c r="P165" t="str">
        <f>_xlfn.XLOOKUP(Data[[#This Row],[StatusKey]],Status_Key[Status_Key],Status_Key[Name],"")</f>
        <v>In Date</v>
      </c>
    </row>
    <row r="166" spans="1:16" x14ac:dyDescent="0.25">
      <c r="A166" s="1">
        <v>157</v>
      </c>
      <c r="B166" s="1" t="s">
        <v>133</v>
      </c>
      <c r="C166" s="1" t="s">
        <v>134</v>
      </c>
      <c r="D166" s="1" t="s">
        <v>135</v>
      </c>
      <c r="E166" s="1" t="s">
        <v>93</v>
      </c>
      <c r="F166" s="1" t="s">
        <v>65</v>
      </c>
      <c r="G166" s="1" t="s">
        <v>16</v>
      </c>
      <c r="H166" s="1" t="s">
        <v>137</v>
      </c>
      <c r="I166" s="1" t="s">
        <v>60</v>
      </c>
      <c r="J166" s="1" t="s">
        <v>67</v>
      </c>
      <c r="K166" s="1" t="s">
        <v>94</v>
      </c>
      <c r="L166" s="3">
        <v>46722</v>
      </c>
      <c r="M166" s="3">
        <v>45992</v>
      </c>
      <c r="N166">
        <f>_xlfn.XLOOKUP(Data[[#This Row],[Status]],Compliance_Status[Status from OPMS],Compliance_Status[Status_Key],"")</f>
        <v>4</v>
      </c>
      <c r="O166">
        <f>_xlfn.XLOOKUP(Data[[#This Row],[Status]],Compliance_Status[Status from OPMS],Compliance_Status[Has Course booking],"")</f>
        <v>0</v>
      </c>
      <c r="P166" t="str">
        <f>_xlfn.XLOOKUP(Data[[#This Row],[StatusKey]],Status_Key[Status_Key],Status_Key[Name],"")</f>
        <v>In Date</v>
      </c>
    </row>
    <row r="167" spans="1:16" x14ac:dyDescent="0.25">
      <c r="A167" s="1">
        <v>157</v>
      </c>
      <c r="B167" s="1" t="s">
        <v>133</v>
      </c>
      <c r="C167" s="1" t="s">
        <v>134</v>
      </c>
      <c r="D167" s="1" t="s">
        <v>135</v>
      </c>
      <c r="E167" s="1" t="s">
        <v>95</v>
      </c>
      <c r="F167" s="1" t="s">
        <v>65</v>
      </c>
      <c r="G167" s="1" t="s">
        <v>16</v>
      </c>
      <c r="H167" s="1" t="s">
        <v>137</v>
      </c>
      <c r="I167" s="1" t="s">
        <v>60</v>
      </c>
      <c r="J167" s="1" t="s">
        <v>67</v>
      </c>
      <c r="K167" s="1" t="s">
        <v>94</v>
      </c>
      <c r="L167" s="3">
        <v>46721</v>
      </c>
      <c r="M167" s="3">
        <v>45991</v>
      </c>
      <c r="N167">
        <f>_xlfn.XLOOKUP(Data[[#This Row],[Status]],Compliance_Status[Status from OPMS],Compliance_Status[Status_Key],"")</f>
        <v>4</v>
      </c>
      <c r="O167">
        <f>_xlfn.XLOOKUP(Data[[#This Row],[Status]],Compliance_Status[Status from OPMS],Compliance_Status[Has Course booking],"")</f>
        <v>0</v>
      </c>
      <c r="P167" t="str">
        <f>_xlfn.XLOOKUP(Data[[#This Row],[StatusKey]],Status_Key[Status_Key],Status_Key[Name],"")</f>
        <v>In Date</v>
      </c>
    </row>
    <row r="168" spans="1:16" x14ac:dyDescent="0.25">
      <c r="A168" s="1">
        <v>157</v>
      </c>
      <c r="B168" s="1" t="s">
        <v>133</v>
      </c>
      <c r="C168" s="1" t="s">
        <v>134</v>
      </c>
      <c r="D168" s="1" t="s">
        <v>135</v>
      </c>
      <c r="E168" s="1" t="s">
        <v>96</v>
      </c>
      <c r="F168" s="1" t="s">
        <v>65</v>
      </c>
      <c r="G168" s="1" t="s">
        <v>16</v>
      </c>
      <c r="H168" s="1" t="s">
        <v>137</v>
      </c>
      <c r="I168" s="1" t="s">
        <v>60</v>
      </c>
      <c r="J168" s="1" t="s">
        <v>67</v>
      </c>
      <c r="K168" s="1" t="s">
        <v>94</v>
      </c>
      <c r="L168" s="3" t="s">
        <v>79</v>
      </c>
      <c r="M168" s="3">
        <v>46023</v>
      </c>
      <c r="N168">
        <f>_xlfn.XLOOKUP(Data[[#This Row],[Status]],Compliance_Status[Status from OPMS],Compliance_Status[Status_Key],"")</f>
        <v>4</v>
      </c>
      <c r="O168">
        <f>_xlfn.XLOOKUP(Data[[#This Row],[Status]],Compliance_Status[Status from OPMS],Compliance_Status[Has Course booking],"")</f>
        <v>0</v>
      </c>
      <c r="P168" t="str">
        <f>_xlfn.XLOOKUP(Data[[#This Row],[StatusKey]],Status_Key[Status_Key],Status_Key[Name],"")</f>
        <v>In Date</v>
      </c>
    </row>
    <row r="169" spans="1:16" x14ac:dyDescent="0.25">
      <c r="A169" s="1">
        <v>157</v>
      </c>
      <c r="B169" s="1" t="s">
        <v>133</v>
      </c>
      <c r="C169" s="1" t="s">
        <v>134</v>
      </c>
      <c r="D169" s="1" t="s">
        <v>135</v>
      </c>
      <c r="E169" s="1" t="s">
        <v>124</v>
      </c>
      <c r="F169" s="1" t="s">
        <v>72</v>
      </c>
      <c r="G169" s="1" t="s">
        <v>18</v>
      </c>
      <c r="H169" s="1" t="s">
        <v>137</v>
      </c>
      <c r="I169" s="1" t="s">
        <v>60</v>
      </c>
      <c r="J169" s="1"/>
      <c r="K169" s="1" t="s">
        <v>125</v>
      </c>
      <c r="L169" s="3"/>
      <c r="M169" s="3"/>
      <c r="N169">
        <f>_xlfn.XLOOKUP(Data[[#This Row],[Status]],Compliance_Status[Status from OPMS],Compliance_Status[Status_Key],"")</f>
        <v>2</v>
      </c>
      <c r="O169">
        <f>_xlfn.XLOOKUP(Data[[#This Row],[Status]],Compliance_Status[Status from OPMS],Compliance_Status[Has Course booking],"")</f>
        <v>0</v>
      </c>
      <c r="P169" t="str">
        <f>_xlfn.XLOOKUP(Data[[#This Row],[StatusKey]],Status_Key[Status_Key],Status_Key[Name],"")</f>
        <v>Outstanding</v>
      </c>
    </row>
    <row r="170" spans="1:16" x14ac:dyDescent="0.25">
      <c r="A170" s="1">
        <v>157</v>
      </c>
      <c r="B170" s="1" t="s">
        <v>133</v>
      </c>
      <c r="C170" s="1" t="s">
        <v>134</v>
      </c>
      <c r="D170" s="1" t="s">
        <v>135</v>
      </c>
      <c r="E170" s="1" t="s">
        <v>97</v>
      </c>
      <c r="F170" s="1" t="s">
        <v>65</v>
      </c>
      <c r="G170" s="1" t="s">
        <v>16</v>
      </c>
      <c r="H170" s="1" t="s">
        <v>137</v>
      </c>
      <c r="I170" s="1" t="s">
        <v>60</v>
      </c>
      <c r="J170" s="1" t="s">
        <v>67</v>
      </c>
      <c r="K170" s="1" t="s">
        <v>98</v>
      </c>
      <c r="L170" s="3">
        <v>47247</v>
      </c>
      <c r="M170" s="3">
        <v>45421</v>
      </c>
      <c r="N170">
        <f>_xlfn.XLOOKUP(Data[[#This Row],[Status]],Compliance_Status[Status from OPMS],Compliance_Status[Status_Key],"")</f>
        <v>4</v>
      </c>
      <c r="O170">
        <f>_xlfn.XLOOKUP(Data[[#This Row],[Status]],Compliance_Status[Status from OPMS],Compliance_Status[Has Course booking],"")</f>
        <v>0</v>
      </c>
      <c r="P170" t="str">
        <f>_xlfn.XLOOKUP(Data[[#This Row],[StatusKey]],Status_Key[Status_Key],Status_Key[Name],"")</f>
        <v>In Date</v>
      </c>
    </row>
    <row r="171" spans="1:16" x14ac:dyDescent="0.25">
      <c r="A171" s="1">
        <v>157</v>
      </c>
      <c r="B171" s="1" t="s">
        <v>133</v>
      </c>
      <c r="C171" s="1" t="s">
        <v>134</v>
      </c>
      <c r="D171" s="1" t="s">
        <v>135</v>
      </c>
      <c r="E171" s="1" t="s">
        <v>101</v>
      </c>
      <c r="F171" s="1" t="s">
        <v>65</v>
      </c>
      <c r="G171" s="1" t="s">
        <v>16</v>
      </c>
      <c r="H171" s="1" t="s">
        <v>137</v>
      </c>
      <c r="I171" s="1" t="s">
        <v>60</v>
      </c>
      <c r="J171" s="1" t="s">
        <v>67</v>
      </c>
      <c r="K171" s="1" t="s">
        <v>102</v>
      </c>
      <c r="L171" s="3" t="s">
        <v>79</v>
      </c>
      <c r="M171" s="3">
        <v>45431</v>
      </c>
      <c r="N171">
        <f>_xlfn.XLOOKUP(Data[[#This Row],[Status]],Compliance_Status[Status from OPMS],Compliance_Status[Status_Key],"")</f>
        <v>4</v>
      </c>
      <c r="O171">
        <f>_xlfn.XLOOKUP(Data[[#This Row],[Status]],Compliance_Status[Status from OPMS],Compliance_Status[Has Course booking],"")</f>
        <v>0</v>
      </c>
      <c r="P171" t="str">
        <f>_xlfn.XLOOKUP(Data[[#This Row],[StatusKey]],Status_Key[Status_Key],Status_Key[Name],"")</f>
        <v>In Date</v>
      </c>
    </row>
    <row r="172" spans="1:16" x14ac:dyDescent="0.25">
      <c r="A172" s="1">
        <v>157</v>
      </c>
      <c r="B172" s="1" t="s">
        <v>133</v>
      </c>
      <c r="C172" s="1" t="s">
        <v>134</v>
      </c>
      <c r="D172" s="1" t="s">
        <v>135</v>
      </c>
      <c r="E172" s="1" t="s">
        <v>103</v>
      </c>
      <c r="F172" s="1" t="s">
        <v>65</v>
      </c>
      <c r="G172" s="1" t="s">
        <v>16</v>
      </c>
      <c r="H172" s="1" t="s">
        <v>137</v>
      </c>
      <c r="I172" s="1" t="s">
        <v>60</v>
      </c>
      <c r="J172" s="1" t="s">
        <v>67</v>
      </c>
      <c r="K172" s="1" t="s">
        <v>102</v>
      </c>
      <c r="L172" s="3">
        <v>46454</v>
      </c>
      <c r="M172" s="3">
        <v>45724</v>
      </c>
      <c r="N172">
        <f>_xlfn.XLOOKUP(Data[[#This Row],[Status]],Compliance_Status[Status from OPMS],Compliance_Status[Status_Key],"")</f>
        <v>4</v>
      </c>
      <c r="O172">
        <f>_xlfn.XLOOKUP(Data[[#This Row],[Status]],Compliance_Status[Status from OPMS],Compliance_Status[Has Course booking],"")</f>
        <v>0</v>
      </c>
      <c r="P172" t="str">
        <f>_xlfn.XLOOKUP(Data[[#This Row],[StatusKey]],Status_Key[Status_Key],Status_Key[Name],"")</f>
        <v>In Date</v>
      </c>
    </row>
    <row r="173" spans="1:16" x14ac:dyDescent="0.25">
      <c r="A173" s="1">
        <v>157</v>
      </c>
      <c r="B173" s="1" t="s">
        <v>133</v>
      </c>
      <c r="C173" s="1" t="s">
        <v>134</v>
      </c>
      <c r="D173" s="1" t="s">
        <v>135</v>
      </c>
      <c r="E173" s="1" t="s">
        <v>104</v>
      </c>
      <c r="F173" s="1" t="s">
        <v>65</v>
      </c>
      <c r="G173" s="1" t="s">
        <v>16</v>
      </c>
      <c r="H173" s="1" t="s">
        <v>137</v>
      </c>
      <c r="I173" s="1" t="s">
        <v>60</v>
      </c>
      <c r="J173" s="1" t="s">
        <v>67</v>
      </c>
      <c r="K173" s="1" t="s">
        <v>105</v>
      </c>
      <c r="L173" s="3">
        <v>46806</v>
      </c>
      <c r="M173" s="3">
        <v>46076</v>
      </c>
      <c r="N173">
        <f>_xlfn.XLOOKUP(Data[[#This Row],[Status]],Compliance_Status[Status from OPMS],Compliance_Status[Status_Key],"")</f>
        <v>4</v>
      </c>
      <c r="O173">
        <f>_xlfn.XLOOKUP(Data[[#This Row],[Status]],Compliance_Status[Status from OPMS],Compliance_Status[Has Course booking],"")</f>
        <v>0</v>
      </c>
      <c r="P173" t="str">
        <f>_xlfn.XLOOKUP(Data[[#This Row],[StatusKey]],Status_Key[Status_Key],Status_Key[Name],"")</f>
        <v>In Date</v>
      </c>
    </row>
    <row r="174" spans="1:16" x14ac:dyDescent="0.25">
      <c r="A174" s="1">
        <v>157</v>
      </c>
      <c r="B174" s="1" t="s">
        <v>133</v>
      </c>
      <c r="C174" s="1" t="s">
        <v>134</v>
      </c>
      <c r="D174" s="1" t="s">
        <v>135</v>
      </c>
      <c r="E174" s="1" t="s">
        <v>106</v>
      </c>
      <c r="F174" s="1" t="s">
        <v>65</v>
      </c>
      <c r="G174" s="1" t="s">
        <v>16</v>
      </c>
      <c r="H174" s="1" t="s">
        <v>137</v>
      </c>
      <c r="I174" s="1" t="s">
        <v>60</v>
      </c>
      <c r="J174" s="1" t="s">
        <v>67</v>
      </c>
      <c r="K174" s="1" t="s">
        <v>105</v>
      </c>
      <c r="L174" s="3">
        <v>47246</v>
      </c>
      <c r="M174" s="3">
        <v>45420</v>
      </c>
      <c r="N174">
        <f>_xlfn.XLOOKUP(Data[[#This Row],[Status]],Compliance_Status[Status from OPMS],Compliance_Status[Status_Key],"")</f>
        <v>4</v>
      </c>
      <c r="O174">
        <f>_xlfn.XLOOKUP(Data[[#This Row],[Status]],Compliance_Status[Status from OPMS],Compliance_Status[Has Course booking],"")</f>
        <v>0</v>
      </c>
      <c r="P174" t="str">
        <f>_xlfn.XLOOKUP(Data[[#This Row],[StatusKey]],Status_Key[Status_Key],Status_Key[Name],"")</f>
        <v>In Date</v>
      </c>
    </row>
    <row r="175" spans="1:16" x14ac:dyDescent="0.25">
      <c r="A175" s="1">
        <v>157</v>
      </c>
      <c r="B175" s="1" t="s">
        <v>133</v>
      </c>
      <c r="C175" s="1" t="s">
        <v>134</v>
      </c>
      <c r="D175" s="1" t="s">
        <v>135</v>
      </c>
      <c r="E175" s="1" t="s">
        <v>107</v>
      </c>
      <c r="F175" s="1" t="s">
        <v>65</v>
      </c>
      <c r="G175" s="1" t="s">
        <v>16</v>
      </c>
      <c r="H175" s="1" t="s">
        <v>137</v>
      </c>
      <c r="I175" s="1" t="s">
        <v>60</v>
      </c>
      <c r="J175" s="1" t="s">
        <v>67</v>
      </c>
      <c r="K175" s="1" t="s">
        <v>105</v>
      </c>
      <c r="L175" s="3">
        <v>46516</v>
      </c>
      <c r="M175" s="3">
        <v>45421</v>
      </c>
      <c r="N175">
        <f>_xlfn.XLOOKUP(Data[[#This Row],[Status]],Compliance_Status[Status from OPMS],Compliance_Status[Status_Key],"")</f>
        <v>4</v>
      </c>
      <c r="O175">
        <f>_xlfn.XLOOKUP(Data[[#This Row],[Status]],Compliance_Status[Status from OPMS],Compliance_Status[Has Course booking],"")</f>
        <v>0</v>
      </c>
      <c r="P175" t="str">
        <f>_xlfn.XLOOKUP(Data[[#This Row],[StatusKey]],Status_Key[Status_Key],Status_Key[Name],"")</f>
        <v>In Date</v>
      </c>
    </row>
    <row r="176" spans="1:16" x14ac:dyDescent="0.25">
      <c r="A176" s="1">
        <v>157</v>
      </c>
      <c r="B176" s="1" t="s">
        <v>133</v>
      </c>
      <c r="C176" s="1" t="s">
        <v>134</v>
      </c>
      <c r="D176" s="1" t="s">
        <v>135</v>
      </c>
      <c r="E176" s="1" t="s">
        <v>108</v>
      </c>
      <c r="F176" s="1" t="s">
        <v>65</v>
      </c>
      <c r="G176" s="1" t="s">
        <v>16</v>
      </c>
      <c r="H176" s="1" t="s">
        <v>137</v>
      </c>
      <c r="I176" s="1" t="s">
        <v>60</v>
      </c>
      <c r="J176" s="1" t="s">
        <v>67</v>
      </c>
      <c r="K176" s="1" t="s">
        <v>105</v>
      </c>
      <c r="L176" s="3">
        <v>47315</v>
      </c>
      <c r="M176" s="3">
        <v>46219</v>
      </c>
      <c r="N176">
        <f>_xlfn.XLOOKUP(Data[[#This Row],[Status]],Compliance_Status[Status from OPMS],Compliance_Status[Status_Key],"")</f>
        <v>4</v>
      </c>
      <c r="O176">
        <f>_xlfn.XLOOKUP(Data[[#This Row],[Status]],Compliance_Status[Status from OPMS],Compliance_Status[Has Course booking],"")</f>
        <v>0</v>
      </c>
      <c r="P176" t="str">
        <f>_xlfn.XLOOKUP(Data[[#This Row],[StatusKey]],Status_Key[Status_Key],Status_Key[Name],"")</f>
        <v>In Date</v>
      </c>
    </row>
    <row r="177" spans="1:16" x14ac:dyDescent="0.25">
      <c r="A177" s="1">
        <v>157</v>
      </c>
      <c r="B177" s="1" t="s">
        <v>133</v>
      </c>
      <c r="C177" s="1" t="s">
        <v>134</v>
      </c>
      <c r="D177" s="1" t="s">
        <v>135</v>
      </c>
      <c r="E177" s="1" t="s">
        <v>109</v>
      </c>
      <c r="F177" s="1" t="s">
        <v>65</v>
      </c>
      <c r="G177" s="1" t="s">
        <v>16</v>
      </c>
      <c r="H177" s="1" t="s">
        <v>137</v>
      </c>
      <c r="I177" s="1" t="s">
        <v>60</v>
      </c>
      <c r="J177" s="1" t="s">
        <v>67</v>
      </c>
      <c r="K177" s="1" t="s">
        <v>105</v>
      </c>
      <c r="L177" s="3">
        <v>46806</v>
      </c>
      <c r="M177" s="3">
        <v>46076</v>
      </c>
      <c r="N177">
        <f>_xlfn.XLOOKUP(Data[[#This Row],[Status]],Compliance_Status[Status from OPMS],Compliance_Status[Status_Key],"")</f>
        <v>4</v>
      </c>
      <c r="O177">
        <f>_xlfn.XLOOKUP(Data[[#This Row],[Status]],Compliance_Status[Status from OPMS],Compliance_Status[Has Course booking],"")</f>
        <v>0</v>
      </c>
      <c r="P177" t="str">
        <f>_xlfn.XLOOKUP(Data[[#This Row],[StatusKey]],Status_Key[Status_Key],Status_Key[Name],"")</f>
        <v>In Date</v>
      </c>
    </row>
    <row r="178" spans="1:16" x14ac:dyDescent="0.25">
      <c r="A178" s="1">
        <v>157</v>
      </c>
      <c r="B178" s="1" t="s">
        <v>133</v>
      </c>
      <c r="C178" s="1" t="s">
        <v>134</v>
      </c>
      <c r="D178" s="1" t="s">
        <v>135</v>
      </c>
      <c r="E178" s="1" t="s">
        <v>110</v>
      </c>
      <c r="F178" s="1" t="s">
        <v>65</v>
      </c>
      <c r="G178" s="1" t="s">
        <v>16</v>
      </c>
      <c r="H178" s="1" t="s">
        <v>137</v>
      </c>
      <c r="I178" s="1" t="s">
        <v>60</v>
      </c>
      <c r="J178" s="1" t="s">
        <v>67</v>
      </c>
      <c r="K178" s="1" t="s">
        <v>105</v>
      </c>
      <c r="L178" s="3" t="s">
        <v>79</v>
      </c>
      <c r="M178" s="3">
        <v>45421</v>
      </c>
      <c r="N178">
        <f>_xlfn.XLOOKUP(Data[[#This Row],[Status]],Compliance_Status[Status from OPMS],Compliance_Status[Status_Key],"")</f>
        <v>4</v>
      </c>
      <c r="O178">
        <f>_xlfn.XLOOKUP(Data[[#This Row],[Status]],Compliance_Status[Status from OPMS],Compliance_Status[Has Course booking],"")</f>
        <v>0</v>
      </c>
      <c r="P178" t="str">
        <f>_xlfn.XLOOKUP(Data[[#This Row],[StatusKey]],Status_Key[Status_Key],Status_Key[Name],"")</f>
        <v>In Date</v>
      </c>
    </row>
    <row r="179" spans="1:16" x14ac:dyDescent="0.25">
      <c r="A179" s="1">
        <v>157</v>
      </c>
      <c r="B179" s="1" t="s">
        <v>133</v>
      </c>
      <c r="C179" s="1" t="s">
        <v>134</v>
      </c>
      <c r="D179" s="1" t="s">
        <v>135</v>
      </c>
      <c r="E179" s="1" t="s">
        <v>111</v>
      </c>
      <c r="F179" s="1" t="s">
        <v>65</v>
      </c>
      <c r="G179" s="1" t="s">
        <v>16</v>
      </c>
      <c r="H179" s="1" t="s">
        <v>137</v>
      </c>
      <c r="I179" s="1" t="s">
        <v>60</v>
      </c>
      <c r="J179" s="1" t="s">
        <v>67</v>
      </c>
      <c r="K179" s="1" t="s">
        <v>105</v>
      </c>
      <c r="L179" s="3">
        <v>46723</v>
      </c>
      <c r="M179" s="3">
        <v>45993</v>
      </c>
      <c r="N179">
        <f>_xlfn.XLOOKUP(Data[[#This Row],[Status]],Compliance_Status[Status from OPMS],Compliance_Status[Status_Key],"")</f>
        <v>4</v>
      </c>
      <c r="O179">
        <f>_xlfn.XLOOKUP(Data[[#This Row],[Status]],Compliance_Status[Status from OPMS],Compliance_Status[Has Course booking],"")</f>
        <v>0</v>
      </c>
      <c r="P179" t="str">
        <f>_xlfn.XLOOKUP(Data[[#This Row],[StatusKey]],Status_Key[Status_Key],Status_Key[Name],"")</f>
        <v>In Date</v>
      </c>
    </row>
    <row r="180" spans="1:16" x14ac:dyDescent="0.25">
      <c r="A180" s="1">
        <v>157</v>
      </c>
      <c r="B180" s="1" t="s">
        <v>133</v>
      </c>
      <c r="C180" s="1" t="s">
        <v>134</v>
      </c>
      <c r="D180" s="1" t="s">
        <v>135</v>
      </c>
      <c r="E180" s="1" t="s">
        <v>112</v>
      </c>
      <c r="F180" s="1" t="s">
        <v>65</v>
      </c>
      <c r="G180" s="1" t="s">
        <v>16</v>
      </c>
      <c r="H180" s="1" t="s">
        <v>137</v>
      </c>
      <c r="I180" s="1" t="s">
        <v>60</v>
      </c>
      <c r="J180" s="1" t="s">
        <v>67</v>
      </c>
      <c r="K180" s="1" t="s">
        <v>105</v>
      </c>
      <c r="L180" s="3">
        <v>46806</v>
      </c>
      <c r="M180" s="3">
        <v>46076</v>
      </c>
      <c r="N180">
        <f>_xlfn.XLOOKUP(Data[[#This Row],[Status]],Compliance_Status[Status from OPMS],Compliance_Status[Status_Key],"")</f>
        <v>4</v>
      </c>
      <c r="O180">
        <f>_xlfn.XLOOKUP(Data[[#This Row],[Status]],Compliance_Status[Status from OPMS],Compliance_Status[Has Course booking],"")</f>
        <v>0</v>
      </c>
      <c r="P180" t="str">
        <f>_xlfn.XLOOKUP(Data[[#This Row],[StatusKey]],Status_Key[Status_Key],Status_Key[Name],"")</f>
        <v>In Date</v>
      </c>
    </row>
    <row r="181" spans="1:16" x14ac:dyDescent="0.25">
      <c r="A181" s="1">
        <v>157</v>
      </c>
      <c r="B181" s="1" t="s">
        <v>133</v>
      </c>
      <c r="C181" s="1" t="s">
        <v>134</v>
      </c>
      <c r="D181" s="1" t="s">
        <v>135</v>
      </c>
      <c r="E181" s="1" t="s">
        <v>113</v>
      </c>
      <c r="F181" s="1" t="s">
        <v>65</v>
      </c>
      <c r="G181" s="1" t="s">
        <v>16</v>
      </c>
      <c r="H181" s="1" t="s">
        <v>137</v>
      </c>
      <c r="I181" s="1" t="s">
        <v>60</v>
      </c>
      <c r="J181" s="1" t="s">
        <v>67</v>
      </c>
      <c r="K181" s="1" t="s">
        <v>105</v>
      </c>
      <c r="L181" s="3">
        <v>46743</v>
      </c>
      <c r="M181" s="3">
        <v>46013</v>
      </c>
      <c r="N181">
        <f>_xlfn.XLOOKUP(Data[[#This Row],[Status]],Compliance_Status[Status from OPMS],Compliance_Status[Status_Key],"")</f>
        <v>4</v>
      </c>
      <c r="O181">
        <f>_xlfn.XLOOKUP(Data[[#This Row],[Status]],Compliance_Status[Status from OPMS],Compliance_Status[Has Course booking],"")</f>
        <v>0</v>
      </c>
      <c r="P181" t="str">
        <f>_xlfn.XLOOKUP(Data[[#This Row],[StatusKey]],Status_Key[Status_Key],Status_Key[Name],"")</f>
        <v>In Date</v>
      </c>
    </row>
    <row r="182" spans="1:16" x14ac:dyDescent="0.25">
      <c r="A182" s="1">
        <v>156</v>
      </c>
      <c r="B182" s="1" t="s">
        <v>138</v>
      </c>
      <c r="C182" s="1" t="s">
        <v>139</v>
      </c>
      <c r="D182" s="1" t="s">
        <v>140</v>
      </c>
      <c r="E182" s="1" t="s">
        <v>136</v>
      </c>
      <c r="F182" s="1" t="s">
        <v>65</v>
      </c>
      <c r="G182" s="1" t="s">
        <v>16</v>
      </c>
      <c r="H182" s="1" t="s">
        <v>137</v>
      </c>
      <c r="I182" s="1" t="s">
        <v>60</v>
      </c>
      <c r="J182" s="1" t="s">
        <v>67</v>
      </c>
      <c r="K182" s="1" t="s">
        <v>68</v>
      </c>
      <c r="L182" s="3">
        <v>46522</v>
      </c>
      <c r="M182" s="3">
        <v>45082</v>
      </c>
      <c r="N182">
        <f>_xlfn.XLOOKUP(Data[[#This Row],[Status]],Compliance_Status[Status from OPMS],Compliance_Status[Status_Key],"")</f>
        <v>4</v>
      </c>
      <c r="O182">
        <f>_xlfn.XLOOKUP(Data[[#This Row],[Status]],Compliance_Status[Status from OPMS],Compliance_Status[Has Course booking],"")</f>
        <v>0</v>
      </c>
      <c r="P182" t="str">
        <f>_xlfn.XLOOKUP(Data[[#This Row],[StatusKey]],Status_Key[Status_Key],Status_Key[Name],"")</f>
        <v>In Date</v>
      </c>
    </row>
    <row r="183" spans="1:16" x14ac:dyDescent="0.25">
      <c r="A183" s="1">
        <v>156</v>
      </c>
      <c r="B183" s="1" t="s">
        <v>138</v>
      </c>
      <c r="C183" s="1" t="s">
        <v>139</v>
      </c>
      <c r="D183" s="1" t="s">
        <v>140</v>
      </c>
      <c r="E183" s="1" t="s">
        <v>131</v>
      </c>
      <c r="F183" s="1" t="s">
        <v>65</v>
      </c>
      <c r="G183" s="1" t="s">
        <v>24</v>
      </c>
      <c r="H183" s="1" t="s">
        <v>137</v>
      </c>
      <c r="I183" s="1" t="s">
        <v>60</v>
      </c>
      <c r="J183" s="1" t="s">
        <v>67</v>
      </c>
      <c r="K183" s="1" t="s">
        <v>68</v>
      </c>
      <c r="L183" s="3">
        <v>46387</v>
      </c>
      <c r="M183" s="3">
        <v>44548</v>
      </c>
      <c r="N183">
        <f>_xlfn.XLOOKUP(Data[[#This Row],[Status]],Compliance_Status[Status from OPMS],Compliance_Status[Status_Key],"")</f>
        <v>3</v>
      </c>
      <c r="O183">
        <f>_xlfn.XLOOKUP(Data[[#This Row],[Status]],Compliance_Status[Status from OPMS],Compliance_Status[Has Course booking],"")</f>
        <v>0</v>
      </c>
      <c r="P183" t="str">
        <f>_xlfn.XLOOKUP(Data[[#This Row],[StatusKey]],Status_Key[Status_Key],Status_Key[Name],"")</f>
        <v>About to expire</v>
      </c>
    </row>
    <row r="184" spans="1:16" x14ac:dyDescent="0.25">
      <c r="A184" s="1">
        <v>156</v>
      </c>
      <c r="B184" s="1" t="s">
        <v>138</v>
      </c>
      <c r="C184" s="1" t="s">
        <v>139</v>
      </c>
      <c r="D184" s="1" t="s">
        <v>140</v>
      </c>
      <c r="E184" s="1" t="s">
        <v>69</v>
      </c>
      <c r="F184" s="1" t="s">
        <v>65</v>
      </c>
      <c r="G184" s="1" t="s">
        <v>16</v>
      </c>
      <c r="H184" s="1" t="s">
        <v>137</v>
      </c>
      <c r="I184" s="1" t="s">
        <v>60</v>
      </c>
      <c r="J184" s="1" t="s">
        <v>67</v>
      </c>
      <c r="K184" s="1" t="s">
        <v>68</v>
      </c>
      <c r="L184" s="3">
        <v>47209</v>
      </c>
      <c r="M184" s="3">
        <v>45384</v>
      </c>
      <c r="N184">
        <f>_xlfn.XLOOKUP(Data[[#This Row],[Status]],Compliance_Status[Status from OPMS],Compliance_Status[Status_Key],"")</f>
        <v>4</v>
      </c>
      <c r="O184">
        <f>_xlfn.XLOOKUP(Data[[#This Row],[Status]],Compliance_Status[Status from OPMS],Compliance_Status[Has Course booking],"")</f>
        <v>0</v>
      </c>
      <c r="P184" t="str">
        <f>_xlfn.XLOOKUP(Data[[#This Row],[StatusKey]],Status_Key[Status_Key],Status_Key[Name],"")</f>
        <v>In Date</v>
      </c>
    </row>
    <row r="185" spans="1:16" x14ac:dyDescent="0.25">
      <c r="A185" s="1">
        <v>156</v>
      </c>
      <c r="B185" s="1" t="s">
        <v>138</v>
      </c>
      <c r="C185" s="1" t="s">
        <v>139</v>
      </c>
      <c r="D185" s="1" t="s">
        <v>140</v>
      </c>
      <c r="E185" s="1" t="s">
        <v>70</v>
      </c>
      <c r="F185" s="1"/>
      <c r="G185" s="1" t="s">
        <v>16</v>
      </c>
      <c r="H185" s="1" t="s">
        <v>137</v>
      </c>
      <c r="I185" s="1" t="s">
        <v>60</v>
      </c>
      <c r="J185" s="1" t="s">
        <v>67</v>
      </c>
      <c r="K185" s="1" t="s">
        <v>68</v>
      </c>
      <c r="L185" s="3">
        <v>46650</v>
      </c>
      <c r="M185" s="3">
        <v>44825</v>
      </c>
      <c r="N185">
        <f>_xlfn.XLOOKUP(Data[[#This Row],[Status]],Compliance_Status[Status from OPMS],Compliance_Status[Status_Key],"")</f>
        <v>4</v>
      </c>
      <c r="O185">
        <f>_xlfn.XLOOKUP(Data[[#This Row],[Status]],Compliance_Status[Status from OPMS],Compliance_Status[Has Course booking],"")</f>
        <v>0</v>
      </c>
      <c r="P185" t="str">
        <f>_xlfn.XLOOKUP(Data[[#This Row],[StatusKey]],Status_Key[Status_Key],Status_Key[Name],"")</f>
        <v>In Date</v>
      </c>
    </row>
    <row r="186" spans="1:16" x14ac:dyDescent="0.25">
      <c r="A186" s="1">
        <v>156</v>
      </c>
      <c r="B186" s="1" t="s">
        <v>138</v>
      </c>
      <c r="C186" s="1" t="s">
        <v>139</v>
      </c>
      <c r="D186" s="1" t="s">
        <v>140</v>
      </c>
      <c r="E186" s="1" t="s">
        <v>132</v>
      </c>
      <c r="F186" s="1" t="s">
        <v>65</v>
      </c>
      <c r="G186" s="1" t="s">
        <v>16</v>
      </c>
      <c r="H186" s="1" t="s">
        <v>137</v>
      </c>
      <c r="I186" s="1" t="s">
        <v>60</v>
      </c>
      <c r="J186" s="1"/>
      <c r="K186" s="1" t="s">
        <v>68</v>
      </c>
      <c r="L186" s="3">
        <v>46650</v>
      </c>
      <c r="M186" s="3">
        <v>44825</v>
      </c>
      <c r="N186">
        <f>_xlfn.XLOOKUP(Data[[#This Row],[Status]],Compliance_Status[Status from OPMS],Compliance_Status[Status_Key],"")</f>
        <v>4</v>
      </c>
      <c r="O186">
        <f>_xlfn.XLOOKUP(Data[[#This Row],[Status]],Compliance_Status[Status from OPMS],Compliance_Status[Has Course booking],"")</f>
        <v>0</v>
      </c>
      <c r="P186" t="str">
        <f>_xlfn.XLOOKUP(Data[[#This Row],[StatusKey]],Status_Key[Status_Key],Status_Key[Name],"")</f>
        <v>In Date</v>
      </c>
    </row>
    <row r="187" spans="1:16" x14ac:dyDescent="0.25">
      <c r="A187" s="1">
        <v>156</v>
      </c>
      <c r="B187" s="1" t="s">
        <v>138</v>
      </c>
      <c r="C187" s="1" t="s">
        <v>139</v>
      </c>
      <c r="D187" s="1" t="s">
        <v>140</v>
      </c>
      <c r="E187" s="1" t="s">
        <v>71</v>
      </c>
      <c r="F187" s="1" t="s">
        <v>72</v>
      </c>
      <c r="G187" s="1" t="s">
        <v>18</v>
      </c>
      <c r="H187" s="1" t="s">
        <v>137</v>
      </c>
      <c r="I187" s="1" t="s">
        <v>60</v>
      </c>
      <c r="J187" s="1"/>
      <c r="K187" s="1" t="s">
        <v>68</v>
      </c>
      <c r="L187" s="3"/>
      <c r="M187" s="3"/>
      <c r="N187">
        <f>_xlfn.XLOOKUP(Data[[#This Row],[Status]],Compliance_Status[Status from OPMS],Compliance_Status[Status_Key],"")</f>
        <v>2</v>
      </c>
      <c r="O187">
        <f>_xlfn.XLOOKUP(Data[[#This Row],[Status]],Compliance_Status[Status from OPMS],Compliance_Status[Has Course booking],"")</f>
        <v>0</v>
      </c>
      <c r="P187" t="str">
        <f>_xlfn.XLOOKUP(Data[[#This Row],[StatusKey]],Status_Key[Status_Key],Status_Key[Name],"")</f>
        <v>Outstanding</v>
      </c>
    </row>
    <row r="188" spans="1:16" x14ac:dyDescent="0.25">
      <c r="A188" s="1">
        <v>156</v>
      </c>
      <c r="B188" s="1" t="s">
        <v>138</v>
      </c>
      <c r="C188" s="1" t="s">
        <v>139</v>
      </c>
      <c r="D188" s="1" t="s">
        <v>140</v>
      </c>
      <c r="E188" s="1" t="s">
        <v>73</v>
      </c>
      <c r="F188" s="1" t="s">
        <v>65</v>
      </c>
      <c r="G188" s="1" t="s">
        <v>16</v>
      </c>
      <c r="H188" s="1" t="s">
        <v>137</v>
      </c>
      <c r="I188" s="1" t="s">
        <v>60</v>
      </c>
      <c r="J188" s="1" t="s">
        <v>67</v>
      </c>
      <c r="K188" s="1" t="s">
        <v>68</v>
      </c>
      <c r="L188" s="3">
        <v>46535</v>
      </c>
      <c r="M188" s="3">
        <v>45805</v>
      </c>
      <c r="N188">
        <f>_xlfn.XLOOKUP(Data[[#This Row],[Status]],Compliance_Status[Status from OPMS],Compliance_Status[Status_Key],"")</f>
        <v>4</v>
      </c>
      <c r="O188">
        <f>_xlfn.XLOOKUP(Data[[#This Row],[Status]],Compliance_Status[Status from OPMS],Compliance_Status[Has Course booking],"")</f>
        <v>0</v>
      </c>
      <c r="P188" t="str">
        <f>_xlfn.XLOOKUP(Data[[#This Row],[StatusKey]],Status_Key[Status_Key],Status_Key[Name],"")</f>
        <v>In Date</v>
      </c>
    </row>
    <row r="189" spans="1:16" x14ac:dyDescent="0.25">
      <c r="A189" s="1">
        <v>156</v>
      </c>
      <c r="B189" s="1" t="s">
        <v>138</v>
      </c>
      <c r="C189" s="1" t="s">
        <v>139</v>
      </c>
      <c r="D189" s="1" t="s">
        <v>140</v>
      </c>
      <c r="E189" s="1" t="s">
        <v>74</v>
      </c>
      <c r="F189" s="1" t="s">
        <v>65</v>
      </c>
      <c r="G189" s="1" t="s">
        <v>16</v>
      </c>
      <c r="H189" s="1" t="s">
        <v>137</v>
      </c>
      <c r="I189" s="1" t="s">
        <v>60</v>
      </c>
      <c r="J189" s="1" t="s">
        <v>67</v>
      </c>
      <c r="K189" s="1" t="s">
        <v>68</v>
      </c>
      <c r="L189" s="3">
        <v>46501</v>
      </c>
      <c r="M189" s="3">
        <v>45406</v>
      </c>
      <c r="N189">
        <f>_xlfn.XLOOKUP(Data[[#This Row],[Status]],Compliance_Status[Status from OPMS],Compliance_Status[Status_Key],"")</f>
        <v>4</v>
      </c>
      <c r="O189">
        <f>_xlfn.XLOOKUP(Data[[#This Row],[Status]],Compliance_Status[Status from OPMS],Compliance_Status[Has Course booking],"")</f>
        <v>0</v>
      </c>
      <c r="P189" t="str">
        <f>_xlfn.XLOOKUP(Data[[#This Row],[StatusKey]],Status_Key[Status_Key],Status_Key[Name],"")</f>
        <v>In Date</v>
      </c>
    </row>
    <row r="190" spans="1:16" x14ac:dyDescent="0.25">
      <c r="A190" s="1">
        <v>156</v>
      </c>
      <c r="B190" s="1" t="s">
        <v>138</v>
      </c>
      <c r="C190" s="1" t="s">
        <v>139</v>
      </c>
      <c r="D190" s="1" t="s">
        <v>140</v>
      </c>
      <c r="E190" s="1" t="s">
        <v>75</v>
      </c>
      <c r="F190" s="1" t="s">
        <v>72</v>
      </c>
      <c r="G190" s="1" t="s">
        <v>18</v>
      </c>
      <c r="H190" s="1" t="s">
        <v>137</v>
      </c>
      <c r="I190" s="1" t="s">
        <v>60</v>
      </c>
      <c r="J190" s="1"/>
      <c r="K190" s="1" t="s">
        <v>68</v>
      </c>
      <c r="L190" s="3"/>
      <c r="M190" s="3"/>
      <c r="N190">
        <f>_xlfn.XLOOKUP(Data[[#This Row],[Status]],Compliance_Status[Status from OPMS],Compliance_Status[Status_Key],"")</f>
        <v>2</v>
      </c>
      <c r="O190">
        <f>_xlfn.XLOOKUP(Data[[#This Row],[Status]],Compliance_Status[Status from OPMS],Compliance_Status[Has Course booking],"")</f>
        <v>0</v>
      </c>
      <c r="P190" t="str">
        <f>_xlfn.XLOOKUP(Data[[#This Row],[StatusKey]],Status_Key[Status_Key],Status_Key[Name],"")</f>
        <v>Outstanding</v>
      </c>
    </row>
    <row r="191" spans="1:16" x14ac:dyDescent="0.25">
      <c r="A191" s="1">
        <v>156</v>
      </c>
      <c r="B191" s="1" t="s">
        <v>138</v>
      </c>
      <c r="C191" s="1" t="s">
        <v>139</v>
      </c>
      <c r="D191" s="1" t="s">
        <v>140</v>
      </c>
      <c r="E191" s="1" t="s">
        <v>76</v>
      </c>
      <c r="F191" s="1" t="s">
        <v>65</v>
      </c>
      <c r="G191" s="1" t="s">
        <v>16</v>
      </c>
      <c r="H191" s="1" t="s">
        <v>137</v>
      </c>
      <c r="I191" s="1" t="s">
        <v>60</v>
      </c>
      <c r="J191" s="1" t="s">
        <v>67</v>
      </c>
      <c r="K191" s="1" t="s">
        <v>77</v>
      </c>
      <c r="L191" s="3">
        <v>46691</v>
      </c>
      <c r="M191" s="3">
        <v>45230</v>
      </c>
      <c r="N191">
        <f>_xlfn.XLOOKUP(Data[[#This Row],[Status]],Compliance_Status[Status from OPMS],Compliance_Status[Status_Key],"")</f>
        <v>4</v>
      </c>
      <c r="O191">
        <f>_xlfn.XLOOKUP(Data[[#This Row],[Status]],Compliance_Status[Status from OPMS],Compliance_Status[Has Course booking],"")</f>
        <v>0</v>
      </c>
      <c r="P191" t="str">
        <f>_xlfn.XLOOKUP(Data[[#This Row],[StatusKey]],Status_Key[Status_Key],Status_Key[Name],"")</f>
        <v>In Date</v>
      </c>
    </row>
    <row r="192" spans="1:16" x14ac:dyDescent="0.25">
      <c r="A192" s="1">
        <v>156</v>
      </c>
      <c r="B192" s="1" t="s">
        <v>138</v>
      </c>
      <c r="C192" s="1" t="s">
        <v>139</v>
      </c>
      <c r="D192" s="1" t="s">
        <v>140</v>
      </c>
      <c r="E192" s="1" t="s">
        <v>78</v>
      </c>
      <c r="F192" s="1" t="s">
        <v>65</v>
      </c>
      <c r="G192" s="1" t="s">
        <v>16</v>
      </c>
      <c r="H192" s="1" t="s">
        <v>137</v>
      </c>
      <c r="I192" s="1" t="s">
        <v>60</v>
      </c>
      <c r="J192" s="1" t="s">
        <v>67</v>
      </c>
      <c r="K192" s="1" t="s">
        <v>77</v>
      </c>
      <c r="L192" s="3" t="s">
        <v>79</v>
      </c>
      <c r="M192" s="3">
        <v>45378</v>
      </c>
      <c r="N192">
        <f>_xlfn.XLOOKUP(Data[[#This Row],[Status]],Compliance_Status[Status from OPMS],Compliance_Status[Status_Key],"")</f>
        <v>4</v>
      </c>
      <c r="O192">
        <f>_xlfn.XLOOKUP(Data[[#This Row],[Status]],Compliance_Status[Status from OPMS],Compliance_Status[Has Course booking],"")</f>
        <v>0</v>
      </c>
      <c r="P192" t="str">
        <f>_xlfn.XLOOKUP(Data[[#This Row],[StatusKey]],Status_Key[Status_Key],Status_Key[Name],"")</f>
        <v>In Date</v>
      </c>
    </row>
    <row r="193" spans="1:16" x14ac:dyDescent="0.25">
      <c r="A193" s="1">
        <v>156</v>
      </c>
      <c r="B193" s="1" t="s">
        <v>138</v>
      </c>
      <c r="C193" s="1" t="s">
        <v>139</v>
      </c>
      <c r="D193" s="1" t="s">
        <v>140</v>
      </c>
      <c r="E193" s="1" t="s">
        <v>80</v>
      </c>
      <c r="F193" s="1" t="s">
        <v>65</v>
      </c>
      <c r="G193" s="1" t="s">
        <v>16</v>
      </c>
      <c r="H193" s="1" t="s">
        <v>137</v>
      </c>
      <c r="I193" s="1" t="s">
        <v>60</v>
      </c>
      <c r="J193" s="1" t="s">
        <v>67</v>
      </c>
      <c r="K193" s="1" t="s">
        <v>77</v>
      </c>
      <c r="L193" s="3" t="s">
        <v>79</v>
      </c>
      <c r="M193" s="3">
        <v>45403</v>
      </c>
      <c r="N193">
        <f>_xlfn.XLOOKUP(Data[[#This Row],[Status]],Compliance_Status[Status from OPMS],Compliance_Status[Status_Key],"")</f>
        <v>4</v>
      </c>
      <c r="O193">
        <f>_xlfn.XLOOKUP(Data[[#This Row],[Status]],Compliance_Status[Status from OPMS],Compliance_Status[Has Course booking],"")</f>
        <v>0</v>
      </c>
      <c r="P193" t="str">
        <f>_xlfn.XLOOKUP(Data[[#This Row],[StatusKey]],Status_Key[Status_Key],Status_Key[Name],"")</f>
        <v>In Date</v>
      </c>
    </row>
    <row r="194" spans="1:16" x14ac:dyDescent="0.25">
      <c r="A194" s="1">
        <v>156</v>
      </c>
      <c r="B194" s="1" t="s">
        <v>138</v>
      </c>
      <c r="C194" s="1" t="s">
        <v>139</v>
      </c>
      <c r="D194" s="1" t="s">
        <v>140</v>
      </c>
      <c r="E194" s="1" t="s">
        <v>81</v>
      </c>
      <c r="F194" s="1" t="s">
        <v>65</v>
      </c>
      <c r="G194" s="1" t="s">
        <v>16</v>
      </c>
      <c r="H194" s="1" t="s">
        <v>137</v>
      </c>
      <c r="I194" s="1" t="s">
        <v>60</v>
      </c>
      <c r="J194" s="1" t="s">
        <v>67</v>
      </c>
      <c r="K194" s="1" t="s">
        <v>77</v>
      </c>
      <c r="L194" s="3">
        <v>46733</v>
      </c>
      <c r="M194" s="3">
        <v>46003</v>
      </c>
      <c r="N194">
        <f>_xlfn.XLOOKUP(Data[[#This Row],[Status]],Compliance_Status[Status from OPMS],Compliance_Status[Status_Key],"")</f>
        <v>4</v>
      </c>
      <c r="O194">
        <f>_xlfn.XLOOKUP(Data[[#This Row],[Status]],Compliance_Status[Status from OPMS],Compliance_Status[Has Course booking],"")</f>
        <v>0</v>
      </c>
      <c r="P194" t="str">
        <f>_xlfn.XLOOKUP(Data[[#This Row],[StatusKey]],Status_Key[Status_Key],Status_Key[Name],"")</f>
        <v>In Date</v>
      </c>
    </row>
    <row r="195" spans="1:16" x14ac:dyDescent="0.25">
      <c r="A195" s="1">
        <v>156</v>
      </c>
      <c r="B195" s="1" t="s">
        <v>138</v>
      </c>
      <c r="C195" s="1" t="s">
        <v>139</v>
      </c>
      <c r="D195" s="1" t="s">
        <v>140</v>
      </c>
      <c r="E195" s="1" t="s">
        <v>82</v>
      </c>
      <c r="F195" s="1" t="s">
        <v>65</v>
      </c>
      <c r="G195" s="1" t="s">
        <v>16</v>
      </c>
      <c r="H195" s="1" t="s">
        <v>137</v>
      </c>
      <c r="I195" s="1" t="s">
        <v>60</v>
      </c>
      <c r="J195" s="1" t="s">
        <v>67</v>
      </c>
      <c r="K195" s="1" t="s">
        <v>83</v>
      </c>
      <c r="L195" s="3">
        <v>46740</v>
      </c>
      <c r="M195" s="3">
        <v>46010</v>
      </c>
      <c r="N195">
        <f>_xlfn.XLOOKUP(Data[[#This Row],[Status]],Compliance_Status[Status from OPMS],Compliance_Status[Status_Key],"")</f>
        <v>4</v>
      </c>
      <c r="O195">
        <f>_xlfn.XLOOKUP(Data[[#This Row],[Status]],Compliance_Status[Status from OPMS],Compliance_Status[Has Course booking],"")</f>
        <v>0</v>
      </c>
      <c r="P195" t="str">
        <f>_xlfn.XLOOKUP(Data[[#This Row],[StatusKey]],Status_Key[Status_Key],Status_Key[Name],"")</f>
        <v>In Date</v>
      </c>
    </row>
    <row r="196" spans="1:16" x14ac:dyDescent="0.25">
      <c r="A196" s="1">
        <v>156</v>
      </c>
      <c r="B196" s="1" t="s">
        <v>138</v>
      </c>
      <c r="C196" s="1" t="s">
        <v>139</v>
      </c>
      <c r="D196" s="1" t="s">
        <v>140</v>
      </c>
      <c r="E196" s="1" t="s">
        <v>84</v>
      </c>
      <c r="F196" s="1" t="s">
        <v>65</v>
      </c>
      <c r="G196" s="1" t="s">
        <v>16</v>
      </c>
      <c r="H196" s="1" t="s">
        <v>137</v>
      </c>
      <c r="I196" s="1" t="s">
        <v>60</v>
      </c>
      <c r="J196" s="1" t="s">
        <v>67</v>
      </c>
      <c r="K196" s="1" t="s">
        <v>83</v>
      </c>
      <c r="L196" s="3">
        <v>46721</v>
      </c>
      <c r="M196" s="3">
        <v>45991</v>
      </c>
      <c r="N196">
        <f>_xlfn.XLOOKUP(Data[[#This Row],[Status]],Compliance_Status[Status from OPMS],Compliance_Status[Status_Key],"")</f>
        <v>4</v>
      </c>
      <c r="O196">
        <f>_xlfn.XLOOKUP(Data[[#This Row],[Status]],Compliance_Status[Status from OPMS],Compliance_Status[Has Course booking],"")</f>
        <v>0</v>
      </c>
      <c r="P196" t="str">
        <f>_xlfn.XLOOKUP(Data[[#This Row],[StatusKey]],Status_Key[Status_Key],Status_Key[Name],"")</f>
        <v>In Date</v>
      </c>
    </row>
    <row r="197" spans="1:16" x14ac:dyDescent="0.25">
      <c r="A197" s="1">
        <v>156</v>
      </c>
      <c r="B197" s="1" t="s">
        <v>138</v>
      </c>
      <c r="C197" s="1" t="s">
        <v>139</v>
      </c>
      <c r="D197" s="1" t="s">
        <v>140</v>
      </c>
      <c r="E197" s="1" t="s">
        <v>93</v>
      </c>
      <c r="F197" s="1" t="s">
        <v>65</v>
      </c>
      <c r="G197" s="1" t="s">
        <v>16</v>
      </c>
      <c r="H197" s="1" t="s">
        <v>137</v>
      </c>
      <c r="I197" s="1" t="s">
        <v>60</v>
      </c>
      <c r="J197" s="1" t="s">
        <v>67</v>
      </c>
      <c r="K197" s="1" t="s">
        <v>94</v>
      </c>
      <c r="L197" s="3">
        <v>46721</v>
      </c>
      <c r="M197" s="3">
        <v>45991</v>
      </c>
      <c r="N197">
        <f>_xlfn.XLOOKUP(Data[[#This Row],[Status]],Compliance_Status[Status from OPMS],Compliance_Status[Status_Key],"")</f>
        <v>4</v>
      </c>
      <c r="O197">
        <f>_xlfn.XLOOKUP(Data[[#This Row],[Status]],Compliance_Status[Status from OPMS],Compliance_Status[Has Course booking],"")</f>
        <v>0</v>
      </c>
      <c r="P197" t="str">
        <f>_xlfn.XLOOKUP(Data[[#This Row],[StatusKey]],Status_Key[Status_Key],Status_Key[Name],"")</f>
        <v>In Date</v>
      </c>
    </row>
    <row r="198" spans="1:16" x14ac:dyDescent="0.25">
      <c r="A198" s="1">
        <v>156</v>
      </c>
      <c r="B198" s="1" t="s">
        <v>138</v>
      </c>
      <c r="C198" s="1" t="s">
        <v>139</v>
      </c>
      <c r="D198" s="1" t="s">
        <v>140</v>
      </c>
      <c r="E198" s="1" t="s">
        <v>95</v>
      </c>
      <c r="F198" s="1" t="s">
        <v>65</v>
      </c>
      <c r="G198" s="1" t="s">
        <v>16</v>
      </c>
      <c r="H198" s="1" t="s">
        <v>137</v>
      </c>
      <c r="I198" s="1" t="s">
        <v>60</v>
      </c>
      <c r="J198" s="1" t="s">
        <v>67</v>
      </c>
      <c r="K198" s="1" t="s">
        <v>94</v>
      </c>
      <c r="L198" s="3">
        <v>46680</v>
      </c>
      <c r="M198" s="3">
        <v>45950</v>
      </c>
      <c r="N198">
        <f>_xlfn.XLOOKUP(Data[[#This Row],[Status]],Compliance_Status[Status from OPMS],Compliance_Status[Status_Key],"")</f>
        <v>4</v>
      </c>
      <c r="O198">
        <f>_xlfn.XLOOKUP(Data[[#This Row],[Status]],Compliance_Status[Status from OPMS],Compliance_Status[Has Course booking],"")</f>
        <v>0</v>
      </c>
      <c r="P198" t="str">
        <f>_xlfn.XLOOKUP(Data[[#This Row],[StatusKey]],Status_Key[Status_Key],Status_Key[Name],"")</f>
        <v>In Date</v>
      </c>
    </row>
    <row r="199" spans="1:16" x14ac:dyDescent="0.25">
      <c r="A199" s="1">
        <v>156</v>
      </c>
      <c r="B199" s="1" t="s">
        <v>138</v>
      </c>
      <c r="C199" s="1" t="s">
        <v>139</v>
      </c>
      <c r="D199" s="1" t="s">
        <v>140</v>
      </c>
      <c r="E199" s="1" t="s">
        <v>96</v>
      </c>
      <c r="F199" s="1" t="s">
        <v>65</v>
      </c>
      <c r="G199" s="1" t="s">
        <v>16</v>
      </c>
      <c r="H199" s="1" t="s">
        <v>137</v>
      </c>
      <c r="I199" s="1" t="s">
        <v>60</v>
      </c>
      <c r="J199" s="1" t="s">
        <v>67</v>
      </c>
      <c r="K199" s="1" t="s">
        <v>94</v>
      </c>
      <c r="L199" s="3" t="s">
        <v>79</v>
      </c>
      <c r="M199" s="3">
        <v>46023</v>
      </c>
      <c r="N199">
        <f>_xlfn.XLOOKUP(Data[[#This Row],[Status]],Compliance_Status[Status from OPMS],Compliance_Status[Status_Key],"")</f>
        <v>4</v>
      </c>
      <c r="O199">
        <f>_xlfn.XLOOKUP(Data[[#This Row],[Status]],Compliance_Status[Status from OPMS],Compliance_Status[Has Course booking],"")</f>
        <v>0</v>
      </c>
      <c r="P199" t="str">
        <f>_xlfn.XLOOKUP(Data[[#This Row],[StatusKey]],Status_Key[Status_Key],Status_Key[Name],"")</f>
        <v>In Date</v>
      </c>
    </row>
    <row r="200" spans="1:16" x14ac:dyDescent="0.25">
      <c r="A200" s="1">
        <v>156</v>
      </c>
      <c r="B200" s="1" t="s">
        <v>138</v>
      </c>
      <c r="C200" s="1" t="s">
        <v>139</v>
      </c>
      <c r="D200" s="1" t="s">
        <v>140</v>
      </c>
      <c r="E200" s="1" t="s">
        <v>124</v>
      </c>
      <c r="F200" s="1" t="s">
        <v>72</v>
      </c>
      <c r="G200" s="1" t="s">
        <v>18</v>
      </c>
      <c r="H200" s="1" t="s">
        <v>137</v>
      </c>
      <c r="I200" s="1" t="s">
        <v>60</v>
      </c>
      <c r="J200" s="1"/>
      <c r="K200" s="1" t="s">
        <v>125</v>
      </c>
      <c r="L200" s="3"/>
      <c r="M200" s="3"/>
      <c r="N200">
        <f>_xlfn.XLOOKUP(Data[[#This Row],[Status]],Compliance_Status[Status from OPMS],Compliance_Status[Status_Key],"")</f>
        <v>2</v>
      </c>
      <c r="O200">
        <f>_xlfn.XLOOKUP(Data[[#This Row],[Status]],Compliance_Status[Status from OPMS],Compliance_Status[Has Course booking],"")</f>
        <v>0</v>
      </c>
      <c r="P200" t="str">
        <f>_xlfn.XLOOKUP(Data[[#This Row],[StatusKey]],Status_Key[Status_Key],Status_Key[Name],"")</f>
        <v>Outstanding</v>
      </c>
    </row>
    <row r="201" spans="1:16" x14ac:dyDescent="0.25">
      <c r="A201" s="1">
        <v>156</v>
      </c>
      <c r="B201" s="1" t="s">
        <v>138</v>
      </c>
      <c r="C201" s="1" t="s">
        <v>139</v>
      </c>
      <c r="D201" s="1" t="s">
        <v>140</v>
      </c>
      <c r="E201" s="1" t="s">
        <v>97</v>
      </c>
      <c r="F201" s="1" t="s">
        <v>65</v>
      </c>
      <c r="G201" s="1" t="s">
        <v>16</v>
      </c>
      <c r="H201" s="1" t="s">
        <v>137</v>
      </c>
      <c r="I201" s="1" t="s">
        <v>60</v>
      </c>
      <c r="J201" s="1" t="s">
        <v>67</v>
      </c>
      <c r="K201" s="1" t="s">
        <v>98</v>
      </c>
      <c r="L201" s="3">
        <v>47247</v>
      </c>
      <c r="M201" s="3">
        <v>45421</v>
      </c>
      <c r="N201">
        <f>_xlfn.XLOOKUP(Data[[#This Row],[Status]],Compliance_Status[Status from OPMS],Compliance_Status[Status_Key],"")</f>
        <v>4</v>
      </c>
      <c r="O201">
        <f>_xlfn.XLOOKUP(Data[[#This Row],[Status]],Compliance_Status[Status from OPMS],Compliance_Status[Has Course booking],"")</f>
        <v>0</v>
      </c>
      <c r="P201" t="str">
        <f>_xlfn.XLOOKUP(Data[[#This Row],[StatusKey]],Status_Key[Status_Key],Status_Key[Name],"")</f>
        <v>In Date</v>
      </c>
    </row>
    <row r="202" spans="1:16" x14ac:dyDescent="0.25">
      <c r="A202" s="1">
        <v>156</v>
      </c>
      <c r="B202" s="1" t="s">
        <v>138</v>
      </c>
      <c r="C202" s="1" t="s">
        <v>139</v>
      </c>
      <c r="D202" s="1" t="s">
        <v>140</v>
      </c>
      <c r="E202" s="1" t="s">
        <v>99</v>
      </c>
      <c r="F202" s="1"/>
      <c r="G202" s="1" t="s">
        <v>16</v>
      </c>
      <c r="H202" s="1" t="s">
        <v>137</v>
      </c>
      <c r="I202" s="1" t="s">
        <v>60</v>
      </c>
      <c r="J202" s="1" t="s">
        <v>67</v>
      </c>
      <c r="K202" s="1" t="s">
        <v>98</v>
      </c>
      <c r="L202" s="3">
        <v>46760</v>
      </c>
      <c r="M202" s="3">
        <v>45665</v>
      </c>
      <c r="N202">
        <f>_xlfn.XLOOKUP(Data[[#This Row],[Status]],Compliance_Status[Status from OPMS],Compliance_Status[Status_Key],"")</f>
        <v>4</v>
      </c>
      <c r="O202">
        <f>_xlfn.XLOOKUP(Data[[#This Row],[Status]],Compliance_Status[Status from OPMS],Compliance_Status[Has Course booking],"")</f>
        <v>0</v>
      </c>
      <c r="P202" t="str">
        <f>_xlfn.XLOOKUP(Data[[#This Row],[StatusKey]],Status_Key[Status_Key],Status_Key[Name],"")</f>
        <v>In Date</v>
      </c>
    </row>
    <row r="203" spans="1:16" x14ac:dyDescent="0.25">
      <c r="A203" s="1">
        <v>156</v>
      </c>
      <c r="B203" s="1" t="s">
        <v>138</v>
      </c>
      <c r="C203" s="1" t="s">
        <v>139</v>
      </c>
      <c r="D203" s="1" t="s">
        <v>140</v>
      </c>
      <c r="E203" s="1" t="s">
        <v>100</v>
      </c>
      <c r="F203" s="1"/>
      <c r="G203" s="1" t="s">
        <v>16</v>
      </c>
      <c r="H203" s="1" t="s">
        <v>137</v>
      </c>
      <c r="I203" s="1" t="s">
        <v>60</v>
      </c>
      <c r="J203" s="1" t="s">
        <v>67</v>
      </c>
      <c r="K203" s="1" t="s">
        <v>98</v>
      </c>
      <c r="L203" s="3">
        <v>46761</v>
      </c>
      <c r="M203" s="3">
        <v>46031</v>
      </c>
      <c r="N203">
        <f>_xlfn.XLOOKUP(Data[[#This Row],[Status]],Compliance_Status[Status from OPMS],Compliance_Status[Status_Key],"")</f>
        <v>4</v>
      </c>
      <c r="O203">
        <f>_xlfn.XLOOKUP(Data[[#This Row],[Status]],Compliance_Status[Status from OPMS],Compliance_Status[Has Course booking],"")</f>
        <v>0</v>
      </c>
      <c r="P203" t="str">
        <f>_xlfn.XLOOKUP(Data[[#This Row],[StatusKey]],Status_Key[Status_Key],Status_Key[Name],"")</f>
        <v>In Date</v>
      </c>
    </row>
    <row r="204" spans="1:16" x14ac:dyDescent="0.25">
      <c r="A204" s="1">
        <v>156</v>
      </c>
      <c r="B204" s="1" t="s">
        <v>138</v>
      </c>
      <c r="C204" s="1" t="s">
        <v>139</v>
      </c>
      <c r="D204" s="1" t="s">
        <v>140</v>
      </c>
      <c r="E204" s="1" t="s">
        <v>101</v>
      </c>
      <c r="F204" s="1" t="s">
        <v>65</v>
      </c>
      <c r="G204" s="1" t="s">
        <v>16</v>
      </c>
      <c r="H204" s="1" t="s">
        <v>137</v>
      </c>
      <c r="I204" s="1" t="s">
        <v>60</v>
      </c>
      <c r="J204" s="1" t="s">
        <v>67</v>
      </c>
      <c r="K204" s="1" t="s">
        <v>102</v>
      </c>
      <c r="L204" s="3" t="s">
        <v>79</v>
      </c>
      <c r="M204" s="3">
        <v>45432</v>
      </c>
      <c r="N204">
        <f>_xlfn.XLOOKUP(Data[[#This Row],[Status]],Compliance_Status[Status from OPMS],Compliance_Status[Status_Key],"")</f>
        <v>4</v>
      </c>
      <c r="O204">
        <f>_xlfn.XLOOKUP(Data[[#This Row],[Status]],Compliance_Status[Status from OPMS],Compliance_Status[Has Course booking],"")</f>
        <v>0</v>
      </c>
      <c r="P204" t="str">
        <f>_xlfn.XLOOKUP(Data[[#This Row],[StatusKey]],Status_Key[Status_Key],Status_Key[Name],"")</f>
        <v>In Date</v>
      </c>
    </row>
    <row r="205" spans="1:16" x14ac:dyDescent="0.25">
      <c r="A205" s="1">
        <v>156</v>
      </c>
      <c r="B205" s="1" t="s">
        <v>138</v>
      </c>
      <c r="C205" s="1" t="s">
        <v>139</v>
      </c>
      <c r="D205" s="1" t="s">
        <v>140</v>
      </c>
      <c r="E205" s="1" t="s">
        <v>103</v>
      </c>
      <c r="F205" s="1" t="s">
        <v>65</v>
      </c>
      <c r="G205" s="1" t="s">
        <v>16</v>
      </c>
      <c r="H205" s="1" t="s">
        <v>137</v>
      </c>
      <c r="I205" s="1" t="s">
        <v>60</v>
      </c>
      <c r="J205" s="1" t="s">
        <v>67</v>
      </c>
      <c r="K205" s="1" t="s">
        <v>102</v>
      </c>
      <c r="L205" s="3">
        <v>46453</v>
      </c>
      <c r="M205" s="3">
        <v>45723</v>
      </c>
      <c r="N205">
        <f>_xlfn.XLOOKUP(Data[[#This Row],[Status]],Compliance_Status[Status from OPMS],Compliance_Status[Status_Key],"")</f>
        <v>4</v>
      </c>
      <c r="O205">
        <f>_xlfn.XLOOKUP(Data[[#This Row],[Status]],Compliance_Status[Status from OPMS],Compliance_Status[Has Course booking],"")</f>
        <v>0</v>
      </c>
      <c r="P205" t="str">
        <f>_xlfn.XLOOKUP(Data[[#This Row],[StatusKey]],Status_Key[Status_Key],Status_Key[Name],"")</f>
        <v>In Date</v>
      </c>
    </row>
    <row r="206" spans="1:16" x14ac:dyDescent="0.25">
      <c r="A206" s="1">
        <v>156</v>
      </c>
      <c r="B206" s="1" t="s">
        <v>138</v>
      </c>
      <c r="C206" s="1" t="s">
        <v>139</v>
      </c>
      <c r="D206" s="1" t="s">
        <v>140</v>
      </c>
      <c r="E206" s="1" t="s">
        <v>104</v>
      </c>
      <c r="F206" s="1" t="s">
        <v>65</v>
      </c>
      <c r="G206" s="1" t="s">
        <v>16</v>
      </c>
      <c r="H206" s="1" t="s">
        <v>137</v>
      </c>
      <c r="I206" s="1" t="s">
        <v>60</v>
      </c>
      <c r="J206" s="1" t="s">
        <v>67</v>
      </c>
      <c r="K206" s="1" t="s">
        <v>105</v>
      </c>
      <c r="L206" s="3">
        <v>46802</v>
      </c>
      <c r="M206" s="3">
        <v>46072</v>
      </c>
      <c r="N206">
        <f>_xlfn.XLOOKUP(Data[[#This Row],[Status]],Compliance_Status[Status from OPMS],Compliance_Status[Status_Key],"")</f>
        <v>4</v>
      </c>
      <c r="O206">
        <f>_xlfn.XLOOKUP(Data[[#This Row],[Status]],Compliance_Status[Status from OPMS],Compliance_Status[Has Course booking],"")</f>
        <v>0</v>
      </c>
      <c r="P206" t="str">
        <f>_xlfn.XLOOKUP(Data[[#This Row],[StatusKey]],Status_Key[Status_Key],Status_Key[Name],"")</f>
        <v>In Date</v>
      </c>
    </row>
    <row r="207" spans="1:16" x14ac:dyDescent="0.25">
      <c r="A207" s="1">
        <v>156</v>
      </c>
      <c r="B207" s="1" t="s">
        <v>138</v>
      </c>
      <c r="C207" s="1" t="s">
        <v>139</v>
      </c>
      <c r="D207" s="1" t="s">
        <v>140</v>
      </c>
      <c r="E207" s="1" t="s">
        <v>106</v>
      </c>
      <c r="F207" s="1" t="s">
        <v>65</v>
      </c>
      <c r="G207" s="1" t="s">
        <v>16</v>
      </c>
      <c r="H207" s="1" t="s">
        <v>137</v>
      </c>
      <c r="I207" s="1" t="s">
        <v>60</v>
      </c>
      <c r="J207" s="1" t="s">
        <v>67</v>
      </c>
      <c r="K207" s="1" t="s">
        <v>105</v>
      </c>
      <c r="L207" s="3">
        <v>47244</v>
      </c>
      <c r="M207" s="3">
        <v>45418</v>
      </c>
      <c r="N207">
        <f>_xlfn.XLOOKUP(Data[[#This Row],[Status]],Compliance_Status[Status from OPMS],Compliance_Status[Status_Key],"")</f>
        <v>4</v>
      </c>
      <c r="O207">
        <f>_xlfn.XLOOKUP(Data[[#This Row],[Status]],Compliance_Status[Status from OPMS],Compliance_Status[Has Course booking],"")</f>
        <v>0</v>
      </c>
      <c r="P207" t="str">
        <f>_xlfn.XLOOKUP(Data[[#This Row],[StatusKey]],Status_Key[Status_Key],Status_Key[Name],"")</f>
        <v>In Date</v>
      </c>
    </row>
    <row r="208" spans="1:16" x14ac:dyDescent="0.25">
      <c r="A208" s="1">
        <v>156</v>
      </c>
      <c r="B208" s="1" t="s">
        <v>138</v>
      </c>
      <c r="C208" s="1" t="s">
        <v>139</v>
      </c>
      <c r="D208" s="1" t="s">
        <v>140</v>
      </c>
      <c r="E208" s="1" t="s">
        <v>107</v>
      </c>
      <c r="F208" s="1" t="s">
        <v>65</v>
      </c>
      <c r="G208" s="1" t="s">
        <v>16</v>
      </c>
      <c r="H208" s="1" t="s">
        <v>137</v>
      </c>
      <c r="I208" s="1" t="s">
        <v>60</v>
      </c>
      <c r="J208" s="1" t="s">
        <v>67</v>
      </c>
      <c r="K208" s="1" t="s">
        <v>105</v>
      </c>
      <c r="L208" s="3">
        <v>46513</v>
      </c>
      <c r="M208" s="3">
        <v>45418</v>
      </c>
      <c r="N208">
        <f>_xlfn.XLOOKUP(Data[[#This Row],[Status]],Compliance_Status[Status from OPMS],Compliance_Status[Status_Key],"")</f>
        <v>4</v>
      </c>
      <c r="O208">
        <f>_xlfn.XLOOKUP(Data[[#This Row],[Status]],Compliance_Status[Status from OPMS],Compliance_Status[Has Course booking],"")</f>
        <v>0</v>
      </c>
      <c r="P208" t="str">
        <f>_xlfn.XLOOKUP(Data[[#This Row],[StatusKey]],Status_Key[Status_Key],Status_Key[Name],"")</f>
        <v>In Date</v>
      </c>
    </row>
    <row r="209" spans="1:16" x14ac:dyDescent="0.25">
      <c r="A209" s="1">
        <v>156</v>
      </c>
      <c r="B209" s="1" t="s">
        <v>138</v>
      </c>
      <c r="C209" s="1" t="s">
        <v>139</v>
      </c>
      <c r="D209" s="1" t="s">
        <v>140</v>
      </c>
      <c r="E209" s="1" t="s">
        <v>108</v>
      </c>
      <c r="F209" s="1" t="s">
        <v>65</v>
      </c>
      <c r="G209" s="1" t="s">
        <v>16</v>
      </c>
      <c r="H209" s="1" t="s">
        <v>137</v>
      </c>
      <c r="I209" s="1" t="s">
        <v>60</v>
      </c>
      <c r="J209" s="1" t="s">
        <v>67</v>
      </c>
      <c r="K209" s="1" t="s">
        <v>105</v>
      </c>
      <c r="L209" s="3">
        <v>47314</v>
      </c>
      <c r="M209" s="3">
        <v>46218</v>
      </c>
      <c r="N209">
        <f>_xlfn.XLOOKUP(Data[[#This Row],[Status]],Compliance_Status[Status from OPMS],Compliance_Status[Status_Key],"")</f>
        <v>4</v>
      </c>
      <c r="O209">
        <f>_xlfn.XLOOKUP(Data[[#This Row],[Status]],Compliance_Status[Status from OPMS],Compliance_Status[Has Course booking],"")</f>
        <v>0</v>
      </c>
      <c r="P209" t="str">
        <f>_xlfn.XLOOKUP(Data[[#This Row],[StatusKey]],Status_Key[Status_Key],Status_Key[Name],"")</f>
        <v>In Date</v>
      </c>
    </row>
    <row r="210" spans="1:16" x14ac:dyDescent="0.25">
      <c r="A210" s="1">
        <v>156</v>
      </c>
      <c r="B210" s="1" t="s">
        <v>138</v>
      </c>
      <c r="C210" s="1" t="s">
        <v>139</v>
      </c>
      <c r="D210" s="1" t="s">
        <v>140</v>
      </c>
      <c r="E210" s="1" t="s">
        <v>109</v>
      </c>
      <c r="F210" s="1" t="s">
        <v>65</v>
      </c>
      <c r="G210" s="1" t="s">
        <v>16</v>
      </c>
      <c r="H210" s="1" t="s">
        <v>137</v>
      </c>
      <c r="I210" s="1" t="s">
        <v>60</v>
      </c>
      <c r="J210" s="1" t="s">
        <v>67</v>
      </c>
      <c r="K210" s="1" t="s">
        <v>105</v>
      </c>
      <c r="L210" s="3">
        <v>46802</v>
      </c>
      <c r="M210" s="3">
        <v>46072</v>
      </c>
      <c r="N210">
        <f>_xlfn.XLOOKUP(Data[[#This Row],[Status]],Compliance_Status[Status from OPMS],Compliance_Status[Status_Key],"")</f>
        <v>4</v>
      </c>
      <c r="O210">
        <f>_xlfn.XLOOKUP(Data[[#This Row],[Status]],Compliance_Status[Status from OPMS],Compliance_Status[Has Course booking],"")</f>
        <v>0</v>
      </c>
      <c r="P210" t="str">
        <f>_xlfn.XLOOKUP(Data[[#This Row],[StatusKey]],Status_Key[Status_Key],Status_Key[Name],"")</f>
        <v>In Date</v>
      </c>
    </row>
    <row r="211" spans="1:16" x14ac:dyDescent="0.25">
      <c r="A211" s="1">
        <v>156</v>
      </c>
      <c r="B211" s="1" t="s">
        <v>138</v>
      </c>
      <c r="C211" s="1" t="s">
        <v>139</v>
      </c>
      <c r="D211" s="1" t="s">
        <v>140</v>
      </c>
      <c r="E211" s="1" t="s">
        <v>110</v>
      </c>
      <c r="F211" s="1" t="s">
        <v>65</v>
      </c>
      <c r="G211" s="1" t="s">
        <v>16</v>
      </c>
      <c r="H211" s="1" t="s">
        <v>137</v>
      </c>
      <c r="I211" s="1" t="s">
        <v>60</v>
      </c>
      <c r="J211" s="1" t="s">
        <v>67</v>
      </c>
      <c r="K211" s="1" t="s">
        <v>105</v>
      </c>
      <c r="L211" s="3" t="s">
        <v>79</v>
      </c>
      <c r="M211" s="3">
        <v>45418</v>
      </c>
      <c r="N211">
        <f>_xlfn.XLOOKUP(Data[[#This Row],[Status]],Compliance_Status[Status from OPMS],Compliance_Status[Status_Key],"")</f>
        <v>4</v>
      </c>
      <c r="O211">
        <f>_xlfn.XLOOKUP(Data[[#This Row],[Status]],Compliance_Status[Status from OPMS],Compliance_Status[Has Course booking],"")</f>
        <v>0</v>
      </c>
      <c r="P211" t="str">
        <f>_xlfn.XLOOKUP(Data[[#This Row],[StatusKey]],Status_Key[Status_Key],Status_Key[Name],"")</f>
        <v>In Date</v>
      </c>
    </row>
    <row r="212" spans="1:16" x14ac:dyDescent="0.25">
      <c r="A212" s="1">
        <v>156</v>
      </c>
      <c r="B212" s="1" t="s">
        <v>138</v>
      </c>
      <c r="C212" s="1" t="s">
        <v>139</v>
      </c>
      <c r="D212" s="1" t="s">
        <v>140</v>
      </c>
      <c r="E212" s="1" t="s">
        <v>111</v>
      </c>
      <c r="F212" s="1" t="s">
        <v>65</v>
      </c>
      <c r="G212" s="1" t="s">
        <v>16</v>
      </c>
      <c r="H212" s="1" t="s">
        <v>137</v>
      </c>
      <c r="I212" s="1" t="s">
        <v>60</v>
      </c>
      <c r="J212" s="1" t="s">
        <v>67</v>
      </c>
      <c r="K212" s="1" t="s">
        <v>105</v>
      </c>
      <c r="L212" s="3">
        <v>46721</v>
      </c>
      <c r="M212" s="3">
        <v>45991</v>
      </c>
      <c r="N212">
        <f>_xlfn.XLOOKUP(Data[[#This Row],[Status]],Compliance_Status[Status from OPMS],Compliance_Status[Status_Key],"")</f>
        <v>4</v>
      </c>
      <c r="O212">
        <f>_xlfn.XLOOKUP(Data[[#This Row],[Status]],Compliance_Status[Status from OPMS],Compliance_Status[Has Course booking],"")</f>
        <v>0</v>
      </c>
      <c r="P212" t="str">
        <f>_xlfn.XLOOKUP(Data[[#This Row],[StatusKey]],Status_Key[Status_Key],Status_Key[Name],"")</f>
        <v>In Date</v>
      </c>
    </row>
    <row r="213" spans="1:16" x14ac:dyDescent="0.25">
      <c r="A213" s="1">
        <v>156</v>
      </c>
      <c r="B213" s="1" t="s">
        <v>138</v>
      </c>
      <c r="C213" s="1" t="s">
        <v>139</v>
      </c>
      <c r="D213" s="1" t="s">
        <v>140</v>
      </c>
      <c r="E213" s="1" t="s">
        <v>112</v>
      </c>
      <c r="F213" s="1" t="s">
        <v>65</v>
      </c>
      <c r="G213" s="1" t="s">
        <v>16</v>
      </c>
      <c r="H213" s="1" t="s">
        <v>137</v>
      </c>
      <c r="I213" s="1" t="s">
        <v>60</v>
      </c>
      <c r="J213" s="1" t="s">
        <v>67</v>
      </c>
      <c r="K213" s="1" t="s">
        <v>105</v>
      </c>
      <c r="L213" s="3">
        <v>46559</v>
      </c>
      <c r="M213" s="3">
        <v>45829</v>
      </c>
      <c r="N213">
        <f>_xlfn.XLOOKUP(Data[[#This Row],[Status]],Compliance_Status[Status from OPMS],Compliance_Status[Status_Key],"")</f>
        <v>4</v>
      </c>
      <c r="O213">
        <f>_xlfn.XLOOKUP(Data[[#This Row],[Status]],Compliance_Status[Status from OPMS],Compliance_Status[Has Course booking],"")</f>
        <v>0</v>
      </c>
      <c r="P213" t="str">
        <f>_xlfn.XLOOKUP(Data[[#This Row],[StatusKey]],Status_Key[Status_Key],Status_Key[Name],"")</f>
        <v>In Date</v>
      </c>
    </row>
    <row r="214" spans="1:16" x14ac:dyDescent="0.25">
      <c r="A214" s="1">
        <v>156</v>
      </c>
      <c r="B214" s="1" t="s">
        <v>138</v>
      </c>
      <c r="C214" s="1" t="s">
        <v>139</v>
      </c>
      <c r="D214" s="1" t="s">
        <v>140</v>
      </c>
      <c r="E214" s="1" t="s">
        <v>113</v>
      </c>
      <c r="F214" s="1" t="s">
        <v>65</v>
      </c>
      <c r="G214" s="1" t="s">
        <v>16</v>
      </c>
      <c r="H214" s="1" t="s">
        <v>137</v>
      </c>
      <c r="I214" s="1" t="s">
        <v>60</v>
      </c>
      <c r="J214" s="1" t="s">
        <v>67</v>
      </c>
      <c r="K214" s="1" t="s">
        <v>105</v>
      </c>
      <c r="L214" s="3">
        <v>46742</v>
      </c>
      <c r="M214" s="3">
        <v>46012</v>
      </c>
      <c r="N214">
        <f>_xlfn.XLOOKUP(Data[[#This Row],[Status]],Compliance_Status[Status from OPMS],Compliance_Status[Status_Key],"")</f>
        <v>4</v>
      </c>
      <c r="O214">
        <f>_xlfn.XLOOKUP(Data[[#This Row],[Status]],Compliance_Status[Status from OPMS],Compliance_Status[Has Course booking],"")</f>
        <v>0</v>
      </c>
      <c r="P214" t="str">
        <f>_xlfn.XLOOKUP(Data[[#This Row],[StatusKey]],Status_Key[Status_Key],Status_Key[Name],"")</f>
        <v>In Date</v>
      </c>
    </row>
    <row r="215" spans="1:16" x14ac:dyDescent="0.25">
      <c r="A215" s="1">
        <v>160</v>
      </c>
      <c r="B215" s="1" t="s">
        <v>141</v>
      </c>
      <c r="C215" s="1" t="s">
        <v>142</v>
      </c>
      <c r="D215" s="1" t="s">
        <v>143</v>
      </c>
      <c r="E215" s="1" t="s">
        <v>144</v>
      </c>
      <c r="F215" s="1" t="s">
        <v>65</v>
      </c>
      <c r="G215" s="1" t="s">
        <v>16</v>
      </c>
      <c r="H215" s="1" t="s">
        <v>145</v>
      </c>
      <c r="I215" s="1" t="s">
        <v>60</v>
      </c>
      <c r="J215" s="1" t="s">
        <v>67</v>
      </c>
      <c r="K215" s="1" t="s">
        <v>68</v>
      </c>
      <c r="L215" s="3">
        <v>47051</v>
      </c>
      <c r="M215" s="3">
        <v>45266</v>
      </c>
      <c r="N215">
        <f>_xlfn.XLOOKUP(Data[[#This Row],[Status]],Compliance_Status[Status from OPMS],Compliance_Status[Status_Key],"")</f>
        <v>4</v>
      </c>
      <c r="O215">
        <f>_xlfn.XLOOKUP(Data[[#This Row],[Status]],Compliance_Status[Status from OPMS],Compliance_Status[Has Course booking],"")</f>
        <v>0</v>
      </c>
      <c r="P215" t="str">
        <f>_xlfn.XLOOKUP(Data[[#This Row],[StatusKey]],Status_Key[Status_Key],Status_Key[Name],"")</f>
        <v>In Date</v>
      </c>
    </row>
    <row r="216" spans="1:16" x14ac:dyDescent="0.25">
      <c r="A216" s="1">
        <v>160</v>
      </c>
      <c r="B216" s="1" t="s">
        <v>141</v>
      </c>
      <c r="C216" s="1" t="s">
        <v>142</v>
      </c>
      <c r="D216" s="1" t="s">
        <v>143</v>
      </c>
      <c r="E216" s="1" t="s">
        <v>71</v>
      </c>
      <c r="F216" s="1" t="s">
        <v>72</v>
      </c>
      <c r="G216" s="1" t="s">
        <v>18</v>
      </c>
      <c r="H216" s="1" t="s">
        <v>145</v>
      </c>
      <c r="I216" s="1" t="s">
        <v>60</v>
      </c>
      <c r="J216" s="1"/>
      <c r="K216" s="1" t="s">
        <v>68</v>
      </c>
      <c r="L216" s="3"/>
      <c r="M216" s="3"/>
      <c r="N216">
        <f>_xlfn.XLOOKUP(Data[[#This Row],[Status]],Compliance_Status[Status from OPMS],Compliance_Status[Status_Key],"")</f>
        <v>2</v>
      </c>
      <c r="O216">
        <f>_xlfn.XLOOKUP(Data[[#This Row],[Status]],Compliance_Status[Status from OPMS],Compliance_Status[Has Course booking],"")</f>
        <v>0</v>
      </c>
      <c r="P216" t="str">
        <f>_xlfn.XLOOKUP(Data[[#This Row],[StatusKey]],Status_Key[Status_Key],Status_Key[Name],"")</f>
        <v>Outstanding</v>
      </c>
    </row>
    <row r="217" spans="1:16" x14ac:dyDescent="0.25">
      <c r="A217" s="1">
        <v>160</v>
      </c>
      <c r="B217" s="1" t="s">
        <v>141</v>
      </c>
      <c r="C217" s="1" t="s">
        <v>142</v>
      </c>
      <c r="D217" s="1" t="s">
        <v>143</v>
      </c>
      <c r="E217" s="1" t="s">
        <v>73</v>
      </c>
      <c r="F217" s="1" t="s">
        <v>65</v>
      </c>
      <c r="G217" s="1" t="s">
        <v>16</v>
      </c>
      <c r="H217" s="1" t="s">
        <v>145</v>
      </c>
      <c r="I217" s="1" t="s">
        <v>60</v>
      </c>
      <c r="J217" s="1" t="s">
        <v>67</v>
      </c>
      <c r="K217" s="1" t="s">
        <v>68</v>
      </c>
      <c r="L217" s="3">
        <v>46596</v>
      </c>
      <c r="M217" s="3">
        <v>45866</v>
      </c>
      <c r="N217">
        <f>_xlfn.XLOOKUP(Data[[#This Row],[Status]],Compliance_Status[Status from OPMS],Compliance_Status[Status_Key],"")</f>
        <v>4</v>
      </c>
      <c r="O217">
        <f>_xlfn.XLOOKUP(Data[[#This Row],[Status]],Compliance_Status[Status from OPMS],Compliance_Status[Has Course booking],"")</f>
        <v>0</v>
      </c>
      <c r="P217" t="str">
        <f>_xlfn.XLOOKUP(Data[[#This Row],[StatusKey]],Status_Key[Status_Key],Status_Key[Name],"")</f>
        <v>In Date</v>
      </c>
    </row>
    <row r="218" spans="1:16" x14ac:dyDescent="0.25">
      <c r="A218" s="1">
        <v>160</v>
      </c>
      <c r="B218" s="1" t="s">
        <v>141</v>
      </c>
      <c r="C218" s="1" t="s">
        <v>142</v>
      </c>
      <c r="D218" s="1" t="s">
        <v>143</v>
      </c>
      <c r="E218" s="1" t="s">
        <v>74</v>
      </c>
      <c r="F218" s="1" t="s">
        <v>65</v>
      </c>
      <c r="G218" s="1" t="s">
        <v>16</v>
      </c>
      <c r="H218" s="1" t="s">
        <v>145</v>
      </c>
      <c r="I218" s="1" t="s">
        <v>60</v>
      </c>
      <c r="J218" s="1" t="s">
        <v>67</v>
      </c>
      <c r="K218" s="1" t="s">
        <v>68</v>
      </c>
      <c r="L218" s="3">
        <v>46433</v>
      </c>
      <c r="M218" s="3">
        <v>45337</v>
      </c>
      <c r="N218">
        <f>_xlfn.XLOOKUP(Data[[#This Row],[Status]],Compliance_Status[Status from OPMS],Compliance_Status[Status_Key],"")</f>
        <v>4</v>
      </c>
      <c r="O218">
        <f>_xlfn.XLOOKUP(Data[[#This Row],[Status]],Compliance_Status[Status from OPMS],Compliance_Status[Has Course booking],"")</f>
        <v>0</v>
      </c>
      <c r="P218" t="str">
        <f>_xlfn.XLOOKUP(Data[[#This Row],[StatusKey]],Status_Key[Status_Key],Status_Key[Name],"")</f>
        <v>In Date</v>
      </c>
    </row>
    <row r="219" spans="1:16" x14ac:dyDescent="0.25">
      <c r="A219" s="1">
        <v>160</v>
      </c>
      <c r="B219" s="1" t="s">
        <v>141</v>
      </c>
      <c r="C219" s="1" t="s">
        <v>142</v>
      </c>
      <c r="D219" s="1" t="s">
        <v>143</v>
      </c>
      <c r="E219" s="1" t="s">
        <v>75</v>
      </c>
      <c r="F219" s="1" t="s">
        <v>72</v>
      </c>
      <c r="G219" s="1" t="s">
        <v>18</v>
      </c>
      <c r="H219" s="1" t="s">
        <v>145</v>
      </c>
      <c r="I219" s="1" t="s">
        <v>60</v>
      </c>
      <c r="J219" s="1"/>
      <c r="K219" s="1" t="s">
        <v>68</v>
      </c>
      <c r="L219" s="3"/>
      <c r="M219" s="3"/>
      <c r="N219">
        <f>_xlfn.XLOOKUP(Data[[#This Row],[Status]],Compliance_Status[Status from OPMS],Compliance_Status[Status_Key],"")</f>
        <v>2</v>
      </c>
      <c r="O219">
        <f>_xlfn.XLOOKUP(Data[[#This Row],[Status]],Compliance_Status[Status from OPMS],Compliance_Status[Has Course booking],"")</f>
        <v>0</v>
      </c>
      <c r="P219" t="str">
        <f>_xlfn.XLOOKUP(Data[[#This Row],[StatusKey]],Status_Key[Status_Key],Status_Key[Name],"")</f>
        <v>Outstanding</v>
      </c>
    </row>
    <row r="220" spans="1:16" x14ac:dyDescent="0.25">
      <c r="A220" s="1">
        <v>160</v>
      </c>
      <c r="B220" s="1" t="s">
        <v>141</v>
      </c>
      <c r="C220" s="1" t="s">
        <v>142</v>
      </c>
      <c r="D220" s="1" t="s">
        <v>143</v>
      </c>
      <c r="E220" s="1" t="s">
        <v>76</v>
      </c>
      <c r="F220" s="1" t="s">
        <v>65</v>
      </c>
      <c r="G220" s="1" t="s">
        <v>16</v>
      </c>
      <c r="H220" s="1" t="s">
        <v>145</v>
      </c>
      <c r="I220" s="1" t="s">
        <v>60</v>
      </c>
      <c r="J220" s="1" t="s">
        <v>67</v>
      </c>
      <c r="K220" s="1" t="s">
        <v>77</v>
      </c>
      <c r="L220" s="3">
        <v>46477</v>
      </c>
      <c r="M220" s="3">
        <v>45016</v>
      </c>
      <c r="N220">
        <f>_xlfn.XLOOKUP(Data[[#This Row],[Status]],Compliance_Status[Status from OPMS],Compliance_Status[Status_Key],"")</f>
        <v>4</v>
      </c>
      <c r="O220">
        <f>_xlfn.XLOOKUP(Data[[#This Row],[Status]],Compliance_Status[Status from OPMS],Compliance_Status[Has Course booking],"")</f>
        <v>0</v>
      </c>
      <c r="P220" t="str">
        <f>_xlfn.XLOOKUP(Data[[#This Row],[StatusKey]],Status_Key[Status_Key],Status_Key[Name],"")</f>
        <v>In Date</v>
      </c>
    </row>
    <row r="221" spans="1:16" x14ac:dyDescent="0.25">
      <c r="A221" s="1">
        <v>160</v>
      </c>
      <c r="B221" s="1" t="s">
        <v>141</v>
      </c>
      <c r="C221" s="1" t="s">
        <v>142</v>
      </c>
      <c r="D221" s="1" t="s">
        <v>143</v>
      </c>
      <c r="E221" s="1" t="s">
        <v>80</v>
      </c>
      <c r="F221" s="1" t="s">
        <v>65</v>
      </c>
      <c r="G221" s="1" t="s">
        <v>16</v>
      </c>
      <c r="H221" s="1" t="s">
        <v>145</v>
      </c>
      <c r="I221" s="1" t="s">
        <v>60</v>
      </c>
      <c r="J221" s="1" t="s">
        <v>67</v>
      </c>
      <c r="K221" s="1" t="s">
        <v>77</v>
      </c>
      <c r="L221" s="3" t="s">
        <v>79</v>
      </c>
      <c r="M221" s="3">
        <v>45779</v>
      </c>
      <c r="N221">
        <f>_xlfn.XLOOKUP(Data[[#This Row],[Status]],Compliance_Status[Status from OPMS],Compliance_Status[Status_Key],"")</f>
        <v>4</v>
      </c>
      <c r="O221">
        <f>_xlfn.XLOOKUP(Data[[#This Row],[Status]],Compliance_Status[Status from OPMS],Compliance_Status[Has Course booking],"")</f>
        <v>0</v>
      </c>
      <c r="P221" t="str">
        <f>_xlfn.XLOOKUP(Data[[#This Row],[StatusKey]],Status_Key[Status_Key],Status_Key[Name],"")</f>
        <v>In Date</v>
      </c>
    </row>
    <row r="222" spans="1:16" x14ac:dyDescent="0.25">
      <c r="A222" s="1">
        <v>160</v>
      </c>
      <c r="B222" s="1" t="s">
        <v>141</v>
      </c>
      <c r="C222" s="1" t="s">
        <v>142</v>
      </c>
      <c r="D222" s="1" t="s">
        <v>143</v>
      </c>
      <c r="E222" s="1" t="s">
        <v>81</v>
      </c>
      <c r="F222" s="1"/>
      <c r="G222" s="1" t="s">
        <v>16</v>
      </c>
      <c r="H222" s="1" t="s">
        <v>145</v>
      </c>
      <c r="I222" s="1" t="s">
        <v>60</v>
      </c>
      <c r="J222" s="1" t="s">
        <v>67</v>
      </c>
      <c r="K222" s="1" t="s">
        <v>77</v>
      </c>
      <c r="L222" s="3">
        <v>46743</v>
      </c>
      <c r="M222" s="3">
        <v>46013</v>
      </c>
      <c r="N222">
        <f>_xlfn.XLOOKUP(Data[[#This Row],[Status]],Compliance_Status[Status from OPMS],Compliance_Status[Status_Key],"")</f>
        <v>4</v>
      </c>
      <c r="O222">
        <f>_xlfn.XLOOKUP(Data[[#This Row],[Status]],Compliance_Status[Status from OPMS],Compliance_Status[Has Course booking],"")</f>
        <v>0</v>
      </c>
      <c r="P222" t="str">
        <f>_xlfn.XLOOKUP(Data[[#This Row],[StatusKey]],Status_Key[Status_Key],Status_Key[Name],"")</f>
        <v>In Date</v>
      </c>
    </row>
    <row r="223" spans="1:16" x14ac:dyDescent="0.25">
      <c r="A223" s="1">
        <v>160</v>
      </c>
      <c r="B223" s="1" t="s">
        <v>141</v>
      </c>
      <c r="C223" s="1" t="s">
        <v>142</v>
      </c>
      <c r="D223" s="1" t="s">
        <v>143</v>
      </c>
      <c r="E223" s="1" t="s">
        <v>84</v>
      </c>
      <c r="F223" s="1" t="s">
        <v>65</v>
      </c>
      <c r="G223" s="1" t="s">
        <v>16</v>
      </c>
      <c r="H223" s="1" t="s">
        <v>145</v>
      </c>
      <c r="I223" s="1" t="s">
        <v>60</v>
      </c>
      <c r="J223" s="1" t="s">
        <v>67</v>
      </c>
      <c r="K223" s="1" t="s">
        <v>83</v>
      </c>
      <c r="L223" s="3">
        <v>46728</v>
      </c>
      <c r="M223" s="3">
        <v>45998</v>
      </c>
      <c r="N223">
        <f>_xlfn.XLOOKUP(Data[[#This Row],[Status]],Compliance_Status[Status from OPMS],Compliance_Status[Status_Key],"")</f>
        <v>4</v>
      </c>
      <c r="O223">
        <f>_xlfn.XLOOKUP(Data[[#This Row],[Status]],Compliance_Status[Status from OPMS],Compliance_Status[Has Course booking],"")</f>
        <v>0</v>
      </c>
      <c r="P223" t="str">
        <f>_xlfn.XLOOKUP(Data[[#This Row],[StatusKey]],Status_Key[Status_Key],Status_Key[Name],"")</f>
        <v>In Date</v>
      </c>
    </row>
    <row r="224" spans="1:16" x14ac:dyDescent="0.25">
      <c r="A224" s="1">
        <v>160</v>
      </c>
      <c r="B224" s="1" t="s">
        <v>141</v>
      </c>
      <c r="C224" s="1" t="s">
        <v>142</v>
      </c>
      <c r="D224" s="1" t="s">
        <v>143</v>
      </c>
      <c r="E224" s="1" t="s">
        <v>93</v>
      </c>
      <c r="F224" s="1" t="s">
        <v>65</v>
      </c>
      <c r="G224" s="1" t="s">
        <v>16</v>
      </c>
      <c r="H224" s="1" t="s">
        <v>145</v>
      </c>
      <c r="I224" s="1" t="s">
        <v>60</v>
      </c>
      <c r="J224" s="1" t="s">
        <v>67</v>
      </c>
      <c r="K224" s="1" t="s">
        <v>94</v>
      </c>
      <c r="L224" s="3">
        <v>46721</v>
      </c>
      <c r="M224" s="3">
        <v>45991</v>
      </c>
      <c r="N224">
        <f>_xlfn.XLOOKUP(Data[[#This Row],[Status]],Compliance_Status[Status from OPMS],Compliance_Status[Status_Key],"")</f>
        <v>4</v>
      </c>
      <c r="O224">
        <f>_xlfn.XLOOKUP(Data[[#This Row],[Status]],Compliance_Status[Status from OPMS],Compliance_Status[Has Course booking],"")</f>
        <v>0</v>
      </c>
      <c r="P224" t="str">
        <f>_xlfn.XLOOKUP(Data[[#This Row],[StatusKey]],Status_Key[Status_Key],Status_Key[Name],"")</f>
        <v>In Date</v>
      </c>
    </row>
    <row r="225" spans="1:16" x14ac:dyDescent="0.25">
      <c r="A225" s="1">
        <v>160</v>
      </c>
      <c r="B225" s="1" t="s">
        <v>141</v>
      </c>
      <c r="C225" s="1" t="s">
        <v>142</v>
      </c>
      <c r="D225" s="1" t="s">
        <v>143</v>
      </c>
      <c r="E225" s="1" t="s">
        <v>95</v>
      </c>
      <c r="F225" s="1" t="s">
        <v>65</v>
      </c>
      <c r="G225" s="1" t="s">
        <v>16</v>
      </c>
      <c r="H225" s="1" t="s">
        <v>145</v>
      </c>
      <c r="I225" s="1" t="s">
        <v>60</v>
      </c>
      <c r="J225" s="1" t="s">
        <v>67</v>
      </c>
      <c r="K225" s="1" t="s">
        <v>94</v>
      </c>
      <c r="L225" s="3">
        <v>46626</v>
      </c>
      <c r="M225" s="3">
        <v>45896</v>
      </c>
      <c r="N225">
        <f>_xlfn.XLOOKUP(Data[[#This Row],[Status]],Compliance_Status[Status from OPMS],Compliance_Status[Status_Key],"")</f>
        <v>4</v>
      </c>
      <c r="O225">
        <f>_xlfn.XLOOKUP(Data[[#This Row],[Status]],Compliance_Status[Status from OPMS],Compliance_Status[Has Course booking],"")</f>
        <v>0</v>
      </c>
      <c r="P225" t="str">
        <f>_xlfn.XLOOKUP(Data[[#This Row],[StatusKey]],Status_Key[Status_Key],Status_Key[Name],"")</f>
        <v>In Date</v>
      </c>
    </row>
    <row r="226" spans="1:16" x14ac:dyDescent="0.25">
      <c r="A226" s="1">
        <v>160</v>
      </c>
      <c r="B226" s="1" t="s">
        <v>141</v>
      </c>
      <c r="C226" s="1" t="s">
        <v>142</v>
      </c>
      <c r="D226" s="1" t="s">
        <v>143</v>
      </c>
      <c r="E226" s="1" t="s">
        <v>97</v>
      </c>
      <c r="F226" s="1" t="s">
        <v>65</v>
      </c>
      <c r="G226" s="1" t="s">
        <v>16</v>
      </c>
      <c r="H226" s="1" t="s">
        <v>145</v>
      </c>
      <c r="I226" s="1" t="s">
        <v>60</v>
      </c>
      <c r="J226" s="1" t="s">
        <v>67</v>
      </c>
      <c r="K226" s="1" t="s">
        <v>98</v>
      </c>
      <c r="L226" s="3">
        <v>47246</v>
      </c>
      <c r="M226" s="3">
        <v>45420</v>
      </c>
      <c r="N226">
        <f>_xlfn.XLOOKUP(Data[[#This Row],[Status]],Compliance_Status[Status from OPMS],Compliance_Status[Status_Key],"")</f>
        <v>4</v>
      </c>
      <c r="O226">
        <f>_xlfn.XLOOKUP(Data[[#This Row],[Status]],Compliance_Status[Status from OPMS],Compliance_Status[Has Course booking],"")</f>
        <v>0</v>
      </c>
      <c r="P226" t="str">
        <f>_xlfn.XLOOKUP(Data[[#This Row],[StatusKey]],Status_Key[Status_Key],Status_Key[Name],"")</f>
        <v>In Date</v>
      </c>
    </row>
    <row r="227" spans="1:16" x14ac:dyDescent="0.25">
      <c r="A227" s="1">
        <v>160</v>
      </c>
      <c r="B227" s="1" t="s">
        <v>141</v>
      </c>
      <c r="C227" s="1" t="s">
        <v>142</v>
      </c>
      <c r="D227" s="1" t="s">
        <v>143</v>
      </c>
      <c r="E227" s="1" t="s">
        <v>99</v>
      </c>
      <c r="F227" s="1" t="s">
        <v>65</v>
      </c>
      <c r="G227" s="1" t="s">
        <v>16</v>
      </c>
      <c r="H227" s="1" t="s">
        <v>145</v>
      </c>
      <c r="I227" s="1" t="s">
        <v>60</v>
      </c>
      <c r="J227" s="1" t="s">
        <v>67</v>
      </c>
      <c r="K227" s="1" t="s">
        <v>98</v>
      </c>
      <c r="L227" s="3">
        <v>47174</v>
      </c>
      <c r="M227" s="3">
        <v>46079</v>
      </c>
      <c r="N227">
        <f>_xlfn.XLOOKUP(Data[[#This Row],[Status]],Compliance_Status[Status from OPMS],Compliance_Status[Status_Key],"")</f>
        <v>4</v>
      </c>
      <c r="O227">
        <f>_xlfn.XLOOKUP(Data[[#This Row],[Status]],Compliance_Status[Status from OPMS],Compliance_Status[Has Course booking],"")</f>
        <v>0</v>
      </c>
      <c r="P227" t="str">
        <f>_xlfn.XLOOKUP(Data[[#This Row],[StatusKey]],Status_Key[Status_Key],Status_Key[Name],"")</f>
        <v>In Date</v>
      </c>
    </row>
    <row r="228" spans="1:16" x14ac:dyDescent="0.25">
      <c r="A228" s="1">
        <v>160</v>
      </c>
      <c r="B228" s="1" t="s">
        <v>141</v>
      </c>
      <c r="C228" s="1" t="s">
        <v>142</v>
      </c>
      <c r="D228" s="1" t="s">
        <v>143</v>
      </c>
      <c r="E228" s="1" t="s">
        <v>100</v>
      </c>
      <c r="F228" s="1" t="s">
        <v>65</v>
      </c>
      <c r="G228" s="1" t="s">
        <v>16</v>
      </c>
      <c r="H228" s="1" t="s">
        <v>145</v>
      </c>
      <c r="I228" s="1" t="s">
        <v>60</v>
      </c>
      <c r="J228" s="1" t="s">
        <v>67</v>
      </c>
      <c r="K228" s="1" t="s">
        <v>98</v>
      </c>
      <c r="L228" s="3">
        <v>47174</v>
      </c>
      <c r="M228" s="3">
        <v>46079</v>
      </c>
      <c r="N228">
        <f>_xlfn.XLOOKUP(Data[[#This Row],[Status]],Compliance_Status[Status from OPMS],Compliance_Status[Status_Key],"")</f>
        <v>4</v>
      </c>
      <c r="O228">
        <f>_xlfn.XLOOKUP(Data[[#This Row],[Status]],Compliance_Status[Status from OPMS],Compliance_Status[Has Course booking],"")</f>
        <v>0</v>
      </c>
      <c r="P228" t="str">
        <f>_xlfn.XLOOKUP(Data[[#This Row],[StatusKey]],Status_Key[Status_Key],Status_Key[Name],"")</f>
        <v>In Date</v>
      </c>
    </row>
    <row r="229" spans="1:16" x14ac:dyDescent="0.25">
      <c r="A229" s="1">
        <v>160</v>
      </c>
      <c r="B229" s="1" t="s">
        <v>141</v>
      </c>
      <c r="C229" s="1" t="s">
        <v>142</v>
      </c>
      <c r="D229" s="1" t="s">
        <v>143</v>
      </c>
      <c r="E229" s="1" t="s">
        <v>101</v>
      </c>
      <c r="F229" s="1" t="s">
        <v>65</v>
      </c>
      <c r="G229" s="1" t="s">
        <v>16</v>
      </c>
      <c r="H229" s="1" t="s">
        <v>145</v>
      </c>
      <c r="I229" s="1" t="s">
        <v>60</v>
      </c>
      <c r="J229" s="1" t="s">
        <v>67</v>
      </c>
      <c r="K229" s="1" t="s">
        <v>102</v>
      </c>
      <c r="L229" s="3" t="s">
        <v>79</v>
      </c>
      <c r="M229" s="3">
        <v>45401</v>
      </c>
      <c r="N229">
        <f>_xlfn.XLOOKUP(Data[[#This Row],[Status]],Compliance_Status[Status from OPMS],Compliance_Status[Status_Key],"")</f>
        <v>4</v>
      </c>
      <c r="O229">
        <f>_xlfn.XLOOKUP(Data[[#This Row],[Status]],Compliance_Status[Status from OPMS],Compliance_Status[Has Course booking],"")</f>
        <v>0</v>
      </c>
      <c r="P229" t="str">
        <f>_xlfn.XLOOKUP(Data[[#This Row],[StatusKey]],Status_Key[Status_Key],Status_Key[Name],"")</f>
        <v>In Date</v>
      </c>
    </row>
    <row r="230" spans="1:16" x14ac:dyDescent="0.25">
      <c r="A230" s="1">
        <v>160</v>
      </c>
      <c r="B230" s="1" t="s">
        <v>141</v>
      </c>
      <c r="C230" s="1" t="s">
        <v>142</v>
      </c>
      <c r="D230" s="1" t="s">
        <v>143</v>
      </c>
      <c r="E230" s="1" t="s">
        <v>103</v>
      </c>
      <c r="F230" s="1" t="s">
        <v>65</v>
      </c>
      <c r="G230" s="1" t="s">
        <v>16</v>
      </c>
      <c r="H230" s="1" t="s">
        <v>145</v>
      </c>
      <c r="I230" s="1" t="s">
        <v>60</v>
      </c>
      <c r="J230" s="1" t="s">
        <v>67</v>
      </c>
      <c r="K230" s="1" t="s">
        <v>102</v>
      </c>
      <c r="L230" s="3">
        <v>46457</v>
      </c>
      <c r="M230" s="3">
        <v>45727</v>
      </c>
      <c r="N230">
        <f>_xlfn.XLOOKUP(Data[[#This Row],[Status]],Compliance_Status[Status from OPMS],Compliance_Status[Status_Key],"")</f>
        <v>4</v>
      </c>
      <c r="O230">
        <f>_xlfn.XLOOKUP(Data[[#This Row],[Status]],Compliance_Status[Status from OPMS],Compliance_Status[Has Course booking],"")</f>
        <v>0</v>
      </c>
      <c r="P230" t="str">
        <f>_xlfn.XLOOKUP(Data[[#This Row],[StatusKey]],Status_Key[Status_Key],Status_Key[Name],"")</f>
        <v>In Date</v>
      </c>
    </row>
    <row r="231" spans="1:16" x14ac:dyDescent="0.25">
      <c r="A231" s="1">
        <v>160</v>
      </c>
      <c r="B231" s="1" t="s">
        <v>141</v>
      </c>
      <c r="C231" s="1" t="s">
        <v>142</v>
      </c>
      <c r="D231" s="1" t="s">
        <v>143</v>
      </c>
      <c r="E231" s="1" t="s">
        <v>104</v>
      </c>
      <c r="F231" s="1" t="s">
        <v>65</v>
      </c>
      <c r="G231" s="1" t="s">
        <v>16</v>
      </c>
      <c r="H231" s="1" t="s">
        <v>145</v>
      </c>
      <c r="I231" s="1" t="s">
        <v>60</v>
      </c>
      <c r="J231" s="1" t="s">
        <v>67</v>
      </c>
      <c r="K231" s="1" t="s">
        <v>105</v>
      </c>
      <c r="L231" s="3">
        <v>46728</v>
      </c>
      <c r="M231" s="3">
        <v>45998</v>
      </c>
      <c r="N231">
        <f>_xlfn.XLOOKUP(Data[[#This Row],[Status]],Compliance_Status[Status from OPMS],Compliance_Status[Status_Key],"")</f>
        <v>4</v>
      </c>
      <c r="O231">
        <f>_xlfn.XLOOKUP(Data[[#This Row],[Status]],Compliance_Status[Status from OPMS],Compliance_Status[Has Course booking],"")</f>
        <v>0</v>
      </c>
      <c r="P231" t="str">
        <f>_xlfn.XLOOKUP(Data[[#This Row],[StatusKey]],Status_Key[Status_Key],Status_Key[Name],"")</f>
        <v>In Date</v>
      </c>
    </row>
    <row r="232" spans="1:16" x14ac:dyDescent="0.25">
      <c r="A232" s="1">
        <v>160</v>
      </c>
      <c r="B232" s="1" t="s">
        <v>141</v>
      </c>
      <c r="C232" s="1" t="s">
        <v>142</v>
      </c>
      <c r="D232" s="1" t="s">
        <v>143</v>
      </c>
      <c r="E232" s="1" t="s">
        <v>106</v>
      </c>
      <c r="F232" s="1" t="s">
        <v>65</v>
      </c>
      <c r="G232" s="1" t="s">
        <v>16</v>
      </c>
      <c r="H232" s="1" t="s">
        <v>145</v>
      </c>
      <c r="I232" s="1" t="s">
        <v>60</v>
      </c>
      <c r="J232" s="1" t="s">
        <v>67</v>
      </c>
      <c r="K232" s="1" t="s">
        <v>105</v>
      </c>
      <c r="L232" s="3">
        <v>47246</v>
      </c>
      <c r="M232" s="3">
        <v>45420</v>
      </c>
      <c r="N232">
        <f>_xlfn.XLOOKUP(Data[[#This Row],[Status]],Compliance_Status[Status from OPMS],Compliance_Status[Status_Key],"")</f>
        <v>4</v>
      </c>
      <c r="O232">
        <f>_xlfn.XLOOKUP(Data[[#This Row],[Status]],Compliance_Status[Status from OPMS],Compliance_Status[Has Course booking],"")</f>
        <v>0</v>
      </c>
      <c r="P232" t="str">
        <f>_xlfn.XLOOKUP(Data[[#This Row],[StatusKey]],Status_Key[Status_Key],Status_Key[Name],"")</f>
        <v>In Date</v>
      </c>
    </row>
    <row r="233" spans="1:16" x14ac:dyDescent="0.25">
      <c r="A233" s="1">
        <v>160</v>
      </c>
      <c r="B233" s="1" t="s">
        <v>141</v>
      </c>
      <c r="C233" s="1" t="s">
        <v>142</v>
      </c>
      <c r="D233" s="1" t="s">
        <v>143</v>
      </c>
      <c r="E233" s="1" t="s">
        <v>107</v>
      </c>
      <c r="F233" s="1" t="s">
        <v>65</v>
      </c>
      <c r="G233" s="1" t="s">
        <v>16</v>
      </c>
      <c r="H233" s="1" t="s">
        <v>145</v>
      </c>
      <c r="I233" s="1" t="s">
        <v>60</v>
      </c>
      <c r="J233" s="1" t="s">
        <v>67</v>
      </c>
      <c r="K233" s="1" t="s">
        <v>105</v>
      </c>
      <c r="L233" s="3">
        <v>46516</v>
      </c>
      <c r="M233" s="3">
        <v>45421</v>
      </c>
      <c r="N233">
        <f>_xlfn.XLOOKUP(Data[[#This Row],[Status]],Compliance_Status[Status from OPMS],Compliance_Status[Status_Key],"")</f>
        <v>4</v>
      </c>
      <c r="O233">
        <f>_xlfn.XLOOKUP(Data[[#This Row],[Status]],Compliance_Status[Status from OPMS],Compliance_Status[Has Course booking],"")</f>
        <v>0</v>
      </c>
      <c r="P233" t="str">
        <f>_xlfn.XLOOKUP(Data[[#This Row],[StatusKey]],Status_Key[Status_Key],Status_Key[Name],"")</f>
        <v>In Date</v>
      </c>
    </row>
    <row r="234" spans="1:16" x14ac:dyDescent="0.25">
      <c r="A234" s="1">
        <v>160</v>
      </c>
      <c r="B234" s="1" t="s">
        <v>141</v>
      </c>
      <c r="C234" s="1" t="s">
        <v>142</v>
      </c>
      <c r="D234" s="1" t="s">
        <v>143</v>
      </c>
      <c r="E234" s="1" t="s">
        <v>108</v>
      </c>
      <c r="F234" s="1" t="s">
        <v>65</v>
      </c>
      <c r="G234" s="1" t="s">
        <v>16</v>
      </c>
      <c r="H234" s="1" t="s">
        <v>145</v>
      </c>
      <c r="I234" s="1" t="s">
        <v>60</v>
      </c>
      <c r="J234" s="1" t="s">
        <v>67</v>
      </c>
      <c r="K234" s="1" t="s">
        <v>105</v>
      </c>
      <c r="L234" s="3">
        <v>47317</v>
      </c>
      <c r="M234" s="3">
        <v>46221</v>
      </c>
      <c r="N234">
        <f>_xlfn.XLOOKUP(Data[[#This Row],[Status]],Compliance_Status[Status from OPMS],Compliance_Status[Status_Key],"")</f>
        <v>4</v>
      </c>
      <c r="O234">
        <f>_xlfn.XLOOKUP(Data[[#This Row],[Status]],Compliance_Status[Status from OPMS],Compliance_Status[Has Course booking],"")</f>
        <v>0</v>
      </c>
      <c r="P234" t="str">
        <f>_xlfn.XLOOKUP(Data[[#This Row],[StatusKey]],Status_Key[Status_Key],Status_Key[Name],"")</f>
        <v>In Date</v>
      </c>
    </row>
    <row r="235" spans="1:16" x14ac:dyDescent="0.25">
      <c r="A235" s="1">
        <v>160</v>
      </c>
      <c r="B235" s="1" t="s">
        <v>141</v>
      </c>
      <c r="C235" s="1" t="s">
        <v>142</v>
      </c>
      <c r="D235" s="1" t="s">
        <v>143</v>
      </c>
      <c r="E235" s="1" t="s">
        <v>109</v>
      </c>
      <c r="F235" s="1" t="s">
        <v>65</v>
      </c>
      <c r="G235" s="1" t="s">
        <v>16</v>
      </c>
      <c r="H235" s="1" t="s">
        <v>145</v>
      </c>
      <c r="I235" s="1" t="s">
        <v>60</v>
      </c>
      <c r="J235" s="1" t="s">
        <v>67</v>
      </c>
      <c r="K235" s="1" t="s">
        <v>105</v>
      </c>
      <c r="L235" s="3">
        <v>46728</v>
      </c>
      <c r="M235" s="3">
        <v>45998</v>
      </c>
      <c r="N235">
        <f>_xlfn.XLOOKUP(Data[[#This Row],[Status]],Compliance_Status[Status from OPMS],Compliance_Status[Status_Key],"")</f>
        <v>4</v>
      </c>
      <c r="O235">
        <f>_xlfn.XLOOKUP(Data[[#This Row],[Status]],Compliance_Status[Status from OPMS],Compliance_Status[Has Course booking],"")</f>
        <v>0</v>
      </c>
      <c r="P235" t="str">
        <f>_xlfn.XLOOKUP(Data[[#This Row],[StatusKey]],Status_Key[Status_Key],Status_Key[Name],"")</f>
        <v>In Date</v>
      </c>
    </row>
    <row r="236" spans="1:16" x14ac:dyDescent="0.25">
      <c r="A236" s="1">
        <v>160</v>
      </c>
      <c r="B236" s="1" t="s">
        <v>141</v>
      </c>
      <c r="C236" s="1" t="s">
        <v>142</v>
      </c>
      <c r="D236" s="1" t="s">
        <v>143</v>
      </c>
      <c r="E236" s="1" t="s">
        <v>110</v>
      </c>
      <c r="F236" s="1" t="s">
        <v>65</v>
      </c>
      <c r="G236" s="1" t="s">
        <v>16</v>
      </c>
      <c r="H236" s="1" t="s">
        <v>145</v>
      </c>
      <c r="I236" s="1" t="s">
        <v>60</v>
      </c>
      <c r="J236" s="1" t="s">
        <v>67</v>
      </c>
      <c r="K236" s="1" t="s">
        <v>105</v>
      </c>
      <c r="L236" s="3" t="s">
        <v>79</v>
      </c>
      <c r="M236" s="3">
        <v>45421</v>
      </c>
      <c r="N236">
        <f>_xlfn.XLOOKUP(Data[[#This Row],[Status]],Compliance_Status[Status from OPMS],Compliance_Status[Status_Key],"")</f>
        <v>4</v>
      </c>
      <c r="O236">
        <f>_xlfn.XLOOKUP(Data[[#This Row],[Status]],Compliance_Status[Status from OPMS],Compliance_Status[Has Course booking],"")</f>
        <v>0</v>
      </c>
      <c r="P236" t="str">
        <f>_xlfn.XLOOKUP(Data[[#This Row],[StatusKey]],Status_Key[Status_Key],Status_Key[Name],"")</f>
        <v>In Date</v>
      </c>
    </row>
    <row r="237" spans="1:16" x14ac:dyDescent="0.25">
      <c r="A237" s="1">
        <v>160</v>
      </c>
      <c r="B237" s="1" t="s">
        <v>141</v>
      </c>
      <c r="C237" s="1" t="s">
        <v>142</v>
      </c>
      <c r="D237" s="1" t="s">
        <v>143</v>
      </c>
      <c r="E237" s="1" t="s">
        <v>111</v>
      </c>
      <c r="F237" s="1" t="s">
        <v>65</v>
      </c>
      <c r="G237" s="1" t="s">
        <v>16</v>
      </c>
      <c r="H237" s="1" t="s">
        <v>145</v>
      </c>
      <c r="I237" s="1" t="s">
        <v>60</v>
      </c>
      <c r="J237" s="1" t="s">
        <v>67</v>
      </c>
      <c r="K237" s="1" t="s">
        <v>105</v>
      </c>
      <c r="L237" s="3">
        <v>46728</v>
      </c>
      <c r="M237" s="3">
        <v>45998</v>
      </c>
      <c r="N237">
        <f>_xlfn.XLOOKUP(Data[[#This Row],[Status]],Compliance_Status[Status from OPMS],Compliance_Status[Status_Key],"")</f>
        <v>4</v>
      </c>
      <c r="O237">
        <f>_xlfn.XLOOKUP(Data[[#This Row],[Status]],Compliance_Status[Status from OPMS],Compliance_Status[Has Course booking],"")</f>
        <v>0</v>
      </c>
      <c r="P237" t="str">
        <f>_xlfn.XLOOKUP(Data[[#This Row],[StatusKey]],Status_Key[Status_Key],Status_Key[Name],"")</f>
        <v>In Date</v>
      </c>
    </row>
    <row r="238" spans="1:16" x14ac:dyDescent="0.25">
      <c r="A238" s="1">
        <v>160</v>
      </c>
      <c r="B238" s="1" t="s">
        <v>141</v>
      </c>
      <c r="C238" s="1" t="s">
        <v>142</v>
      </c>
      <c r="D238" s="1" t="s">
        <v>143</v>
      </c>
      <c r="E238" s="1" t="s">
        <v>112</v>
      </c>
      <c r="F238" s="1" t="s">
        <v>65</v>
      </c>
      <c r="G238" s="1" t="s">
        <v>16</v>
      </c>
      <c r="H238" s="1" t="s">
        <v>145</v>
      </c>
      <c r="I238" s="1" t="s">
        <v>60</v>
      </c>
      <c r="J238" s="1" t="s">
        <v>67</v>
      </c>
      <c r="K238" s="1" t="s">
        <v>105</v>
      </c>
      <c r="L238" s="3">
        <v>46768</v>
      </c>
      <c r="M238" s="3">
        <v>46038</v>
      </c>
      <c r="N238">
        <f>_xlfn.XLOOKUP(Data[[#This Row],[Status]],Compliance_Status[Status from OPMS],Compliance_Status[Status_Key],"")</f>
        <v>4</v>
      </c>
      <c r="O238">
        <f>_xlfn.XLOOKUP(Data[[#This Row],[Status]],Compliance_Status[Status from OPMS],Compliance_Status[Has Course booking],"")</f>
        <v>0</v>
      </c>
      <c r="P238" t="str">
        <f>_xlfn.XLOOKUP(Data[[#This Row],[StatusKey]],Status_Key[Status_Key],Status_Key[Name],"")</f>
        <v>In Date</v>
      </c>
    </row>
    <row r="239" spans="1:16" x14ac:dyDescent="0.25">
      <c r="A239" s="1">
        <v>160</v>
      </c>
      <c r="B239" s="1" t="s">
        <v>141</v>
      </c>
      <c r="C239" s="1" t="s">
        <v>142</v>
      </c>
      <c r="D239" s="1" t="s">
        <v>143</v>
      </c>
      <c r="E239" s="1" t="s">
        <v>113</v>
      </c>
      <c r="F239" s="1" t="s">
        <v>65</v>
      </c>
      <c r="G239" s="1" t="s">
        <v>16</v>
      </c>
      <c r="H239" s="1" t="s">
        <v>145</v>
      </c>
      <c r="I239" s="1" t="s">
        <v>60</v>
      </c>
      <c r="J239" s="1" t="s">
        <v>67</v>
      </c>
      <c r="K239" s="1" t="s">
        <v>105</v>
      </c>
      <c r="L239" s="3">
        <v>46744</v>
      </c>
      <c r="M239" s="3">
        <v>46014</v>
      </c>
      <c r="N239">
        <f>_xlfn.XLOOKUP(Data[[#This Row],[Status]],Compliance_Status[Status from OPMS],Compliance_Status[Status_Key],"")</f>
        <v>4</v>
      </c>
      <c r="O239">
        <f>_xlfn.XLOOKUP(Data[[#This Row],[Status]],Compliance_Status[Status from OPMS],Compliance_Status[Has Course booking],"")</f>
        <v>0</v>
      </c>
      <c r="P239" t="str">
        <f>_xlfn.XLOOKUP(Data[[#This Row],[StatusKey]],Status_Key[Status_Key],Status_Key[Name],"")</f>
        <v>In Date</v>
      </c>
    </row>
    <row r="240" spans="1:16" x14ac:dyDescent="0.25">
      <c r="A240" s="1">
        <v>162</v>
      </c>
      <c r="B240" s="1" t="s">
        <v>146</v>
      </c>
      <c r="C240" s="1" t="s">
        <v>147</v>
      </c>
      <c r="D240" s="1" t="s">
        <v>148</v>
      </c>
      <c r="E240" s="1" t="s">
        <v>149</v>
      </c>
      <c r="F240" s="1" t="s">
        <v>65</v>
      </c>
      <c r="G240" s="1" t="s">
        <v>16</v>
      </c>
      <c r="H240" s="1" t="s">
        <v>150</v>
      </c>
      <c r="I240" s="1" t="s">
        <v>60</v>
      </c>
      <c r="J240" s="1" t="s">
        <v>67</v>
      </c>
      <c r="K240" s="1" t="s">
        <v>68</v>
      </c>
      <c r="L240" s="3">
        <v>47247</v>
      </c>
      <c r="M240" s="3">
        <v>45376</v>
      </c>
      <c r="N240">
        <f>_xlfn.XLOOKUP(Data[[#This Row],[Status]],Compliance_Status[Status from OPMS],Compliance_Status[Status_Key],"")</f>
        <v>4</v>
      </c>
      <c r="O240">
        <f>_xlfn.XLOOKUP(Data[[#This Row],[Status]],Compliance_Status[Status from OPMS],Compliance_Status[Has Course booking],"")</f>
        <v>0</v>
      </c>
      <c r="P240" t="str">
        <f>_xlfn.XLOOKUP(Data[[#This Row],[StatusKey]],Status_Key[Status_Key],Status_Key[Name],"")</f>
        <v>In Date</v>
      </c>
    </row>
    <row r="241" spans="1:16" x14ac:dyDescent="0.25">
      <c r="A241" s="1">
        <v>162</v>
      </c>
      <c r="B241" s="1" t="s">
        <v>146</v>
      </c>
      <c r="C241" s="1" t="s">
        <v>147</v>
      </c>
      <c r="D241" s="1" t="s">
        <v>148</v>
      </c>
      <c r="E241" s="1" t="s">
        <v>71</v>
      </c>
      <c r="F241" s="1" t="s">
        <v>72</v>
      </c>
      <c r="G241" s="1" t="s">
        <v>18</v>
      </c>
      <c r="H241" s="1" t="s">
        <v>150</v>
      </c>
      <c r="I241" s="1" t="s">
        <v>60</v>
      </c>
      <c r="J241" s="1"/>
      <c r="K241" s="1" t="s">
        <v>68</v>
      </c>
      <c r="L241" s="3"/>
      <c r="M241" s="3"/>
      <c r="N241">
        <f>_xlfn.XLOOKUP(Data[[#This Row],[Status]],Compliance_Status[Status from OPMS],Compliance_Status[Status_Key],"")</f>
        <v>2</v>
      </c>
      <c r="O241">
        <f>_xlfn.XLOOKUP(Data[[#This Row],[Status]],Compliance_Status[Status from OPMS],Compliance_Status[Has Course booking],"")</f>
        <v>0</v>
      </c>
      <c r="P241" t="str">
        <f>_xlfn.XLOOKUP(Data[[#This Row],[StatusKey]],Status_Key[Status_Key],Status_Key[Name],"")</f>
        <v>Outstanding</v>
      </c>
    </row>
    <row r="242" spans="1:16" x14ac:dyDescent="0.25">
      <c r="A242" s="1">
        <v>162</v>
      </c>
      <c r="B242" s="1" t="s">
        <v>146</v>
      </c>
      <c r="C242" s="1" t="s">
        <v>147</v>
      </c>
      <c r="D242" s="1" t="s">
        <v>148</v>
      </c>
      <c r="E242" s="1" t="s">
        <v>73</v>
      </c>
      <c r="F242" s="1" t="s">
        <v>65</v>
      </c>
      <c r="G242" s="1" t="s">
        <v>16</v>
      </c>
      <c r="H242" s="1" t="s">
        <v>150</v>
      </c>
      <c r="I242" s="1" t="s">
        <v>60</v>
      </c>
      <c r="J242" s="1" t="s">
        <v>67</v>
      </c>
      <c r="K242" s="1" t="s">
        <v>68</v>
      </c>
      <c r="L242" s="3">
        <v>46660</v>
      </c>
      <c r="M242" s="3">
        <v>45930</v>
      </c>
      <c r="N242">
        <f>_xlfn.XLOOKUP(Data[[#This Row],[Status]],Compliance_Status[Status from OPMS],Compliance_Status[Status_Key],"")</f>
        <v>4</v>
      </c>
      <c r="O242">
        <f>_xlfn.XLOOKUP(Data[[#This Row],[Status]],Compliance_Status[Status from OPMS],Compliance_Status[Has Course booking],"")</f>
        <v>0</v>
      </c>
      <c r="P242" t="str">
        <f>_xlfn.XLOOKUP(Data[[#This Row],[StatusKey]],Status_Key[Status_Key],Status_Key[Name],"")</f>
        <v>In Date</v>
      </c>
    </row>
    <row r="243" spans="1:16" x14ac:dyDescent="0.25">
      <c r="A243" s="1">
        <v>162</v>
      </c>
      <c r="B243" s="1" t="s">
        <v>146</v>
      </c>
      <c r="C243" s="1" t="s">
        <v>147</v>
      </c>
      <c r="D243" s="1" t="s">
        <v>148</v>
      </c>
      <c r="E243" s="1" t="s">
        <v>74</v>
      </c>
      <c r="F243" s="1" t="s">
        <v>65</v>
      </c>
      <c r="G243" s="1" t="s">
        <v>16</v>
      </c>
      <c r="H243" s="1" t="s">
        <v>150</v>
      </c>
      <c r="I243" s="1" t="s">
        <v>60</v>
      </c>
      <c r="J243" s="1" t="s">
        <v>67</v>
      </c>
      <c r="K243" s="1" t="s">
        <v>68</v>
      </c>
      <c r="L243" s="3">
        <v>46439</v>
      </c>
      <c r="M243" s="3">
        <v>45344</v>
      </c>
      <c r="N243">
        <f>_xlfn.XLOOKUP(Data[[#This Row],[Status]],Compliance_Status[Status from OPMS],Compliance_Status[Status_Key],"")</f>
        <v>4</v>
      </c>
      <c r="O243">
        <f>_xlfn.XLOOKUP(Data[[#This Row],[Status]],Compliance_Status[Status from OPMS],Compliance_Status[Has Course booking],"")</f>
        <v>0</v>
      </c>
      <c r="P243" t="str">
        <f>_xlfn.XLOOKUP(Data[[#This Row],[StatusKey]],Status_Key[Status_Key],Status_Key[Name],"")</f>
        <v>In Date</v>
      </c>
    </row>
    <row r="244" spans="1:16" x14ac:dyDescent="0.25">
      <c r="A244" s="1">
        <v>162</v>
      </c>
      <c r="B244" s="1" t="s">
        <v>146</v>
      </c>
      <c r="C244" s="1" t="s">
        <v>147</v>
      </c>
      <c r="D244" s="1" t="s">
        <v>148</v>
      </c>
      <c r="E244" s="1" t="s">
        <v>75</v>
      </c>
      <c r="F244" s="1" t="s">
        <v>72</v>
      </c>
      <c r="G244" s="1" t="s">
        <v>18</v>
      </c>
      <c r="H244" s="1" t="s">
        <v>150</v>
      </c>
      <c r="I244" s="1" t="s">
        <v>60</v>
      </c>
      <c r="J244" s="1"/>
      <c r="K244" s="1" t="s">
        <v>68</v>
      </c>
      <c r="L244" s="3"/>
      <c r="M244" s="3"/>
      <c r="N244">
        <f>_xlfn.XLOOKUP(Data[[#This Row],[Status]],Compliance_Status[Status from OPMS],Compliance_Status[Status_Key],"")</f>
        <v>2</v>
      </c>
      <c r="O244">
        <f>_xlfn.XLOOKUP(Data[[#This Row],[Status]],Compliance_Status[Status from OPMS],Compliance_Status[Has Course booking],"")</f>
        <v>0</v>
      </c>
      <c r="P244" t="str">
        <f>_xlfn.XLOOKUP(Data[[#This Row],[StatusKey]],Status_Key[Status_Key],Status_Key[Name],"")</f>
        <v>Outstanding</v>
      </c>
    </row>
    <row r="245" spans="1:16" x14ac:dyDescent="0.25">
      <c r="A245" s="1">
        <v>162</v>
      </c>
      <c r="B245" s="1" t="s">
        <v>146</v>
      </c>
      <c r="C245" s="1" t="s">
        <v>147</v>
      </c>
      <c r="D245" s="1" t="s">
        <v>148</v>
      </c>
      <c r="E245" s="1" t="s">
        <v>76</v>
      </c>
      <c r="F245" s="1" t="s">
        <v>65</v>
      </c>
      <c r="G245" s="1" t="s">
        <v>16</v>
      </c>
      <c r="H245" s="1" t="s">
        <v>150</v>
      </c>
      <c r="I245" s="1" t="s">
        <v>60</v>
      </c>
      <c r="J245" s="1" t="s">
        <v>67</v>
      </c>
      <c r="K245" s="1" t="s">
        <v>77</v>
      </c>
      <c r="L245" s="3">
        <v>46721</v>
      </c>
      <c r="M245" s="3">
        <v>45260</v>
      </c>
      <c r="N245">
        <f>_xlfn.XLOOKUP(Data[[#This Row],[Status]],Compliance_Status[Status from OPMS],Compliance_Status[Status_Key],"")</f>
        <v>4</v>
      </c>
      <c r="O245">
        <f>_xlfn.XLOOKUP(Data[[#This Row],[Status]],Compliance_Status[Status from OPMS],Compliance_Status[Has Course booking],"")</f>
        <v>0</v>
      </c>
      <c r="P245" t="str">
        <f>_xlfn.XLOOKUP(Data[[#This Row],[StatusKey]],Status_Key[Status_Key],Status_Key[Name],"")</f>
        <v>In Date</v>
      </c>
    </row>
    <row r="246" spans="1:16" x14ac:dyDescent="0.25">
      <c r="A246" s="1">
        <v>162</v>
      </c>
      <c r="B246" s="1" t="s">
        <v>146</v>
      </c>
      <c r="C246" s="1" t="s">
        <v>147</v>
      </c>
      <c r="D246" s="1" t="s">
        <v>148</v>
      </c>
      <c r="E246" s="1" t="s">
        <v>80</v>
      </c>
      <c r="F246" s="1" t="s">
        <v>65</v>
      </c>
      <c r="G246" s="1" t="s">
        <v>16</v>
      </c>
      <c r="H246" s="1" t="s">
        <v>150</v>
      </c>
      <c r="I246" s="1" t="s">
        <v>60</v>
      </c>
      <c r="J246" s="1" t="s">
        <v>67</v>
      </c>
      <c r="K246" s="1" t="s">
        <v>77</v>
      </c>
      <c r="L246" s="3" t="s">
        <v>79</v>
      </c>
      <c r="M246" s="3">
        <v>45768</v>
      </c>
      <c r="N246">
        <f>_xlfn.XLOOKUP(Data[[#This Row],[Status]],Compliance_Status[Status from OPMS],Compliance_Status[Status_Key],"")</f>
        <v>4</v>
      </c>
      <c r="O246">
        <f>_xlfn.XLOOKUP(Data[[#This Row],[Status]],Compliance_Status[Status from OPMS],Compliance_Status[Has Course booking],"")</f>
        <v>0</v>
      </c>
      <c r="P246" t="str">
        <f>_xlfn.XLOOKUP(Data[[#This Row],[StatusKey]],Status_Key[Status_Key],Status_Key[Name],"")</f>
        <v>In Date</v>
      </c>
    </row>
    <row r="247" spans="1:16" x14ac:dyDescent="0.25">
      <c r="A247" s="1">
        <v>162</v>
      </c>
      <c r="B247" s="1" t="s">
        <v>146</v>
      </c>
      <c r="C247" s="1" t="s">
        <v>147</v>
      </c>
      <c r="D247" s="1" t="s">
        <v>148</v>
      </c>
      <c r="E247" s="1" t="s">
        <v>81</v>
      </c>
      <c r="F247" s="1"/>
      <c r="G247" s="1" t="s">
        <v>16</v>
      </c>
      <c r="H247" s="1" t="s">
        <v>150</v>
      </c>
      <c r="I247" s="1" t="s">
        <v>60</v>
      </c>
      <c r="J247" s="1" t="s">
        <v>67</v>
      </c>
      <c r="K247" s="1" t="s">
        <v>77</v>
      </c>
      <c r="L247" s="3">
        <v>46744</v>
      </c>
      <c r="M247" s="3">
        <v>46014</v>
      </c>
      <c r="N247">
        <f>_xlfn.XLOOKUP(Data[[#This Row],[Status]],Compliance_Status[Status from OPMS],Compliance_Status[Status_Key],"")</f>
        <v>4</v>
      </c>
      <c r="O247">
        <f>_xlfn.XLOOKUP(Data[[#This Row],[Status]],Compliance_Status[Status from OPMS],Compliance_Status[Has Course booking],"")</f>
        <v>0</v>
      </c>
      <c r="P247" t="str">
        <f>_xlfn.XLOOKUP(Data[[#This Row],[StatusKey]],Status_Key[Status_Key],Status_Key[Name],"")</f>
        <v>In Date</v>
      </c>
    </row>
    <row r="248" spans="1:16" x14ac:dyDescent="0.25">
      <c r="A248" s="1">
        <v>162</v>
      </c>
      <c r="B248" s="1" t="s">
        <v>146</v>
      </c>
      <c r="C248" s="1" t="s">
        <v>147</v>
      </c>
      <c r="D248" s="1" t="s">
        <v>148</v>
      </c>
      <c r="E248" s="1" t="s">
        <v>84</v>
      </c>
      <c r="F248" s="1" t="s">
        <v>65</v>
      </c>
      <c r="G248" s="1" t="s">
        <v>16</v>
      </c>
      <c r="H248" s="1" t="s">
        <v>150</v>
      </c>
      <c r="I248" s="1" t="s">
        <v>60</v>
      </c>
      <c r="J248" s="1" t="s">
        <v>67</v>
      </c>
      <c r="K248" s="1" t="s">
        <v>83</v>
      </c>
      <c r="L248" s="3">
        <v>46726</v>
      </c>
      <c r="M248" s="3">
        <v>45996</v>
      </c>
      <c r="N248">
        <f>_xlfn.XLOOKUP(Data[[#This Row],[Status]],Compliance_Status[Status from OPMS],Compliance_Status[Status_Key],"")</f>
        <v>4</v>
      </c>
      <c r="O248">
        <f>_xlfn.XLOOKUP(Data[[#This Row],[Status]],Compliance_Status[Status from OPMS],Compliance_Status[Has Course booking],"")</f>
        <v>0</v>
      </c>
      <c r="P248" t="str">
        <f>_xlfn.XLOOKUP(Data[[#This Row],[StatusKey]],Status_Key[Status_Key],Status_Key[Name],"")</f>
        <v>In Date</v>
      </c>
    </row>
    <row r="249" spans="1:16" x14ac:dyDescent="0.25">
      <c r="A249" s="1">
        <v>162</v>
      </c>
      <c r="B249" s="1" t="s">
        <v>146</v>
      </c>
      <c r="C249" s="1" t="s">
        <v>147</v>
      </c>
      <c r="D249" s="1" t="s">
        <v>148</v>
      </c>
      <c r="E249" s="1" t="s">
        <v>93</v>
      </c>
      <c r="F249" s="1" t="s">
        <v>65</v>
      </c>
      <c r="G249" s="1" t="s">
        <v>16</v>
      </c>
      <c r="H249" s="1" t="s">
        <v>150</v>
      </c>
      <c r="I249" s="1" t="s">
        <v>60</v>
      </c>
      <c r="J249" s="1" t="s">
        <v>67</v>
      </c>
      <c r="K249" s="1" t="s">
        <v>94</v>
      </c>
      <c r="L249" s="3">
        <v>46627</v>
      </c>
      <c r="M249" s="3">
        <v>45897</v>
      </c>
      <c r="N249">
        <f>_xlfn.XLOOKUP(Data[[#This Row],[Status]],Compliance_Status[Status from OPMS],Compliance_Status[Status_Key],"")</f>
        <v>4</v>
      </c>
      <c r="O249">
        <f>_xlfn.XLOOKUP(Data[[#This Row],[Status]],Compliance_Status[Status from OPMS],Compliance_Status[Has Course booking],"")</f>
        <v>0</v>
      </c>
      <c r="P249" t="str">
        <f>_xlfn.XLOOKUP(Data[[#This Row],[StatusKey]],Status_Key[Status_Key],Status_Key[Name],"")</f>
        <v>In Date</v>
      </c>
    </row>
    <row r="250" spans="1:16" x14ac:dyDescent="0.25">
      <c r="A250" s="1">
        <v>162</v>
      </c>
      <c r="B250" s="1" t="s">
        <v>146</v>
      </c>
      <c r="C250" s="1" t="s">
        <v>147</v>
      </c>
      <c r="D250" s="1" t="s">
        <v>148</v>
      </c>
      <c r="E250" s="1" t="s">
        <v>95</v>
      </c>
      <c r="F250" s="1" t="s">
        <v>65</v>
      </c>
      <c r="G250" s="1" t="s">
        <v>16</v>
      </c>
      <c r="H250" s="1" t="s">
        <v>150</v>
      </c>
      <c r="I250" s="1" t="s">
        <v>60</v>
      </c>
      <c r="J250" s="1" t="s">
        <v>67</v>
      </c>
      <c r="K250" s="1" t="s">
        <v>94</v>
      </c>
      <c r="L250" s="3">
        <v>46627</v>
      </c>
      <c r="M250" s="3">
        <v>45897</v>
      </c>
      <c r="N250">
        <f>_xlfn.XLOOKUP(Data[[#This Row],[Status]],Compliance_Status[Status from OPMS],Compliance_Status[Status_Key],"")</f>
        <v>4</v>
      </c>
      <c r="O250">
        <f>_xlfn.XLOOKUP(Data[[#This Row],[Status]],Compliance_Status[Status from OPMS],Compliance_Status[Has Course booking],"")</f>
        <v>0</v>
      </c>
      <c r="P250" t="str">
        <f>_xlfn.XLOOKUP(Data[[#This Row],[StatusKey]],Status_Key[Status_Key],Status_Key[Name],"")</f>
        <v>In Date</v>
      </c>
    </row>
    <row r="251" spans="1:16" x14ac:dyDescent="0.25">
      <c r="A251" s="1">
        <v>162</v>
      </c>
      <c r="B251" s="1" t="s">
        <v>146</v>
      </c>
      <c r="C251" s="1" t="s">
        <v>147</v>
      </c>
      <c r="D251" s="1" t="s">
        <v>148</v>
      </c>
      <c r="E251" s="1" t="s">
        <v>97</v>
      </c>
      <c r="F251" s="1" t="s">
        <v>65</v>
      </c>
      <c r="G251" s="1" t="s">
        <v>16</v>
      </c>
      <c r="H251" s="1" t="s">
        <v>150</v>
      </c>
      <c r="I251" s="1" t="s">
        <v>60</v>
      </c>
      <c r="J251" s="1" t="s">
        <v>67</v>
      </c>
      <c r="K251" s="1" t="s">
        <v>98</v>
      </c>
      <c r="L251" s="3">
        <v>47580</v>
      </c>
      <c r="M251" s="3">
        <v>45754</v>
      </c>
      <c r="N251">
        <f>_xlfn.XLOOKUP(Data[[#This Row],[Status]],Compliance_Status[Status from OPMS],Compliance_Status[Status_Key],"")</f>
        <v>4</v>
      </c>
      <c r="O251">
        <f>_xlfn.XLOOKUP(Data[[#This Row],[Status]],Compliance_Status[Status from OPMS],Compliance_Status[Has Course booking],"")</f>
        <v>0</v>
      </c>
      <c r="P251" t="str">
        <f>_xlfn.XLOOKUP(Data[[#This Row],[StatusKey]],Status_Key[Status_Key],Status_Key[Name],"")</f>
        <v>In Date</v>
      </c>
    </row>
    <row r="252" spans="1:16" x14ac:dyDescent="0.25">
      <c r="A252" s="1">
        <v>162</v>
      </c>
      <c r="B252" s="1" t="s">
        <v>146</v>
      </c>
      <c r="C252" s="1" t="s">
        <v>147</v>
      </c>
      <c r="D252" s="1" t="s">
        <v>148</v>
      </c>
      <c r="E252" s="1" t="s">
        <v>99</v>
      </c>
      <c r="F252" s="1" t="s">
        <v>65</v>
      </c>
      <c r="G252" s="1" t="s">
        <v>16</v>
      </c>
      <c r="H252" s="1" t="s">
        <v>150</v>
      </c>
      <c r="I252" s="1" t="s">
        <v>60</v>
      </c>
      <c r="J252" s="1" t="s">
        <v>67</v>
      </c>
      <c r="K252" s="1" t="s">
        <v>98</v>
      </c>
      <c r="L252" s="3">
        <v>46696</v>
      </c>
      <c r="M252" s="3">
        <v>45601</v>
      </c>
      <c r="N252">
        <f>_xlfn.XLOOKUP(Data[[#This Row],[Status]],Compliance_Status[Status from OPMS],Compliance_Status[Status_Key],"")</f>
        <v>4</v>
      </c>
      <c r="O252">
        <f>_xlfn.XLOOKUP(Data[[#This Row],[Status]],Compliance_Status[Status from OPMS],Compliance_Status[Has Course booking],"")</f>
        <v>0</v>
      </c>
      <c r="P252" t="str">
        <f>_xlfn.XLOOKUP(Data[[#This Row],[StatusKey]],Status_Key[Status_Key],Status_Key[Name],"")</f>
        <v>In Date</v>
      </c>
    </row>
    <row r="253" spans="1:16" x14ac:dyDescent="0.25">
      <c r="A253" s="1">
        <v>162</v>
      </c>
      <c r="B253" s="1" t="s">
        <v>146</v>
      </c>
      <c r="C253" s="1" t="s">
        <v>147</v>
      </c>
      <c r="D253" s="1" t="s">
        <v>148</v>
      </c>
      <c r="E253" s="1" t="s">
        <v>100</v>
      </c>
      <c r="F253" s="1" t="s">
        <v>65</v>
      </c>
      <c r="G253" s="1" t="s">
        <v>16</v>
      </c>
      <c r="H253" s="1" t="s">
        <v>150</v>
      </c>
      <c r="I253" s="1" t="s">
        <v>60</v>
      </c>
      <c r="J253" s="1" t="s">
        <v>67</v>
      </c>
      <c r="K253" s="1" t="s">
        <v>98</v>
      </c>
      <c r="L253" s="3">
        <v>46695</v>
      </c>
      <c r="M253" s="3">
        <v>45600</v>
      </c>
      <c r="N253">
        <f>_xlfn.XLOOKUP(Data[[#This Row],[Status]],Compliance_Status[Status from OPMS],Compliance_Status[Status_Key],"")</f>
        <v>4</v>
      </c>
      <c r="O253">
        <f>_xlfn.XLOOKUP(Data[[#This Row],[Status]],Compliance_Status[Status from OPMS],Compliance_Status[Has Course booking],"")</f>
        <v>0</v>
      </c>
      <c r="P253" t="str">
        <f>_xlfn.XLOOKUP(Data[[#This Row],[StatusKey]],Status_Key[Status_Key],Status_Key[Name],"")</f>
        <v>In Date</v>
      </c>
    </row>
    <row r="254" spans="1:16" x14ac:dyDescent="0.25">
      <c r="A254" s="1">
        <v>162</v>
      </c>
      <c r="B254" s="1" t="s">
        <v>146</v>
      </c>
      <c r="C254" s="1" t="s">
        <v>147</v>
      </c>
      <c r="D254" s="1" t="s">
        <v>148</v>
      </c>
      <c r="E254" s="1" t="s">
        <v>101</v>
      </c>
      <c r="F254" s="1" t="s">
        <v>65</v>
      </c>
      <c r="G254" s="1" t="s">
        <v>16</v>
      </c>
      <c r="H254" s="1" t="s">
        <v>150</v>
      </c>
      <c r="I254" s="1" t="s">
        <v>60</v>
      </c>
      <c r="J254" s="1" t="s">
        <v>67</v>
      </c>
      <c r="K254" s="1" t="s">
        <v>102</v>
      </c>
      <c r="L254" s="3" t="s">
        <v>79</v>
      </c>
      <c r="M254" s="3">
        <v>45773</v>
      </c>
      <c r="N254">
        <f>_xlfn.XLOOKUP(Data[[#This Row],[Status]],Compliance_Status[Status from OPMS],Compliance_Status[Status_Key],"")</f>
        <v>4</v>
      </c>
      <c r="O254">
        <f>_xlfn.XLOOKUP(Data[[#This Row],[Status]],Compliance_Status[Status from OPMS],Compliance_Status[Has Course booking],"")</f>
        <v>0</v>
      </c>
      <c r="P254" t="str">
        <f>_xlfn.XLOOKUP(Data[[#This Row],[StatusKey]],Status_Key[Status_Key],Status_Key[Name],"")</f>
        <v>In Date</v>
      </c>
    </row>
    <row r="255" spans="1:16" x14ac:dyDescent="0.25">
      <c r="A255" s="1">
        <v>162</v>
      </c>
      <c r="B255" s="1" t="s">
        <v>146</v>
      </c>
      <c r="C255" s="1" t="s">
        <v>147</v>
      </c>
      <c r="D255" s="1" t="s">
        <v>148</v>
      </c>
      <c r="E255" s="1" t="s">
        <v>103</v>
      </c>
      <c r="F255" s="1" t="s">
        <v>65</v>
      </c>
      <c r="G255" s="1" t="s">
        <v>16</v>
      </c>
      <c r="H255" s="1" t="s">
        <v>150</v>
      </c>
      <c r="I255" s="1" t="s">
        <v>60</v>
      </c>
      <c r="J255" s="1" t="s">
        <v>67</v>
      </c>
      <c r="K255" s="1" t="s">
        <v>102</v>
      </c>
      <c r="L255" s="3">
        <v>46727</v>
      </c>
      <c r="M255" s="3">
        <v>45997</v>
      </c>
      <c r="N255">
        <f>_xlfn.XLOOKUP(Data[[#This Row],[Status]],Compliance_Status[Status from OPMS],Compliance_Status[Status_Key],"")</f>
        <v>4</v>
      </c>
      <c r="O255">
        <f>_xlfn.XLOOKUP(Data[[#This Row],[Status]],Compliance_Status[Status from OPMS],Compliance_Status[Has Course booking],"")</f>
        <v>0</v>
      </c>
      <c r="P255" t="str">
        <f>_xlfn.XLOOKUP(Data[[#This Row],[StatusKey]],Status_Key[Status_Key],Status_Key[Name],"")</f>
        <v>In Date</v>
      </c>
    </row>
    <row r="256" spans="1:16" x14ac:dyDescent="0.25">
      <c r="A256" s="1">
        <v>162</v>
      </c>
      <c r="B256" s="1" t="s">
        <v>146</v>
      </c>
      <c r="C256" s="1" t="s">
        <v>147</v>
      </c>
      <c r="D256" s="1" t="s">
        <v>148</v>
      </c>
      <c r="E256" s="1" t="s">
        <v>104</v>
      </c>
      <c r="F256" s="1" t="s">
        <v>65</v>
      </c>
      <c r="G256" s="1" t="s">
        <v>16</v>
      </c>
      <c r="H256" s="1" t="s">
        <v>150</v>
      </c>
      <c r="I256" s="1" t="s">
        <v>60</v>
      </c>
      <c r="J256" s="1" t="s">
        <v>67</v>
      </c>
      <c r="K256" s="1" t="s">
        <v>105</v>
      </c>
      <c r="L256" s="3">
        <v>46813</v>
      </c>
      <c r="M256" s="3">
        <v>46082</v>
      </c>
      <c r="N256">
        <f>_xlfn.XLOOKUP(Data[[#This Row],[Status]],Compliance_Status[Status from OPMS],Compliance_Status[Status_Key],"")</f>
        <v>4</v>
      </c>
      <c r="O256">
        <f>_xlfn.XLOOKUP(Data[[#This Row],[Status]],Compliance_Status[Status from OPMS],Compliance_Status[Has Course booking],"")</f>
        <v>0</v>
      </c>
      <c r="P256" t="str">
        <f>_xlfn.XLOOKUP(Data[[#This Row],[StatusKey]],Status_Key[Status_Key],Status_Key[Name],"")</f>
        <v>In Date</v>
      </c>
    </row>
    <row r="257" spans="1:16" x14ac:dyDescent="0.25">
      <c r="A257" s="1">
        <v>162</v>
      </c>
      <c r="B257" s="1" t="s">
        <v>146</v>
      </c>
      <c r="C257" s="1" t="s">
        <v>147</v>
      </c>
      <c r="D257" s="1" t="s">
        <v>148</v>
      </c>
      <c r="E257" s="1" t="s">
        <v>106</v>
      </c>
      <c r="F257" s="1" t="s">
        <v>65</v>
      </c>
      <c r="G257" s="1" t="s">
        <v>16</v>
      </c>
      <c r="H257" s="1" t="s">
        <v>150</v>
      </c>
      <c r="I257" s="1" t="s">
        <v>60</v>
      </c>
      <c r="J257" s="1" t="s">
        <v>67</v>
      </c>
      <c r="K257" s="1" t="s">
        <v>105</v>
      </c>
      <c r="L257" s="3">
        <v>47580</v>
      </c>
      <c r="M257" s="3">
        <v>45754</v>
      </c>
      <c r="N257">
        <f>_xlfn.XLOOKUP(Data[[#This Row],[Status]],Compliance_Status[Status from OPMS],Compliance_Status[Status_Key],"")</f>
        <v>4</v>
      </c>
      <c r="O257">
        <f>_xlfn.XLOOKUP(Data[[#This Row],[Status]],Compliance_Status[Status from OPMS],Compliance_Status[Has Course booking],"")</f>
        <v>0</v>
      </c>
      <c r="P257" t="str">
        <f>_xlfn.XLOOKUP(Data[[#This Row],[StatusKey]],Status_Key[Status_Key],Status_Key[Name],"")</f>
        <v>In Date</v>
      </c>
    </row>
    <row r="258" spans="1:16" x14ac:dyDescent="0.25">
      <c r="A258" s="1">
        <v>162</v>
      </c>
      <c r="B258" s="1" t="s">
        <v>146</v>
      </c>
      <c r="C258" s="1" t="s">
        <v>147</v>
      </c>
      <c r="D258" s="1" t="s">
        <v>148</v>
      </c>
      <c r="E258" s="1" t="s">
        <v>107</v>
      </c>
      <c r="F258" s="1" t="s">
        <v>65</v>
      </c>
      <c r="G258" s="1" t="s">
        <v>16</v>
      </c>
      <c r="H258" s="1" t="s">
        <v>150</v>
      </c>
      <c r="I258" s="1" t="s">
        <v>60</v>
      </c>
      <c r="J258" s="1" t="s">
        <v>67</v>
      </c>
      <c r="K258" s="1" t="s">
        <v>105</v>
      </c>
      <c r="L258" s="3">
        <v>46848</v>
      </c>
      <c r="M258" s="3">
        <v>45753</v>
      </c>
      <c r="N258">
        <f>_xlfn.XLOOKUP(Data[[#This Row],[Status]],Compliance_Status[Status from OPMS],Compliance_Status[Status_Key],"")</f>
        <v>4</v>
      </c>
      <c r="O258">
        <f>_xlfn.XLOOKUP(Data[[#This Row],[Status]],Compliance_Status[Status from OPMS],Compliance_Status[Has Course booking],"")</f>
        <v>0</v>
      </c>
      <c r="P258" t="str">
        <f>_xlfn.XLOOKUP(Data[[#This Row],[StatusKey]],Status_Key[Status_Key],Status_Key[Name],"")</f>
        <v>In Date</v>
      </c>
    </row>
    <row r="259" spans="1:16" x14ac:dyDescent="0.25">
      <c r="A259" s="1">
        <v>162</v>
      </c>
      <c r="B259" s="1" t="s">
        <v>146</v>
      </c>
      <c r="C259" s="1" t="s">
        <v>147</v>
      </c>
      <c r="D259" s="1" t="s">
        <v>148</v>
      </c>
      <c r="E259" s="1" t="s">
        <v>108</v>
      </c>
      <c r="F259" s="1" t="s">
        <v>65</v>
      </c>
      <c r="G259" s="1" t="s">
        <v>16</v>
      </c>
      <c r="H259" s="1" t="s">
        <v>150</v>
      </c>
      <c r="I259" s="1" t="s">
        <v>60</v>
      </c>
      <c r="J259" s="1" t="s">
        <v>67</v>
      </c>
      <c r="K259" s="1" t="s">
        <v>105</v>
      </c>
      <c r="L259" s="3">
        <v>47318</v>
      </c>
      <c r="M259" s="3">
        <v>46222</v>
      </c>
      <c r="N259">
        <f>_xlfn.XLOOKUP(Data[[#This Row],[Status]],Compliance_Status[Status from OPMS],Compliance_Status[Status_Key],"")</f>
        <v>4</v>
      </c>
      <c r="O259">
        <f>_xlfn.XLOOKUP(Data[[#This Row],[Status]],Compliance_Status[Status from OPMS],Compliance_Status[Has Course booking],"")</f>
        <v>0</v>
      </c>
      <c r="P259" t="str">
        <f>_xlfn.XLOOKUP(Data[[#This Row],[StatusKey]],Status_Key[Status_Key],Status_Key[Name],"")</f>
        <v>In Date</v>
      </c>
    </row>
    <row r="260" spans="1:16" x14ac:dyDescent="0.25">
      <c r="A260" s="1">
        <v>162</v>
      </c>
      <c r="B260" s="1" t="s">
        <v>146</v>
      </c>
      <c r="C260" s="1" t="s">
        <v>147</v>
      </c>
      <c r="D260" s="1" t="s">
        <v>148</v>
      </c>
      <c r="E260" s="1" t="s">
        <v>109</v>
      </c>
      <c r="F260" s="1" t="s">
        <v>65</v>
      </c>
      <c r="G260" s="1" t="s">
        <v>16</v>
      </c>
      <c r="H260" s="1" t="s">
        <v>150</v>
      </c>
      <c r="I260" s="1" t="s">
        <v>60</v>
      </c>
      <c r="J260" s="1" t="s">
        <v>67</v>
      </c>
      <c r="K260" s="1" t="s">
        <v>105</v>
      </c>
      <c r="L260" s="3">
        <v>46843</v>
      </c>
      <c r="M260" s="3">
        <v>46112</v>
      </c>
      <c r="N260">
        <f>_xlfn.XLOOKUP(Data[[#This Row],[Status]],Compliance_Status[Status from OPMS],Compliance_Status[Status_Key],"")</f>
        <v>4</v>
      </c>
      <c r="O260">
        <f>_xlfn.XLOOKUP(Data[[#This Row],[Status]],Compliance_Status[Status from OPMS],Compliance_Status[Has Course booking],"")</f>
        <v>0</v>
      </c>
      <c r="P260" t="str">
        <f>_xlfn.XLOOKUP(Data[[#This Row],[StatusKey]],Status_Key[Status_Key],Status_Key[Name],"")</f>
        <v>In Date</v>
      </c>
    </row>
    <row r="261" spans="1:16" x14ac:dyDescent="0.25">
      <c r="A261" s="1">
        <v>162</v>
      </c>
      <c r="B261" s="1" t="s">
        <v>146</v>
      </c>
      <c r="C261" s="1" t="s">
        <v>147</v>
      </c>
      <c r="D261" s="1" t="s">
        <v>148</v>
      </c>
      <c r="E261" s="1" t="s">
        <v>110</v>
      </c>
      <c r="F261" s="1" t="s">
        <v>65</v>
      </c>
      <c r="G261" s="1" t="s">
        <v>16</v>
      </c>
      <c r="H261" s="1" t="s">
        <v>150</v>
      </c>
      <c r="I261" s="1" t="s">
        <v>60</v>
      </c>
      <c r="J261" s="1" t="s">
        <v>67</v>
      </c>
      <c r="K261" s="1" t="s">
        <v>105</v>
      </c>
      <c r="L261" s="3" t="s">
        <v>79</v>
      </c>
      <c r="M261" s="3">
        <v>45753</v>
      </c>
      <c r="N261">
        <f>_xlfn.XLOOKUP(Data[[#This Row],[Status]],Compliance_Status[Status from OPMS],Compliance_Status[Status_Key],"")</f>
        <v>4</v>
      </c>
      <c r="O261">
        <f>_xlfn.XLOOKUP(Data[[#This Row],[Status]],Compliance_Status[Status from OPMS],Compliance_Status[Has Course booking],"")</f>
        <v>0</v>
      </c>
      <c r="P261" t="str">
        <f>_xlfn.XLOOKUP(Data[[#This Row],[StatusKey]],Status_Key[Status_Key],Status_Key[Name],"")</f>
        <v>In Date</v>
      </c>
    </row>
    <row r="262" spans="1:16" x14ac:dyDescent="0.25">
      <c r="A262" s="1">
        <v>162</v>
      </c>
      <c r="B262" s="1" t="s">
        <v>146</v>
      </c>
      <c r="C262" s="1" t="s">
        <v>147</v>
      </c>
      <c r="D262" s="1" t="s">
        <v>148</v>
      </c>
      <c r="E262" s="1" t="s">
        <v>111</v>
      </c>
      <c r="F262" s="1" t="s">
        <v>65</v>
      </c>
      <c r="G262" s="1" t="s">
        <v>16</v>
      </c>
      <c r="H262" s="1" t="s">
        <v>150</v>
      </c>
      <c r="I262" s="1" t="s">
        <v>60</v>
      </c>
      <c r="J262" s="1" t="s">
        <v>67</v>
      </c>
      <c r="K262" s="1" t="s">
        <v>105</v>
      </c>
      <c r="L262" s="3">
        <v>46726</v>
      </c>
      <c r="M262" s="3">
        <v>45996</v>
      </c>
      <c r="N262">
        <f>_xlfn.XLOOKUP(Data[[#This Row],[Status]],Compliance_Status[Status from OPMS],Compliance_Status[Status_Key],"")</f>
        <v>4</v>
      </c>
      <c r="O262">
        <f>_xlfn.XLOOKUP(Data[[#This Row],[Status]],Compliance_Status[Status from OPMS],Compliance_Status[Has Course booking],"")</f>
        <v>0</v>
      </c>
      <c r="P262" t="str">
        <f>_xlfn.XLOOKUP(Data[[#This Row],[StatusKey]],Status_Key[Status_Key],Status_Key[Name],"")</f>
        <v>In Date</v>
      </c>
    </row>
    <row r="263" spans="1:16" x14ac:dyDescent="0.25">
      <c r="A263" s="1">
        <v>162</v>
      </c>
      <c r="B263" s="1" t="s">
        <v>146</v>
      </c>
      <c r="C263" s="1" t="s">
        <v>147</v>
      </c>
      <c r="D263" s="1" t="s">
        <v>148</v>
      </c>
      <c r="E263" s="1" t="s">
        <v>112</v>
      </c>
      <c r="F263" s="1" t="s">
        <v>65</v>
      </c>
      <c r="G263" s="1" t="s">
        <v>16</v>
      </c>
      <c r="H263" s="1" t="s">
        <v>150</v>
      </c>
      <c r="I263" s="1" t="s">
        <v>60</v>
      </c>
      <c r="J263" s="1" t="s">
        <v>67</v>
      </c>
      <c r="K263" s="1" t="s">
        <v>105</v>
      </c>
      <c r="L263" s="3">
        <v>46484</v>
      </c>
      <c r="M263" s="3">
        <v>45754</v>
      </c>
      <c r="N263">
        <f>_xlfn.XLOOKUP(Data[[#This Row],[Status]],Compliance_Status[Status from OPMS],Compliance_Status[Status_Key],"")</f>
        <v>4</v>
      </c>
      <c r="O263">
        <f>_xlfn.XLOOKUP(Data[[#This Row],[Status]],Compliance_Status[Status from OPMS],Compliance_Status[Has Course booking],"")</f>
        <v>0</v>
      </c>
      <c r="P263" t="str">
        <f>_xlfn.XLOOKUP(Data[[#This Row],[StatusKey]],Status_Key[Status_Key],Status_Key[Name],"")</f>
        <v>In Date</v>
      </c>
    </row>
    <row r="264" spans="1:16" x14ac:dyDescent="0.25">
      <c r="A264" s="1">
        <v>162</v>
      </c>
      <c r="B264" s="1" t="s">
        <v>146</v>
      </c>
      <c r="C264" s="1" t="s">
        <v>147</v>
      </c>
      <c r="D264" s="1" t="s">
        <v>148</v>
      </c>
      <c r="E264" s="1" t="s">
        <v>113</v>
      </c>
      <c r="F264" s="1" t="s">
        <v>65</v>
      </c>
      <c r="G264" s="1" t="s">
        <v>16</v>
      </c>
      <c r="H264" s="1" t="s">
        <v>150</v>
      </c>
      <c r="I264" s="1" t="s">
        <v>60</v>
      </c>
      <c r="J264" s="1" t="s">
        <v>67</v>
      </c>
      <c r="K264" s="1" t="s">
        <v>105</v>
      </c>
      <c r="L264" s="3">
        <v>46744</v>
      </c>
      <c r="M264" s="3">
        <v>46014</v>
      </c>
      <c r="N264">
        <f>_xlfn.XLOOKUP(Data[[#This Row],[Status]],Compliance_Status[Status from OPMS],Compliance_Status[Status_Key],"")</f>
        <v>4</v>
      </c>
      <c r="O264">
        <f>_xlfn.XLOOKUP(Data[[#This Row],[Status]],Compliance_Status[Status from OPMS],Compliance_Status[Has Course booking],"")</f>
        <v>0</v>
      </c>
      <c r="P264" t="str">
        <f>_xlfn.XLOOKUP(Data[[#This Row],[StatusKey]],Status_Key[Status_Key],Status_Key[Name],"")</f>
        <v>In Date</v>
      </c>
    </row>
    <row r="265" spans="1:16" x14ac:dyDescent="0.25">
      <c r="A265" s="1">
        <v>164</v>
      </c>
      <c r="B265" s="1" t="s">
        <v>151</v>
      </c>
      <c r="C265" s="1" t="s">
        <v>152</v>
      </c>
      <c r="D265" s="1" t="s">
        <v>153</v>
      </c>
      <c r="E265" s="1" t="s">
        <v>154</v>
      </c>
      <c r="F265" s="1" t="s">
        <v>65</v>
      </c>
      <c r="G265" s="1" t="s">
        <v>16</v>
      </c>
      <c r="H265" s="1" t="s">
        <v>155</v>
      </c>
      <c r="I265" s="1" t="s">
        <v>60</v>
      </c>
      <c r="J265" s="1"/>
      <c r="K265" s="1" t="s">
        <v>68</v>
      </c>
      <c r="L265" s="3">
        <v>47343</v>
      </c>
      <c r="M265" s="3">
        <v>45518</v>
      </c>
      <c r="N265">
        <f>_xlfn.XLOOKUP(Data[[#This Row],[Status]],Compliance_Status[Status from OPMS],Compliance_Status[Status_Key],"")</f>
        <v>4</v>
      </c>
      <c r="O265">
        <f>_xlfn.XLOOKUP(Data[[#This Row],[Status]],Compliance_Status[Status from OPMS],Compliance_Status[Has Course booking],"")</f>
        <v>0</v>
      </c>
      <c r="P265" t="str">
        <f>_xlfn.XLOOKUP(Data[[#This Row],[StatusKey]],Status_Key[Status_Key],Status_Key[Name],"")</f>
        <v>In Date</v>
      </c>
    </row>
    <row r="266" spans="1:16" x14ac:dyDescent="0.25">
      <c r="A266" s="1">
        <v>164</v>
      </c>
      <c r="B266" s="1" t="s">
        <v>151</v>
      </c>
      <c r="C266" s="1" t="s">
        <v>152</v>
      </c>
      <c r="D266" s="1" t="s">
        <v>153</v>
      </c>
      <c r="E266" s="1" t="s">
        <v>131</v>
      </c>
      <c r="F266" s="1" t="s">
        <v>65</v>
      </c>
      <c r="G266" s="1" t="s">
        <v>16</v>
      </c>
      <c r="H266" s="1" t="s">
        <v>155</v>
      </c>
      <c r="I266" s="1" t="s">
        <v>60</v>
      </c>
      <c r="J266" s="1"/>
      <c r="K266" s="1" t="s">
        <v>68</v>
      </c>
      <c r="L266" s="3">
        <v>47343</v>
      </c>
      <c r="M266" s="3">
        <v>45518</v>
      </c>
      <c r="N266">
        <f>_xlfn.XLOOKUP(Data[[#This Row],[Status]],Compliance_Status[Status from OPMS],Compliance_Status[Status_Key],"")</f>
        <v>4</v>
      </c>
      <c r="O266">
        <f>_xlfn.XLOOKUP(Data[[#This Row],[Status]],Compliance_Status[Status from OPMS],Compliance_Status[Has Course booking],"")</f>
        <v>0</v>
      </c>
      <c r="P266" t="str">
        <f>_xlfn.XLOOKUP(Data[[#This Row],[StatusKey]],Status_Key[Status_Key],Status_Key[Name],"")</f>
        <v>In Date</v>
      </c>
    </row>
    <row r="267" spans="1:16" x14ac:dyDescent="0.25">
      <c r="A267" s="1">
        <v>164</v>
      </c>
      <c r="B267" s="1" t="s">
        <v>151</v>
      </c>
      <c r="C267" s="1" t="s">
        <v>152</v>
      </c>
      <c r="D267" s="1" t="s">
        <v>153</v>
      </c>
      <c r="E267" s="1" t="s">
        <v>71</v>
      </c>
      <c r="F267" s="1" t="s">
        <v>72</v>
      </c>
      <c r="G267" s="1" t="s">
        <v>18</v>
      </c>
      <c r="H267" s="1" t="s">
        <v>155</v>
      </c>
      <c r="I267" s="1" t="s">
        <v>60</v>
      </c>
      <c r="J267" s="1"/>
      <c r="K267" s="1" t="s">
        <v>68</v>
      </c>
      <c r="L267" s="3"/>
      <c r="M267" s="3"/>
      <c r="N267">
        <f>_xlfn.XLOOKUP(Data[[#This Row],[Status]],Compliance_Status[Status from OPMS],Compliance_Status[Status_Key],"")</f>
        <v>2</v>
      </c>
      <c r="O267">
        <f>_xlfn.XLOOKUP(Data[[#This Row],[Status]],Compliance_Status[Status from OPMS],Compliance_Status[Has Course booking],"")</f>
        <v>0</v>
      </c>
      <c r="P267" t="str">
        <f>_xlfn.XLOOKUP(Data[[#This Row],[StatusKey]],Status_Key[Status_Key],Status_Key[Name],"")</f>
        <v>Outstanding</v>
      </c>
    </row>
    <row r="268" spans="1:16" x14ac:dyDescent="0.25">
      <c r="A268" s="1">
        <v>164</v>
      </c>
      <c r="B268" s="1" t="s">
        <v>151</v>
      </c>
      <c r="C268" s="1" t="s">
        <v>152</v>
      </c>
      <c r="D268" s="1" t="s">
        <v>153</v>
      </c>
      <c r="E268" s="1" t="s">
        <v>73</v>
      </c>
      <c r="F268" s="1" t="s">
        <v>65</v>
      </c>
      <c r="G268" s="1" t="s">
        <v>16</v>
      </c>
      <c r="H268" s="1" t="s">
        <v>155</v>
      </c>
      <c r="I268" s="1" t="s">
        <v>60</v>
      </c>
      <c r="J268" s="1" t="s">
        <v>67</v>
      </c>
      <c r="K268" s="1" t="s">
        <v>68</v>
      </c>
      <c r="L268" s="3">
        <v>46701</v>
      </c>
      <c r="M268" s="3">
        <v>45971</v>
      </c>
      <c r="N268">
        <f>_xlfn.XLOOKUP(Data[[#This Row],[Status]],Compliance_Status[Status from OPMS],Compliance_Status[Status_Key],"")</f>
        <v>4</v>
      </c>
      <c r="O268">
        <f>_xlfn.XLOOKUP(Data[[#This Row],[Status]],Compliance_Status[Status from OPMS],Compliance_Status[Has Course booking],"")</f>
        <v>0</v>
      </c>
      <c r="P268" t="str">
        <f>_xlfn.XLOOKUP(Data[[#This Row],[StatusKey]],Status_Key[Status_Key],Status_Key[Name],"")</f>
        <v>In Date</v>
      </c>
    </row>
    <row r="269" spans="1:16" x14ac:dyDescent="0.25">
      <c r="A269" s="1">
        <v>164</v>
      </c>
      <c r="B269" s="1" t="s">
        <v>151</v>
      </c>
      <c r="C269" s="1" t="s">
        <v>152</v>
      </c>
      <c r="D269" s="1" t="s">
        <v>153</v>
      </c>
      <c r="E269" s="1" t="s">
        <v>74</v>
      </c>
      <c r="F269" s="1" t="s">
        <v>65</v>
      </c>
      <c r="G269" s="1" t="s">
        <v>16</v>
      </c>
      <c r="H269" s="1" t="s">
        <v>155</v>
      </c>
      <c r="I269" s="1" t="s">
        <v>60</v>
      </c>
      <c r="J269" s="1" t="s">
        <v>67</v>
      </c>
      <c r="K269" s="1" t="s">
        <v>68</v>
      </c>
      <c r="L269" s="3">
        <v>46731</v>
      </c>
      <c r="M269" s="3">
        <v>45636</v>
      </c>
      <c r="N269">
        <f>_xlfn.XLOOKUP(Data[[#This Row],[Status]],Compliance_Status[Status from OPMS],Compliance_Status[Status_Key],"")</f>
        <v>4</v>
      </c>
      <c r="O269">
        <f>_xlfn.XLOOKUP(Data[[#This Row],[Status]],Compliance_Status[Status from OPMS],Compliance_Status[Has Course booking],"")</f>
        <v>0</v>
      </c>
      <c r="P269" t="str">
        <f>_xlfn.XLOOKUP(Data[[#This Row],[StatusKey]],Status_Key[Status_Key],Status_Key[Name],"")</f>
        <v>In Date</v>
      </c>
    </row>
    <row r="270" spans="1:16" x14ac:dyDescent="0.25">
      <c r="A270" s="1">
        <v>164</v>
      </c>
      <c r="B270" s="1" t="s">
        <v>151</v>
      </c>
      <c r="C270" s="1" t="s">
        <v>152</v>
      </c>
      <c r="D270" s="1" t="s">
        <v>153</v>
      </c>
      <c r="E270" s="1" t="s">
        <v>75</v>
      </c>
      <c r="F270" s="1" t="s">
        <v>72</v>
      </c>
      <c r="G270" s="1" t="s">
        <v>18</v>
      </c>
      <c r="H270" s="1" t="s">
        <v>155</v>
      </c>
      <c r="I270" s="1" t="s">
        <v>60</v>
      </c>
      <c r="J270" s="1"/>
      <c r="K270" s="1" t="s">
        <v>68</v>
      </c>
      <c r="L270" s="3"/>
      <c r="M270" s="3"/>
      <c r="N270">
        <f>_xlfn.XLOOKUP(Data[[#This Row],[Status]],Compliance_Status[Status from OPMS],Compliance_Status[Status_Key],"")</f>
        <v>2</v>
      </c>
      <c r="O270">
        <f>_xlfn.XLOOKUP(Data[[#This Row],[Status]],Compliance_Status[Status from OPMS],Compliance_Status[Has Course booking],"")</f>
        <v>0</v>
      </c>
      <c r="P270" t="str">
        <f>_xlfn.XLOOKUP(Data[[#This Row],[StatusKey]],Status_Key[Status_Key],Status_Key[Name],"")</f>
        <v>Outstanding</v>
      </c>
    </row>
    <row r="271" spans="1:16" x14ac:dyDescent="0.25">
      <c r="A271" s="1">
        <v>164</v>
      </c>
      <c r="B271" s="1" t="s">
        <v>151</v>
      </c>
      <c r="C271" s="1" t="s">
        <v>152</v>
      </c>
      <c r="D271" s="1" t="s">
        <v>153</v>
      </c>
      <c r="E271" s="1" t="s">
        <v>76</v>
      </c>
      <c r="F271" s="1" t="s">
        <v>65</v>
      </c>
      <c r="G271" s="1" t="s">
        <v>16</v>
      </c>
      <c r="H271" s="1" t="s">
        <v>155</v>
      </c>
      <c r="I271" s="1" t="s">
        <v>60</v>
      </c>
      <c r="J271" s="1" t="s">
        <v>67</v>
      </c>
      <c r="K271" s="1" t="s">
        <v>77</v>
      </c>
      <c r="L271" s="3">
        <v>47422</v>
      </c>
      <c r="M271" s="3">
        <v>45961</v>
      </c>
      <c r="N271">
        <f>_xlfn.XLOOKUP(Data[[#This Row],[Status]],Compliance_Status[Status from OPMS],Compliance_Status[Status_Key],"")</f>
        <v>4</v>
      </c>
      <c r="O271">
        <f>_xlfn.XLOOKUP(Data[[#This Row],[Status]],Compliance_Status[Status from OPMS],Compliance_Status[Has Course booking],"")</f>
        <v>0</v>
      </c>
      <c r="P271" t="str">
        <f>_xlfn.XLOOKUP(Data[[#This Row],[StatusKey]],Status_Key[Status_Key],Status_Key[Name],"")</f>
        <v>In Date</v>
      </c>
    </row>
    <row r="272" spans="1:16" x14ac:dyDescent="0.25">
      <c r="A272" s="1">
        <v>164</v>
      </c>
      <c r="B272" s="1" t="s">
        <v>151</v>
      </c>
      <c r="C272" s="1" t="s">
        <v>152</v>
      </c>
      <c r="D272" s="1" t="s">
        <v>153</v>
      </c>
      <c r="E272" s="1" t="s">
        <v>80</v>
      </c>
      <c r="F272" s="1" t="s">
        <v>65</v>
      </c>
      <c r="G272" s="1" t="s">
        <v>16</v>
      </c>
      <c r="H272" s="1" t="s">
        <v>155</v>
      </c>
      <c r="I272" s="1" t="s">
        <v>60</v>
      </c>
      <c r="J272" s="1" t="s">
        <v>67</v>
      </c>
      <c r="K272" s="1" t="s">
        <v>77</v>
      </c>
      <c r="L272" s="3" t="s">
        <v>79</v>
      </c>
      <c r="M272" s="3">
        <v>45786</v>
      </c>
      <c r="N272">
        <f>_xlfn.XLOOKUP(Data[[#This Row],[Status]],Compliance_Status[Status from OPMS],Compliance_Status[Status_Key],"")</f>
        <v>4</v>
      </c>
      <c r="O272">
        <f>_xlfn.XLOOKUP(Data[[#This Row],[Status]],Compliance_Status[Status from OPMS],Compliance_Status[Has Course booking],"")</f>
        <v>0</v>
      </c>
      <c r="P272" t="str">
        <f>_xlfn.XLOOKUP(Data[[#This Row],[StatusKey]],Status_Key[Status_Key],Status_Key[Name],"")</f>
        <v>In Date</v>
      </c>
    </row>
    <row r="273" spans="1:16" x14ac:dyDescent="0.25">
      <c r="A273" s="1">
        <v>164</v>
      </c>
      <c r="B273" s="1" t="s">
        <v>151</v>
      </c>
      <c r="C273" s="1" t="s">
        <v>152</v>
      </c>
      <c r="D273" s="1" t="s">
        <v>153</v>
      </c>
      <c r="E273" s="1" t="s">
        <v>84</v>
      </c>
      <c r="F273" s="1" t="s">
        <v>65</v>
      </c>
      <c r="G273" s="1" t="s">
        <v>16</v>
      </c>
      <c r="H273" s="1" t="s">
        <v>155</v>
      </c>
      <c r="I273" s="1" t="s">
        <v>60</v>
      </c>
      <c r="J273" s="1" t="s">
        <v>67</v>
      </c>
      <c r="K273" s="1" t="s">
        <v>83</v>
      </c>
      <c r="L273" s="3">
        <v>46744</v>
      </c>
      <c r="M273" s="3">
        <v>46014</v>
      </c>
      <c r="N273">
        <f>_xlfn.XLOOKUP(Data[[#This Row],[Status]],Compliance_Status[Status from OPMS],Compliance_Status[Status_Key],"")</f>
        <v>4</v>
      </c>
      <c r="O273">
        <f>_xlfn.XLOOKUP(Data[[#This Row],[Status]],Compliance_Status[Status from OPMS],Compliance_Status[Has Course booking],"")</f>
        <v>0</v>
      </c>
      <c r="P273" t="str">
        <f>_xlfn.XLOOKUP(Data[[#This Row],[StatusKey]],Status_Key[Status_Key],Status_Key[Name],"")</f>
        <v>In Date</v>
      </c>
    </row>
    <row r="274" spans="1:16" x14ac:dyDescent="0.25">
      <c r="A274" s="1">
        <v>164</v>
      </c>
      <c r="B274" s="1" t="s">
        <v>151</v>
      </c>
      <c r="C274" s="1" t="s">
        <v>152</v>
      </c>
      <c r="D274" s="1" t="s">
        <v>153</v>
      </c>
      <c r="E274" s="1" t="s">
        <v>93</v>
      </c>
      <c r="F274" s="1" t="s">
        <v>65</v>
      </c>
      <c r="G274" s="1" t="s">
        <v>16</v>
      </c>
      <c r="H274" s="1" t="s">
        <v>155</v>
      </c>
      <c r="I274" s="1" t="s">
        <v>60</v>
      </c>
      <c r="J274" s="1" t="s">
        <v>67</v>
      </c>
      <c r="K274" s="1" t="s">
        <v>94</v>
      </c>
      <c r="L274" s="3">
        <v>46635</v>
      </c>
      <c r="M274" s="3">
        <v>45905</v>
      </c>
      <c r="N274">
        <f>_xlfn.XLOOKUP(Data[[#This Row],[Status]],Compliance_Status[Status from OPMS],Compliance_Status[Status_Key],"")</f>
        <v>4</v>
      </c>
      <c r="O274">
        <f>_xlfn.XLOOKUP(Data[[#This Row],[Status]],Compliance_Status[Status from OPMS],Compliance_Status[Has Course booking],"")</f>
        <v>0</v>
      </c>
      <c r="P274" t="str">
        <f>_xlfn.XLOOKUP(Data[[#This Row],[StatusKey]],Status_Key[Status_Key],Status_Key[Name],"")</f>
        <v>In Date</v>
      </c>
    </row>
    <row r="275" spans="1:16" x14ac:dyDescent="0.25">
      <c r="A275" s="1">
        <v>164</v>
      </c>
      <c r="B275" s="1" t="s">
        <v>151</v>
      </c>
      <c r="C275" s="1" t="s">
        <v>152</v>
      </c>
      <c r="D275" s="1" t="s">
        <v>153</v>
      </c>
      <c r="E275" s="1" t="s">
        <v>95</v>
      </c>
      <c r="F275" s="1" t="s">
        <v>65</v>
      </c>
      <c r="G275" s="1" t="s">
        <v>16</v>
      </c>
      <c r="H275" s="1" t="s">
        <v>155</v>
      </c>
      <c r="I275" s="1" t="s">
        <v>60</v>
      </c>
      <c r="J275" s="1" t="s">
        <v>67</v>
      </c>
      <c r="K275" s="1" t="s">
        <v>94</v>
      </c>
      <c r="L275" s="3">
        <v>46635</v>
      </c>
      <c r="M275" s="3">
        <v>45905</v>
      </c>
      <c r="N275">
        <f>_xlfn.XLOOKUP(Data[[#This Row],[Status]],Compliance_Status[Status from OPMS],Compliance_Status[Status_Key],"")</f>
        <v>4</v>
      </c>
      <c r="O275">
        <f>_xlfn.XLOOKUP(Data[[#This Row],[Status]],Compliance_Status[Status from OPMS],Compliance_Status[Has Course booking],"")</f>
        <v>0</v>
      </c>
      <c r="P275" t="str">
        <f>_xlfn.XLOOKUP(Data[[#This Row],[StatusKey]],Status_Key[Status_Key],Status_Key[Name],"")</f>
        <v>In Date</v>
      </c>
    </row>
    <row r="276" spans="1:16" x14ac:dyDescent="0.25">
      <c r="A276" s="1">
        <v>164</v>
      </c>
      <c r="B276" s="1" t="s">
        <v>151</v>
      </c>
      <c r="C276" s="1" t="s">
        <v>152</v>
      </c>
      <c r="D276" s="1" t="s">
        <v>153</v>
      </c>
      <c r="E276" s="1" t="s">
        <v>156</v>
      </c>
      <c r="F276" s="1" t="s">
        <v>65</v>
      </c>
      <c r="G276" s="1" t="s">
        <v>16</v>
      </c>
      <c r="H276" s="1" t="s">
        <v>155</v>
      </c>
      <c r="I276" s="1" t="s">
        <v>60</v>
      </c>
      <c r="J276" s="1" t="s">
        <v>67</v>
      </c>
      <c r="K276" s="1" t="s">
        <v>125</v>
      </c>
      <c r="L276" s="3">
        <v>47378</v>
      </c>
      <c r="M276" s="3">
        <v>45552</v>
      </c>
      <c r="N276">
        <f>_xlfn.XLOOKUP(Data[[#This Row],[Status]],Compliance_Status[Status from OPMS],Compliance_Status[Status_Key],"")</f>
        <v>4</v>
      </c>
      <c r="O276">
        <f>_xlfn.XLOOKUP(Data[[#This Row],[Status]],Compliance_Status[Status from OPMS],Compliance_Status[Has Course booking],"")</f>
        <v>0</v>
      </c>
      <c r="P276" t="str">
        <f>_xlfn.XLOOKUP(Data[[#This Row],[StatusKey]],Status_Key[Status_Key],Status_Key[Name],"")</f>
        <v>In Date</v>
      </c>
    </row>
    <row r="277" spans="1:16" x14ac:dyDescent="0.25">
      <c r="A277" s="1">
        <v>164</v>
      </c>
      <c r="B277" s="1" t="s">
        <v>151</v>
      </c>
      <c r="C277" s="1" t="s">
        <v>152</v>
      </c>
      <c r="D277" s="1" t="s">
        <v>153</v>
      </c>
      <c r="E277" s="1" t="s">
        <v>124</v>
      </c>
      <c r="F277" s="1" t="s">
        <v>72</v>
      </c>
      <c r="G277" s="1" t="s">
        <v>16</v>
      </c>
      <c r="H277" s="1" t="s">
        <v>155</v>
      </c>
      <c r="I277" s="1" t="s">
        <v>60</v>
      </c>
      <c r="J277" s="1"/>
      <c r="K277" s="1" t="s">
        <v>125</v>
      </c>
      <c r="L277" s="3">
        <v>47378</v>
      </c>
      <c r="M277" s="3">
        <v>45552</v>
      </c>
      <c r="N277">
        <f>_xlfn.XLOOKUP(Data[[#This Row],[Status]],Compliance_Status[Status from OPMS],Compliance_Status[Status_Key],"")</f>
        <v>4</v>
      </c>
      <c r="O277">
        <f>_xlfn.XLOOKUP(Data[[#This Row],[Status]],Compliance_Status[Status from OPMS],Compliance_Status[Has Course booking],"")</f>
        <v>0</v>
      </c>
      <c r="P277" t="str">
        <f>_xlfn.XLOOKUP(Data[[#This Row],[StatusKey]],Status_Key[Status_Key],Status_Key[Name],"")</f>
        <v>In Date</v>
      </c>
    </row>
    <row r="278" spans="1:16" x14ac:dyDescent="0.25">
      <c r="A278" s="1">
        <v>164</v>
      </c>
      <c r="B278" s="1" t="s">
        <v>151</v>
      </c>
      <c r="C278" s="1" t="s">
        <v>152</v>
      </c>
      <c r="D278" s="1" t="s">
        <v>153</v>
      </c>
      <c r="E278" s="1" t="s">
        <v>97</v>
      </c>
      <c r="F278" s="1" t="s">
        <v>65</v>
      </c>
      <c r="G278" s="1" t="s">
        <v>16</v>
      </c>
      <c r="H278" s="1" t="s">
        <v>155</v>
      </c>
      <c r="I278" s="1" t="s">
        <v>60</v>
      </c>
      <c r="J278" s="1" t="s">
        <v>67</v>
      </c>
      <c r="K278" s="1" t="s">
        <v>98</v>
      </c>
      <c r="L278" s="3">
        <v>47357</v>
      </c>
      <c r="M278" s="3">
        <v>45531</v>
      </c>
      <c r="N278">
        <f>_xlfn.XLOOKUP(Data[[#This Row],[Status]],Compliance_Status[Status from OPMS],Compliance_Status[Status_Key],"")</f>
        <v>4</v>
      </c>
      <c r="O278">
        <f>_xlfn.XLOOKUP(Data[[#This Row],[Status]],Compliance_Status[Status from OPMS],Compliance_Status[Has Course booking],"")</f>
        <v>0</v>
      </c>
      <c r="P278" t="str">
        <f>_xlfn.XLOOKUP(Data[[#This Row],[StatusKey]],Status_Key[Status_Key],Status_Key[Name],"")</f>
        <v>In Date</v>
      </c>
    </row>
    <row r="279" spans="1:16" x14ac:dyDescent="0.25">
      <c r="A279" s="1">
        <v>164</v>
      </c>
      <c r="B279" s="1" t="s">
        <v>151</v>
      </c>
      <c r="C279" s="1" t="s">
        <v>152</v>
      </c>
      <c r="D279" s="1" t="s">
        <v>153</v>
      </c>
      <c r="E279" s="1" t="s">
        <v>100</v>
      </c>
      <c r="F279" s="1" t="s">
        <v>65</v>
      </c>
      <c r="G279" s="1" t="s">
        <v>16</v>
      </c>
      <c r="H279" s="1" t="s">
        <v>155</v>
      </c>
      <c r="I279" s="1" t="s">
        <v>60</v>
      </c>
      <c r="J279" s="1" t="s">
        <v>67</v>
      </c>
      <c r="K279" s="1" t="s">
        <v>98</v>
      </c>
      <c r="L279" s="3">
        <v>46859</v>
      </c>
      <c r="M279" s="3">
        <v>46128</v>
      </c>
      <c r="N279">
        <f>_xlfn.XLOOKUP(Data[[#This Row],[Status]],Compliance_Status[Status from OPMS],Compliance_Status[Status_Key],"")</f>
        <v>4</v>
      </c>
      <c r="O279">
        <f>_xlfn.XLOOKUP(Data[[#This Row],[Status]],Compliance_Status[Status from OPMS],Compliance_Status[Has Course booking],"")</f>
        <v>0</v>
      </c>
      <c r="P279" t="str">
        <f>_xlfn.XLOOKUP(Data[[#This Row],[StatusKey]],Status_Key[Status_Key],Status_Key[Name],"")</f>
        <v>In Date</v>
      </c>
    </row>
    <row r="280" spans="1:16" x14ac:dyDescent="0.25">
      <c r="A280" s="1">
        <v>164</v>
      </c>
      <c r="B280" s="1" t="s">
        <v>151</v>
      </c>
      <c r="C280" s="1" t="s">
        <v>152</v>
      </c>
      <c r="D280" s="1" t="s">
        <v>153</v>
      </c>
      <c r="E280" s="1" t="s">
        <v>101</v>
      </c>
      <c r="F280" s="1" t="s">
        <v>65</v>
      </c>
      <c r="G280" s="1" t="s">
        <v>16</v>
      </c>
      <c r="H280" s="1" t="s">
        <v>155</v>
      </c>
      <c r="I280" s="1" t="s">
        <v>60</v>
      </c>
      <c r="J280" s="1" t="s">
        <v>67</v>
      </c>
      <c r="K280" s="1" t="s">
        <v>102</v>
      </c>
      <c r="L280" s="3" t="s">
        <v>79</v>
      </c>
      <c r="M280" s="3">
        <v>45552</v>
      </c>
      <c r="N280">
        <f>_xlfn.XLOOKUP(Data[[#This Row],[Status]],Compliance_Status[Status from OPMS],Compliance_Status[Status_Key],"")</f>
        <v>4</v>
      </c>
      <c r="O280">
        <f>_xlfn.XLOOKUP(Data[[#This Row],[Status]],Compliance_Status[Status from OPMS],Compliance_Status[Has Course booking],"")</f>
        <v>0</v>
      </c>
      <c r="P280" t="str">
        <f>_xlfn.XLOOKUP(Data[[#This Row],[StatusKey]],Status_Key[Status_Key],Status_Key[Name],"")</f>
        <v>In Date</v>
      </c>
    </row>
    <row r="281" spans="1:16" x14ac:dyDescent="0.25">
      <c r="A281" s="1">
        <v>164</v>
      </c>
      <c r="B281" s="1" t="s">
        <v>151</v>
      </c>
      <c r="C281" s="1" t="s">
        <v>152</v>
      </c>
      <c r="D281" s="1" t="s">
        <v>153</v>
      </c>
      <c r="E281" s="1" t="s">
        <v>103</v>
      </c>
      <c r="F281" s="1" t="s">
        <v>65</v>
      </c>
      <c r="G281" s="1" t="s">
        <v>16</v>
      </c>
      <c r="H281" s="1" t="s">
        <v>155</v>
      </c>
      <c r="I281" s="1" t="s">
        <v>60</v>
      </c>
      <c r="J281" s="1" t="s">
        <v>67</v>
      </c>
      <c r="K281" s="1" t="s">
        <v>102</v>
      </c>
      <c r="L281" s="3">
        <v>46453</v>
      </c>
      <c r="M281" s="3">
        <v>45723</v>
      </c>
      <c r="N281">
        <f>_xlfn.XLOOKUP(Data[[#This Row],[Status]],Compliance_Status[Status from OPMS],Compliance_Status[Status_Key],"")</f>
        <v>4</v>
      </c>
      <c r="O281">
        <f>_xlfn.XLOOKUP(Data[[#This Row],[Status]],Compliance_Status[Status from OPMS],Compliance_Status[Has Course booking],"")</f>
        <v>0</v>
      </c>
      <c r="P281" t="str">
        <f>_xlfn.XLOOKUP(Data[[#This Row],[StatusKey]],Status_Key[Status_Key],Status_Key[Name],"")</f>
        <v>In Date</v>
      </c>
    </row>
    <row r="282" spans="1:16" x14ac:dyDescent="0.25">
      <c r="A282" s="1">
        <v>164</v>
      </c>
      <c r="B282" s="1" t="s">
        <v>151</v>
      </c>
      <c r="C282" s="1" t="s">
        <v>152</v>
      </c>
      <c r="D282" s="1" t="s">
        <v>153</v>
      </c>
      <c r="E282" s="1" t="s">
        <v>104</v>
      </c>
      <c r="F282" s="1" t="s">
        <v>65</v>
      </c>
      <c r="G282" s="1" t="s">
        <v>16</v>
      </c>
      <c r="H282" s="1" t="s">
        <v>155</v>
      </c>
      <c r="I282" s="1" t="s">
        <v>60</v>
      </c>
      <c r="J282" s="1" t="s">
        <v>67</v>
      </c>
      <c r="K282" s="1" t="s">
        <v>105</v>
      </c>
      <c r="L282" s="3">
        <v>46731</v>
      </c>
      <c r="M282" s="3">
        <v>46001</v>
      </c>
      <c r="N282">
        <f>_xlfn.XLOOKUP(Data[[#This Row],[Status]],Compliance_Status[Status from OPMS],Compliance_Status[Status_Key],"")</f>
        <v>4</v>
      </c>
      <c r="O282">
        <f>_xlfn.XLOOKUP(Data[[#This Row],[Status]],Compliance_Status[Status from OPMS],Compliance_Status[Has Course booking],"")</f>
        <v>0</v>
      </c>
      <c r="P282" t="str">
        <f>_xlfn.XLOOKUP(Data[[#This Row],[StatusKey]],Status_Key[Status_Key],Status_Key[Name],"")</f>
        <v>In Date</v>
      </c>
    </row>
    <row r="283" spans="1:16" x14ac:dyDescent="0.25">
      <c r="A283" s="1">
        <v>164</v>
      </c>
      <c r="B283" s="1" t="s">
        <v>151</v>
      </c>
      <c r="C283" s="1" t="s">
        <v>152</v>
      </c>
      <c r="D283" s="1" t="s">
        <v>153</v>
      </c>
      <c r="E283" s="1" t="s">
        <v>106</v>
      </c>
      <c r="F283" s="1" t="s">
        <v>65</v>
      </c>
      <c r="G283" s="1" t="s">
        <v>16</v>
      </c>
      <c r="H283" s="1" t="s">
        <v>155</v>
      </c>
      <c r="I283" s="1" t="s">
        <v>60</v>
      </c>
      <c r="J283" s="1" t="s">
        <v>67</v>
      </c>
      <c r="K283" s="1" t="s">
        <v>105</v>
      </c>
      <c r="L283" s="3">
        <v>47355</v>
      </c>
      <c r="M283" s="3">
        <v>45529</v>
      </c>
      <c r="N283">
        <f>_xlfn.XLOOKUP(Data[[#This Row],[Status]],Compliance_Status[Status from OPMS],Compliance_Status[Status_Key],"")</f>
        <v>4</v>
      </c>
      <c r="O283">
        <f>_xlfn.XLOOKUP(Data[[#This Row],[Status]],Compliance_Status[Status from OPMS],Compliance_Status[Has Course booking],"")</f>
        <v>0</v>
      </c>
      <c r="P283" t="str">
        <f>_xlfn.XLOOKUP(Data[[#This Row],[StatusKey]],Status_Key[Status_Key],Status_Key[Name],"")</f>
        <v>In Date</v>
      </c>
    </row>
    <row r="284" spans="1:16" x14ac:dyDescent="0.25">
      <c r="A284" s="1">
        <v>164</v>
      </c>
      <c r="B284" s="1" t="s">
        <v>151</v>
      </c>
      <c r="C284" s="1" t="s">
        <v>152</v>
      </c>
      <c r="D284" s="1" t="s">
        <v>153</v>
      </c>
      <c r="E284" s="1" t="s">
        <v>107</v>
      </c>
      <c r="F284" s="1" t="s">
        <v>65</v>
      </c>
      <c r="G284" s="1" t="s">
        <v>16</v>
      </c>
      <c r="H284" s="1" t="s">
        <v>155</v>
      </c>
      <c r="I284" s="1" t="s">
        <v>60</v>
      </c>
      <c r="J284" s="1" t="s">
        <v>67</v>
      </c>
      <c r="K284" s="1" t="s">
        <v>105</v>
      </c>
      <c r="L284" s="3">
        <v>46624</v>
      </c>
      <c r="M284" s="3">
        <v>45529</v>
      </c>
      <c r="N284">
        <f>_xlfn.XLOOKUP(Data[[#This Row],[Status]],Compliance_Status[Status from OPMS],Compliance_Status[Status_Key],"")</f>
        <v>4</v>
      </c>
      <c r="O284">
        <f>_xlfn.XLOOKUP(Data[[#This Row],[Status]],Compliance_Status[Status from OPMS],Compliance_Status[Has Course booking],"")</f>
        <v>0</v>
      </c>
      <c r="P284" t="str">
        <f>_xlfn.XLOOKUP(Data[[#This Row],[StatusKey]],Status_Key[Status_Key],Status_Key[Name],"")</f>
        <v>In Date</v>
      </c>
    </row>
    <row r="285" spans="1:16" x14ac:dyDescent="0.25">
      <c r="A285" s="1">
        <v>164</v>
      </c>
      <c r="B285" s="1" t="s">
        <v>151</v>
      </c>
      <c r="C285" s="1" t="s">
        <v>152</v>
      </c>
      <c r="D285" s="1" t="s">
        <v>153</v>
      </c>
      <c r="E285" s="1" t="s">
        <v>108</v>
      </c>
      <c r="F285" s="1" t="s">
        <v>65</v>
      </c>
      <c r="G285" s="1" t="s">
        <v>16</v>
      </c>
      <c r="H285" s="1" t="s">
        <v>155</v>
      </c>
      <c r="I285" s="1" t="s">
        <v>60</v>
      </c>
      <c r="J285" s="1" t="s">
        <v>67</v>
      </c>
      <c r="K285" s="1" t="s">
        <v>105</v>
      </c>
      <c r="L285" s="3">
        <v>47317</v>
      </c>
      <c r="M285" s="3">
        <v>46221</v>
      </c>
      <c r="N285">
        <f>_xlfn.XLOOKUP(Data[[#This Row],[Status]],Compliance_Status[Status from OPMS],Compliance_Status[Status_Key],"")</f>
        <v>4</v>
      </c>
      <c r="O285">
        <f>_xlfn.XLOOKUP(Data[[#This Row],[Status]],Compliance_Status[Status from OPMS],Compliance_Status[Has Course booking],"")</f>
        <v>0</v>
      </c>
      <c r="P285" t="str">
        <f>_xlfn.XLOOKUP(Data[[#This Row],[StatusKey]],Status_Key[Status_Key],Status_Key[Name],"")</f>
        <v>In Date</v>
      </c>
    </row>
    <row r="286" spans="1:16" x14ac:dyDescent="0.25">
      <c r="A286" s="1">
        <v>164</v>
      </c>
      <c r="B286" s="1" t="s">
        <v>151</v>
      </c>
      <c r="C286" s="1" t="s">
        <v>152</v>
      </c>
      <c r="D286" s="1" t="s">
        <v>153</v>
      </c>
      <c r="E286" s="1" t="s">
        <v>109</v>
      </c>
      <c r="F286" s="1" t="s">
        <v>65</v>
      </c>
      <c r="G286" s="1" t="s">
        <v>16</v>
      </c>
      <c r="H286" s="1" t="s">
        <v>155</v>
      </c>
      <c r="I286" s="1" t="s">
        <v>60</v>
      </c>
      <c r="J286" s="1" t="s">
        <v>67</v>
      </c>
      <c r="K286" s="1" t="s">
        <v>105</v>
      </c>
      <c r="L286" s="3">
        <v>46731</v>
      </c>
      <c r="M286" s="3">
        <v>46001</v>
      </c>
      <c r="N286">
        <f>_xlfn.XLOOKUP(Data[[#This Row],[Status]],Compliance_Status[Status from OPMS],Compliance_Status[Status_Key],"")</f>
        <v>4</v>
      </c>
      <c r="O286">
        <f>_xlfn.XLOOKUP(Data[[#This Row],[Status]],Compliance_Status[Status from OPMS],Compliance_Status[Has Course booking],"")</f>
        <v>0</v>
      </c>
      <c r="P286" t="str">
        <f>_xlfn.XLOOKUP(Data[[#This Row],[StatusKey]],Status_Key[Status_Key],Status_Key[Name],"")</f>
        <v>In Date</v>
      </c>
    </row>
    <row r="287" spans="1:16" x14ac:dyDescent="0.25">
      <c r="A287" s="1">
        <v>164</v>
      </c>
      <c r="B287" s="1" t="s">
        <v>151</v>
      </c>
      <c r="C287" s="1" t="s">
        <v>152</v>
      </c>
      <c r="D287" s="1" t="s">
        <v>153</v>
      </c>
      <c r="E287" s="1" t="s">
        <v>110</v>
      </c>
      <c r="F287" s="1" t="s">
        <v>65</v>
      </c>
      <c r="G287" s="1" t="s">
        <v>16</v>
      </c>
      <c r="H287" s="1" t="s">
        <v>155</v>
      </c>
      <c r="I287" s="1" t="s">
        <v>60</v>
      </c>
      <c r="J287" s="1" t="s">
        <v>67</v>
      </c>
      <c r="K287" s="1" t="s">
        <v>105</v>
      </c>
      <c r="L287" s="3" t="s">
        <v>79</v>
      </c>
      <c r="M287" s="3">
        <v>45590</v>
      </c>
      <c r="N287">
        <f>_xlfn.XLOOKUP(Data[[#This Row],[Status]],Compliance_Status[Status from OPMS],Compliance_Status[Status_Key],"")</f>
        <v>4</v>
      </c>
      <c r="O287">
        <f>_xlfn.XLOOKUP(Data[[#This Row],[Status]],Compliance_Status[Status from OPMS],Compliance_Status[Has Course booking],"")</f>
        <v>0</v>
      </c>
      <c r="P287" t="str">
        <f>_xlfn.XLOOKUP(Data[[#This Row],[StatusKey]],Status_Key[Status_Key],Status_Key[Name],"")</f>
        <v>In Date</v>
      </c>
    </row>
    <row r="288" spans="1:16" x14ac:dyDescent="0.25">
      <c r="A288" s="1">
        <v>164</v>
      </c>
      <c r="B288" s="1" t="s">
        <v>151</v>
      </c>
      <c r="C288" s="1" t="s">
        <v>152</v>
      </c>
      <c r="D288" s="1" t="s">
        <v>153</v>
      </c>
      <c r="E288" s="1" t="s">
        <v>111</v>
      </c>
      <c r="F288" s="1" t="s">
        <v>65</v>
      </c>
      <c r="G288" s="1" t="s">
        <v>16</v>
      </c>
      <c r="H288" s="1" t="s">
        <v>155</v>
      </c>
      <c r="I288" s="1" t="s">
        <v>60</v>
      </c>
      <c r="J288" s="1" t="s">
        <v>67</v>
      </c>
      <c r="K288" s="1" t="s">
        <v>105</v>
      </c>
      <c r="L288" s="3">
        <v>46731</v>
      </c>
      <c r="M288" s="3">
        <v>46001</v>
      </c>
      <c r="N288">
        <f>_xlfn.XLOOKUP(Data[[#This Row],[Status]],Compliance_Status[Status from OPMS],Compliance_Status[Status_Key],"")</f>
        <v>4</v>
      </c>
      <c r="O288">
        <f>_xlfn.XLOOKUP(Data[[#This Row],[Status]],Compliance_Status[Status from OPMS],Compliance_Status[Has Course booking],"")</f>
        <v>0</v>
      </c>
      <c r="P288" t="str">
        <f>_xlfn.XLOOKUP(Data[[#This Row],[StatusKey]],Status_Key[Status_Key],Status_Key[Name],"")</f>
        <v>In Date</v>
      </c>
    </row>
    <row r="289" spans="1:16" x14ac:dyDescent="0.25">
      <c r="A289" s="1">
        <v>164</v>
      </c>
      <c r="B289" s="1" t="s">
        <v>151</v>
      </c>
      <c r="C289" s="1" t="s">
        <v>152</v>
      </c>
      <c r="D289" s="1" t="s">
        <v>153</v>
      </c>
      <c r="E289" s="1" t="s">
        <v>112</v>
      </c>
      <c r="F289" s="1" t="s">
        <v>65</v>
      </c>
      <c r="G289" s="1" t="s">
        <v>16</v>
      </c>
      <c r="H289" s="1" t="s">
        <v>155</v>
      </c>
      <c r="I289" s="1" t="s">
        <v>60</v>
      </c>
      <c r="J289" s="1" t="s">
        <v>67</v>
      </c>
      <c r="K289" s="1" t="s">
        <v>105</v>
      </c>
      <c r="L289" s="3">
        <v>46769</v>
      </c>
      <c r="M289" s="3">
        <v>46039</v>
      </c>
      <c r="N289">
        <f>_xlfn.XLOOKUP(Data[[#This Row],[Status]],Compliance_Status[Status from OPMS],Compliance_Status[Status_Key],"")</f>
        <v>4</v>
      </c>
      <c r="O289">
        <f>_xlfn.XLOOKUP(Data[[#This Row],[Status]],Compliance_Status[Status from OPMS],Compliance_Status[Has Course booking],"")</f>
        <v>0</v>
      </c>
      <c r="P289" t="str">
        <f>_xlfn.XLOOKUP(Data[[#This Row],[StatusKey]],Status_Key[Status_Key],Status_Key[Name],"")</f>
        <v>In Date</v>
      </c>
    </row>
    <row r="290" spans="1:16" x14ac:dyDescent="0.25">
      <c r="A290" s="1">
        <v>164</v>
      </c>
      <c r="B290" s="1" t="s">
        <v>151</v>
      </c>
      <c r="C290" s="1" t="s">
        <v>152</v>
      </c>
      <c r="D290" s="1" t="s">
        <v>153</v>
      </c>
      <c r="E290" s="1" t="s">
        <v>113</v>
      </c>
      <c r="F290" s="1" t="s">
        <v>65</v>
      </c>
      <c r="G290" s="1" t="s">
        <v>16</v>
      </c>
      <c r="H290" s="1" t="s">
        <v>155</v>
      </c>
      <c r="I290" s="1" t="s">
        <v>60</v>
      </c>
      <c r="J290" s="1" t="s">
        <v>67</v>
      </c>
      <c r="K290" s="1" t="s">
        <v>105</v>
      </c>
      <c r="L290" s="3">
        <v>46744</v>
      </c>
      <c r="M290" s="3">
        <v>46014</v>
      </c>
      <c r="N290">
        <f>_xlfn.XLOOKUP(Data[[#This Row],[Status]],Compliance_Status[Status from OPMS],Compliance_Status[Status_Key],"")</f>
        <v>4</v>
      </c>
      <c r="O290">
        <f>_xlfn.XLOOKUP(Data[[#This Row],[Status]],Compliance_Status[Status from OPMS],Compliance_Status[Has Course booking],"")</f>
        <v>0</v>
      </c>
      <c r="P290" t="str">
        <f>_xlfn.XLOOKUP(Data[[#This Row],[StatusKey]],Status_Key[Status_Key],Status_Key[Name],"")</f>
        <v>In Date</v>
      </c>
    </row>
    <row r="291" spans="1:16" x14ac:dyDescent="0.25">
      <c r="A291" s="1">
        <v>165</v>
      </c>
      <c r="B291" s="1" t="s">
        <v>157</v>
      </c>
      <c r="C291" s="1" t="s">
        <v>158</v>
      </c>
      <c r="D291" s="1" t="s">
        <v>159</v>
      </c>
      <c r="E291" s="1" t="s">
        <v>154</v>
      </c>
      <c r="F291" s="1" t="s">
        <v>65</v>
      </c>
      <c r="G291" s="1" t="s">
        <v>16</v>
      </c>
      <c r="H291" s="1" t="s">
        <v>155</v>
      </c>
      <c r="I291" s="1" t="s">
        <v>60</v>
      </c>
      <c r="J291" s="1" t="s">
        <v>67</v>
      </c>
      <c r="K291" s="1" t="s">
        <v>68</v>
      </c>
      <c r="L291" s="3">
        <v>47102</v>
      </c>
      <c r="M291" s="3">
        <v>45276</v>
      </c>
      <c r="N291">
        <f>_xlfn.XLOOKUP(Data[[#This Row],[Status]],Compliance_Status[Status from OPMS],Compliance_Status[Status_Key],"")</f>
        <v>4</v>
      </c>
      <c r="O291">
        <f>_xlfn.XLOOKUP(Data[[#This Row],[Status]],Compliance_Status[Status from OPMS],Compliance_Status[Has Course booking],"")</f>
        <v>0</v>
      </c>
      <c r="P291" t="str">
        <f>_xlfn.XLOOKUP(Data[[#This Row],[StatusKey]],Status_Key[Status_Key],Status_Key[Name],"")</f>
        <v>In Date</v>
      </c>
    </row>
    <row r="292" spans="1:16" x14ac:dyDescent="0.25">
      <c r="A292" s="1">
        <v>165</v>
      </c>
      <c r="B292" s="1" t="s">
        <v>157</v>
      </c>
      <c r="C292" s="1" t="s">
        <v>158</v>
      </c>
      <c r="D292" s="1" t="s">
        <v>159</v>
      </c>
      <c r="E292" s="1" t="s">
        <v>131</v>
      </c>
      <c r="F292" s="1" t="s">
        <v>65</v>
      </c>
      <c r="G292" s="1" t="s">
        <v>24</v>
      </c>
      <c r="H292" s="1" t="s">
        <v>155</v>
      </c>
      <c r="I292" s="1" t="s">
        <v>60</v>
      </c>
      <c r="J292" s="1" t="s">
        <v>67</v>
      </c>
      <c r="K292" s="1" t="s">
        <v>68</v>
      </c>
      <c r="L292" s="3">
        <v>46349</v>
      </c>
      <c r="M292" s="3">
        <v>44524</v>
      </c>
      <c r="N292">
        <f>_xlfn.XLOOKUP(Data[[#This Row],[Status]],Compliance_Status[Status from OPMS],Compliance_Status[Status_Key],"")</f>
        <v>3</v>
      </c>
      <c r="O292">
        <f>_xlfn.XLOOKUP(Data[[#This Row],[Status]],Compliance_Status[Status from OPMS],Compliance_Status[Has Course booking],"")</f>
        <v>0</v>
      </c>
      <c r="P292" t="str">
        <f>_xlfn.XLOOKUP(Data[[#This Row],[StatusKey]],Status_Key[Status_Key],Status_Key[Name],"")</f>
        <v>About to expire</v>
      </c>
    </row>
    <row r="293" spans="1:16" x14ac:dyDescent="0.25">
      <c r="A293" s="1">
        <v>165</v>
      </c>
      <c r="B293" s="1" t="s">
        <v>157</v>
      </c>
      <c r="C293" s="1" t="s">
        <v>158</v>
      </c>
      <c r="D293" s="1" t="s">
        <v>159</v>
      </c>
      <c r="E293" s="1" t="s">
        <v>71</v>
      </c>
      <c r="F293" s="1" t="s">
        <v>72</v>
      </c>
      <c r="G293" s="1" t="s">
        <v>18</v>
      </c>
      <c r="H293" s="1" t="s">
        <v>155</v>
      </c>
      <c r="I293" s="1" t="s">
        <v>60</v>
      </c>
      <c r="J293" s="1"/>
      <c r="K293" s="1" t="s">
        <v>68</v>
      </c>
      <c r="L293" s="3"/>
      <c r="M293" s="3"/>
      <c r="N293">
        <f>_xlfn.XLOOKUP(Data[[#This Row],[Status]],Compliance_Status[Status from OPMS],Compliance_Status[Status_Key],"")</f>
        <v>2</v>
      </c>
      <c r="O293">
        <f>_xlfn.XLOOKUP(Data[[#This Row],[Status]],Compliance_Status[Status from OPMS],Compliance_Status[Has Course booking],"")</f>
        <v>0</v>
      </c>
      <c r="P293" t="str">
        <f>_xlfn.XLOOKUP(Data[[#This Row],[StatusKey]],Status_Key[Status_Key],Status_Key[Name],"")</f>
        <v>Outstanding</v>
      </c>
    </row>
    <row r="294" spans="1:16" x14ac:dyDescent="0.25">
      <c r="A294" s="1">
        <v>165</v>
      </c>
      <c r="B294" s="1" t="s">
        <v>157</v>
      </c>
      <c r="C294" s="1" t="s">
        <v>158</v>
      </c>
      <c r="D294" s="1" t="s">
        <v>159</v>
      </c>
      <c r="E294" s="1" t="s">
        <v>73</v>
      </c>
      <c r="F294" s="1" t="s">
        <v>65</v>
      </c>
      <c r="G294" s="1" t="s">
        <v>16</v>
      </c>
      <c r="H294" s="1" t="s">
        <v>155</v>
      </c>
      <c r="I294" s="1" t="s">
        <v>60</v>
      </c>
      <c r="J294" s="1" t="s">
        <v>67</v>
      </c>
      <c r="K294" s="1" t="s">
        <v>68</v>
      </c>
      <c r="L294" s="3">
        <v>46623</v>
      </c>
      <c r="M294" s="3">
        <v>45893</v>
      </c>
      <c r="N294">
        <f>_xlfn.XLOOKUP(Data[[#This Row],[Status]],Compliance_Status[Status from OPMS],Compliance_Status[Status_Key],"")</f>
        <v>4</v>
      </c>
      <c r="O294">
        <f>_xlfn.XLOOKUP(Data[[#This Row],[Status]],Compliance_Status[Status from OPMS],Compliance_Status[Has Course booking],"")</f>
        <v>0</v>
      </c>
      <c r="P294" t="str">
        <f>_xlfn.XLOOKUP(Data[[#This Row],[StatusKey]],Status_Key[Status_Key],Status_Key[Name],"")</f>
        <v>In Date</v>
      </c>
    </row>
    <row r="295" spans="1:16" x14ac:dyDescent="0.25">
      <c r="A295" s="1">
        <v>165</v>
      </c>
      <c r="B295" s="1" t="s">
        <v>157</v>
      </c>
      <c r="C295" s="1" t="s">
        <v>158</v>
      </c>
      <c r="D295" s="1" t="s">
        <v>159</v>
      </c>
      <c r="E295" s="1" t="s">
        <v>74</v>
      </c>
      <c r="F295" s="1" t="s">
        <v>65</v>
      </c>
      <c r="G295" s="1" t="s">
        <v>16</v>
      </c>
      <c r="H295" s="1" t="s">
        <v>155</v>
      </c>
      <c r="I295" s="1" t="s">
        <v>60</v>
      </c>
      <c r="J295" s="1" t="s">
        <v>67</v>
      </c>
      <c r="K295" s="1" t="s">
        <v>68</v>
      </c>
      <c r="L295" s="3">
        <v>47169</v>
      </c>
      <c r="M295" s="3">
        <v>46073</v>
      </c>
      <c r="N295">
        <f>_xlfn.XLOOKUP(Data[[#This Row],[Status]],Compliance_Status[Status from OPMS],Compliance_Status[Status_Key],"")</f>
        <v>4</v>
      </c>
      <c r="O295">
        <f>_xlfn.XLOOKUP(Data[[#This Row],[Status]],Compliance_Status[Status from OPMS],Compliance_Status[Has Course booking],"")</f>
        <v>0</v>
      </c>
      <c r="P295" t="str">
        <f>_xlfn.XLOOKUP(Data[[#This Row],[StatusKey]],Status_Key[Status_Key],Status_Key[Name],"")</f>
        <v>In Date</v>
      </c>
    </row>
    <row r="296" spans="1:16" x14ac:dyDescent="0.25">
      <c r="A296" s="1">
        <v>165</v>
      </c>
      <c r="B296" s="1" t="s">
        <v>157</v>
      </c>
      <c r="C296" s="1" t="s">
        <v>158</v>
      </c>
      <c r="D296" s="1" t="s">
        <v>159</v>
      </c>
      <c r="E296" s="1" t="s">
        <v>75</v>
      </c>
      <c r="F296" s="1" t="s">
        <v>72</v>
      </c>
      <c r="G296" s="1" t="s">
        <v>24</v>
      </c>
      <c r="H296" s="1" t="s">
        <v>155</v>
      </c>
      <c r="I296" s="1" t="s">
        <v>60</v>
      </c>
      <c r="J296" s="1" t="s">
        <v>67</v>
      </c>
      <c r="K296" s="1" t="s">
        <v>68</v>
      </c>
      <c r="L296" s="3">
        <v>46420</v>
      </c>
      <c r="M296" s="3">
        <v>46055</v>
      </c>
      <c r="N296">
        <f>_xlfn.XLOOKUP(Data[[#This Row],[Status]],Compliance_Status[Status from OPMS],Compliance_Status[Status_Key],"")</f>
        <v>3</v>
      </c>
      <c r="O296">
        <f>_xlfn.XLOOKUP(Data[[#This Row],[Status]],Compliance_Status[Status from OPMS],Compliance_Status[Has Course booking],"")</f>
        <v>0</v>
      </c>
      <c r="P296" t="str">
        <f>_xlfn.XLOOKUP(Data[[#This Row],[StatusKey]],Status_Key[Status_Key],Status_Key[Name],"")</f>
        <v>About to expire</v>
      </c>
    </row>
    <row r="297" spans="1:16" x14ac:dyDescent="0.25">
      <c r="A297" s="1">
        <v>165</v>
      </c>
      <c r="B297" s="1" t="s">
        <v>157</v>
      </c>
      <c r="C297" s="1" t="s">
        <v>158</v>
      </c>
      <c r="D297" s="1" t="s">
        <v>159</v>
      </c>
      <c r="E297" s="1" t="s">
        <v>76</v>
      </c>
      <c r="F297" s="1" t="s">
        <v>65</v>
      </c>
      <c r="G297" s="1" t="s">
        <v>16</v>
      </c>
      <c r="H297" s="1" t="s">
        <v>155</v>
      </c>
      <c r="I297" s="1" t="s">
        <v>60</v>
      </c>
      <c r="J297" s="1" t="s">
        <v>67</v>
      </c>
      <c r="K297" s="1" t="s">
        <v>77</v>
      </c>
      <c r="L297" s="3">
        <v>47603</v>
      </c>
      <c r="M297" s="3">
        <v>46142</v>
      </c>
      <c r="N297">
        <f>_xlfn.XLOOKUP(Data[[#This Row],[Status]],Compliance_Status[Status from OPMS],Compliance_Status[Status_Key],"")</f>
        <v>4</v>
      </c>
      <c r="O297">
        <f>_xlfn.XLOOKUP(Data[[#This Row],[Status]],Compliance_Status[Status from OPMS],Compliance_Status[Has Course booking],"")</f>
        <v>0</v>
      </c>
      <c r="P297" t="str">
        <f>_xlfn.XLOOKUP(Data[[#This Row],[StatusKey]],Status_Key[Status_Key],Status_Key[Name],"")</f>
        <v>In Date</v>
      </c>
    </row>
    <row r="298" spans="1:16" x14ac:dyDescent="0.25">
      <c r="A298" s="1">
        <v>165</v>
      </c>
      <c r="B298" s="1" t="s">
        <v>157</v>
      </c>
      <c r="C298" s="1" t="s">
        <v>158</v>
      </c>
      <c r="D298" s="1" t="s">
        <v>159</v>
      </c>
      <c r="E298" s="1" t="s">
        <v>80</v>
      </c>
      <c r="F298" s="1" t="s">
        <v>65</v>
      </c>
      <c r="G298" s="1" t="s">
        <v>16</v>
      </c>
      <c r="H298" s="1" t="s">
        <v>155</v>
      </c>
      <c r="I298" s="1" t="s">
        <v>60</v>
      </c>
      <c r="J298" s="1" t="s">
        <v>67</v>
      </c>
      <c r="K298" s="1" t="s">
        <v>77</v>
      </c>
      <c r="L298" s="3" t="s">
        <v>79</v>
      </c>
      <c r="M298" s="3">
        <v>45779</v>
      </c>
      <c r="N298">
        <f>_xlfn.XLOOKUP(Data[[#This Row],[Status]],Compliance_Status[Status from OPMS],Compliance_Status[Status_Key],"")</f>
        <v>4</v>
      </c>
      <c r="O298">
        <f>_xlfn.XLOOKUP(Data[[#This Row],[Status]],Compliance_Status[Status from OPMS],Compliance_Status[Has Course booking],"")</f>
        <v>0</v>
      </c>
      <c r="P298" t="str">
        <f>_xlfn.XLOOKUP(Data[[#This Row],[StatusKey]],Status_Key[Status_Key],Status_Key[Name],"")</f>
        <v>In Date</v>
      </c>
    </row>
    <row r="299" spans="1:16" x14ac:dyDescent="0.25">
      <c r="A299" s="1">
        <v>165</v>
      </c>
      <c r="B299" s="1" t="s">
        <v>157</v>
      </c>
      <c r="C299" s="1" t="s">
        <v>158</v>
      </c>
      <c r="D299" s="1" t="s">
        <v>159</v>
      </c>
      <c r="E299" s="1" t="s">
        <v>84</v>
      </c>
      <c r="F299" s="1" t="s">
        <v>65</v>
      </c>
      <c r="G299" s="1" t="s">
        <v>16</v>
      </c>
      <c r="H299" s="1" t="s">
        <v>155</v>
      </c>
      <c r="I299" s="1" t="s">
        <v>60</v>
      </c>
      <c r="J299" s="1" t="s">
        <v>67</v>
      </c>
      <c r="K299" s="1" t="s">
        <v>83</v>
      </c>
      <c r="L299" s="3">
        <v>46730</v>
      </c>
      <c r="M299" s="3">
        <v>46000</v>
      </c>
      <c r="N299">
        <f>_xlfn.XLOOKUP(Data[[#This Row],[Status]],Compliance_Status[Status from OPMS],Compliance_Status[Status_Key],"")</f>
        <v>4</v>
      </c>
      <c r="O299">
        <f>_xlfn.XLOOKUP(Data[[#This Row],[Status]],Compliance_Status[Status from OPMS],Compliance_Status[Has Course booking],"")</f>
        <v>0</v>
      </c>
      <c r="P299" t="str">
        <f>_xlfn.XLOOKUP(Data[[#This Row],[StatusKey]],Status_Key[Status_Key],Status_Key[Name],"")</f>
        <v>In Date</v>
      </c>
    </row>
    <row r="300" spans="1:16" x14ac:dyDescent="0.25">
      <c r="A300" s="1">
        <v>165</v>
      </c>
      <c r="B300" s="1" t="s">
        <v>157</v>
      </c>
      <c r="C300" s="1" t="s">
        <v>158</v>
      </c>
      <c r="D300" s="1" t="s">
        <v>159</v>
      </c>
      <c r="E300" s="1" t="s">
        <v>93</v>
      </c>
      <c r="F300" s="1" t="s">
        <v>65</v>
      </c>
      <c r="G300" s="1" t="s">
        <v>16</v>
      </c>
      <c r="H300" s="1" t="s">
        <v>155</v>
      </c>
      <c r="I300" s="1" t="s">
        <v>60</v>
      </c>
      <c r="J300" s="1" t="s">
        <v>67</v>
      </c>
      <c r="K300" s="1" t="s">
        <v>94</v>
      </c>
      <c r="L300" s="3">
        <v>46731</v>
      </c>
      <c r="M300" s="3">
        <v>46001</v>
      </c>
      <c r="N300">
        <f>_xlfn.XLOOKUP(Data[[#This Row],[Status]],Compliance_Status[Status from OPMS],Compliance_Status[Status_Key],"")</f>
        <v>4</v>
      </c>
      <c r="O300">
        <f>_xlfn.XLOOKUP(Data[[#This Row],[Status]],Compliance_Status[Status from OPMS],Compliance_Status[Has Course booking],"")</f>
        <v>0</v>
      </c>
      <c r="P300" t="str">
        <f>_xlfn.XLOOKUP(Data[[#This Row],[StatusKey]],Status_Key[Status_Key],Status_Key[Name],"")</f>
        <v>In Date</v>
      </c>
    </row>
    <row r="301" spans="1:16" x14ac:dyDescent="0.25">
      <c r="A301" s="1">
        <v>165</v>
      </c>
      <c r="B301" s="1" t="s">
        <v>157</v>
      </c>
      <c r="C301" s="1" t="s">
        <v>158</v>
      </c>
      <c r="D301" s="1" t="s">
        <v>159</v>
      </c>
      <c r="E301" s="1" t="s">
        <v>95</v>
      </c>
      <c r="F301" s="1" t="s">
        <v>65</v>
      </c>
      <c r="G301" s="1" t="s">
        <v>16</v>
      </c>
      <c r="H301" s="1" t="s">
        <v>155</v>
      </c>
      <c r="I301" s="1" t="s">
        <v>60</v>
      </c>
      <c r="J301" s="1" t="s">
        <v>67</v>
      </c>
      <c r="K301" s="1" t="s">
        <v>94</v>
      </c>
      <c r="L301" s="3">
        <v>46731</v>
      </c>
      <c r="M301" s="3">
        <v>46001</v>
      </c>
      <c r="N301">
        <f>_xlfn.XLOOKUP(Data[[#This Row],[Status]],Compliance_Status[Status from OPMS],Compliance_Status[Status_Key],"")</f>
        <v>4</v>
      </c>
      <c r="O301">
        <f>_xlfn.XLOOKUP(Data[[#This Row],[Status]],Compliance_Status[Status from OPMS],Compliance_Status[Has Course booking],"")</f>
        <v>0</v>
      </c>
      <c r="P301" t="str">
        <f>_xlfn.XLOOKUP(Data[[#This Row],[StatusKey]],Status_Key[Status_Key],Status_Key[Name],"")</f>
        <v>In Date</v>
      </c>
    </row>
    <row r="302" spans="1:16" x14ac:dyDescent="0.25">
      <c r="A302" s="1">
        <v>165</v>
      </c>
      <c r="B302" s="1" t="s">
        <v>157</v>
      </c>
      <c r="C302" s="1" t="s">
        <v>158</v>
      </c>
      <c r="D302" s="1" t="s">
        <v>159</v>
      </c>
      <c r="E302" s="1" t="s">
        <v>156</v>
      </c>
      <c r="F302" s="1" t="s">
        <v>65</v>
      </c>
      <c r="G302" s="1" t="s">
        <v>16</v>
      </c>
      <c r="H302" s="1" t="s">
        <v>155</v>
      </c>
      <c r="I302" s="1" t="s">
        <v>60</v>
      </c>
      <c r="J302" s="1"/>
      <c r="K302" s="1" t="s">
        <v>125</v>
      </c>
      <c r="L302" s="3">
        <v>47268</v>
      </c>
      <c r="M302" s="3">
        <v>45442</v>
      </c>
      <c r="N302">
        <f>_xlfn.XLOOKUP(Data[[#This Row],[Status]],Compliance_Status[Status from OPMS],Compliance_Status[Status_Key],"")</f>
        <v>4</v>
      </c>
      <c r="O302">
        <f>_xlfn.XLOOKUP(Data[[#This Row],[Status]],Compliance_Status[Status from OPMS],Compliance_Status[Has Course booking],"")</f>
        <v>0</v>
      </c>
      <c r="P302" t="str">
        <f>_xlfn.XLOOKUP(Data[[#This Row],[StatusKey]],Status_Key[Status_Key],Status_Key[Name],"")</f>
        <v>In Date</v>
      </c>
    </row>
    <row r="303" spans="1:16" x14ac:dyDescent="0.25">
      <c r="A303" s="1">
        <v>165</v>
      </c>
      <c r="B303" s="1" t="s">
        <v>157</v>
      </c>
      <c r="C303" s="1" t="s">
        <v>158</v>
      </c>
      <c r="D303" s="1" t="s">
        <v>159</v>
      </c>
      <c r="E303" s="1" t="s">
        <v>124</v>
      </c>
      <c r="F303" s="1" t="s">
        <v>72</v>
      </c>
      <c r="G303" s="1" t="s">
        <v>18</v>
      </c>
      <c r="H303" s="1" t="s">
        <v>155</v>
      </c>
      <c r="I303" s="1" t="s">
        <v>60</v>
      </c>
      <c r="J303" s="1"/>
      <c r="K303" s="1" t="s">
        <v>125</v>
      </c>
      <c r="L303" s="3"/>
      <c r="M303" s="3"/>
      <c r="N303">
        <f>_xlfn.XLOOKUP(Data[[#This Row],[Status]],Compliance_Status[Status from OPMS],Compliance_Status[Status_Key],"")</f>
        <v>2</v>
      </c>
      <c r="O303">
        <f>_xlfn.XLOOKUP(Data[[#This Row],[Status]],Compliance_Status[Status from OPMS],Compliance_Status[Has Course booking],"")</f>
        <v>0</v>
      </c>
      <c r="P303" t="str">
        <f>_xlfn.XLOOKUP(Data[[#This Row],[StatusKey]],Status_Key[Status_Key],Status_Key[Name],"")</f>
        <v>Outstanding</v>
      </c>
    </row>
    <row r="304" spans="1:16" x14ac:dyDescent="0.25">
      <c r="A304" s="1">
        <v>165</v>
      </c>
      <c r="B304" s="1" t="s">
        <v>157</v>
      </c>
      <c r="C304" s="1" t="s">
        <v>158</v>
      </c>
      <c r="D304" s="1" t="s">
        <v>159</v>
      </c>
      <c r="E304" s="1" t="s">
        <v>97</v>
      </c>
      <c r="F304" s="1" t="s">
        <v>65</v>
      </c>
      <c r="G304" s="1" t="s">
        <v>16</v>
      </c>
      <c r="H304" s="1" t="s">
        <v>155</v>
      </c>
      <c r="I304" s="1" t="s">
        <v>60</v>
      </c>
      <c r="J304" s="1" t="s">
        <v>67</v>
      </c>
      <c r="K304" s="1" t="s">
        <v>98</v>
      </c>
      <c r="L304" s="3">
        <v>47250</v>
      </c>
      <c r="M304" s="3">
        <v>45424</v>
      </c>
      <c r="N304">
        <f>_xlfn.XLOOKUP(Data[[#This Row],[Status]],Compliance_Status[Status from OPMS],Compliance_Status[Status_Key],"")</f>
        <v>4</v>
      </c>
      <c r="O304">
        <f>_xlfn.XLOOKUP(Data[[#This Row],[Status]],Compliance_Status[Status from OPMS],Compliance_Status[Has Course booking],"")</f>
        <v>0</v>
      </c>
      <c r="P304" t="str">
        <f>_xlfn.XLOOKUP(Data[[#This Row],[StatusKey]],Status_Key[Status_Key],Status_Key[Name],"")</f>
        <v>In Date</v>
      </c>
    </row>
    <row r="305" spans="1:16" x14ac:dyDescent="0.25">
      <c r="A305" s="1">
        <v>165</v>
      </c>
      <c r="B305" s="1" t="s">
        <v>157</v>
      </c>
      <c r="C305" s="1" t="s">
        <v>158</v>
      </c>
      <c r="D305" s="1" t="s">
        <v>159</v>
      </c>
      <c r="E305" s="1" t="s">
        <v>100</v>
      </c>
      <c r="F305" s="1" t="s">
        <v>65</v>
      </c>
      <c r="G305" s="1" t="s">
        <v>18</v>
      </c>
      <c r="H305" s="1" t="s">
        <v>155</v>
      </c>
      <c r="I305" s="1" t="s">
        <v>60</v>
      </c>
      <c r="J305" s="1"/>
      <c r="K305" s="1" t="s">
        <v>98</v>
      </c>
      <c r="L305" s="3"/>
      <c r="M305" s="3"/>
      <c r="N305">
        <f>_xlfn.XLOOKUP(Data[[#This Row],[Status]],Compliance_Status[Status from OPMS],Compliance_Status[Status_Key],"")</f>
        <v>2</v>
      </c>
      <c r="O305">
        <f>_xlfn.XLOOKUP(Data[[#This Row],[Status]],Compliance_Status[Status from OPMS],Compliance_Status[Has Course booking],"")</f>
        <v>0</v>
      </c>
      <c r="P305" t="str">
        <f>_xlfn.XLOOKUP(Data[[#This Row],[StatusKey]],Status_Key[Status_Key],Status_Key[Name],"")</f>
        <v>Outstanding</v>
      </c>
    </row>
    <row r="306" spans="1:16" x14ac:dyDescent="0.25">
      <c r="A306" s="1">
        <v>165</v>
      </c>
      <c r="B306" s="1" t="s">
        <v>157</v>
      </c>
      <c r="C306" s="1" t="s">
        <v>158</v>
      </c>
      <c r="D306" s="1" t="s">
        <v>159</v>
      </c>
      <c r="E306" s="1" t="s">
        <v>101</v>
      </c>
      <c r="F306" s="1" t="s">
        <v>65</v>
      </c>
      <c r="G306" s="1" t="s">
        <v>16</v>
      </c>
      <c r="H306" s="1" t="s">
        <v>155</v>
      </c>
      <c r="I306" s="1" t="s">
        <v>60</v>
      </c>
      <c r="J306" s="1" t="s">
        <v>67</v>
      </c>
      <c r="K306" s="1" t="s">
        <v>102</v>
      </c>
      <c r="L306" s="3" t="s">
        <v>79</v>
      </c>
      <c r="M306" s="3">
        <v>45432</v>
      </c>
      <c r="N306">
        <f>_xlfn.XLOOKUP(Data[[#This Row],[Status]],Compliance_Status[Status from OPMS],Compliance_Status[Status_Key],"")</f>
        <v>4</v>
      </c>
      <c r="O306">
        <f>_xlfn.XLOOKUP(Data[[#This Row],[Status]],Compliance_Status[Status from OPMS],Compliance_Status[Has Course booking],"")</f>
        <v>0</v>
      </c>
      <c r="P306" t="str">
        <f>_xlfn.XLOOKUP(Data[[#This Row],[StatusKey]],Status_Key[Status_Key],Status_Key[Name],"")</f>
        <v>In Date</v>
      </c>
    </row>
    <row r="307" spans="1:16" x14ac:dyDescent="0.25">
      <c r="A307" s="1">
        <v>165</v>
      </c>
      <c r="B307" s="1" t="s">
        <v>157</v>
      </c>
      <c r="C307" s="1" t="s">
        <v>158</v>
      </c>
      <c r="D307" s="1" t="s">
        <v>159</v>
      </c>
      <c r="E307" s="1" t="s">
        <v>103</v>
      </c>
      <c r="F307" s="1" t="s">
        <v>65</v>
      </c>
      <c r="G307" s="1" t="s">
        <v>16</v>
      </c>
      <c r="H307" s="1" t="s">
        <v>155</v>
      </c>
      <c r="I307" s="1" t="s">
        <v>60</v>
      </c>
      <c r="J307" s="1" t="s">
        <v>67</v>
      </c>
      <c r="K307" s="1" t="s">
        <v>102</v>
      </c>
      <c r="L307" s="3">
        <v>46457</v>
      </c>
      <c r="M307" s="3">
        <v>45727</v>
      </c>
      <c r="N307">
        <f>_xlfn.XLOOKUP(Data[[#This Row],[Status]],Compliance_Status[Status from OPMS],Compliance_Status[Status_Key],"")</f>
        <v>4</v>
      </c>
      <c r="O307">
        <f>_xlfn.XLOOKUP(Data[[#This Row],[Status]],Compliance_Status[Status from OPMS],Compliance_Status[Has Course booking],"")</f>
        <v>0</v>
      </c>
      <c r="P307" t="str">
        <f>_xlfn.XLOOKUP(Data[[#This Row],[StatusKey]],Status_Key[Status_Key],Status_Key[Name],"")</f>
        <v>In Date</v>
      </c>
    </row>
    <row r="308" spans="1:16" x14ac:dyDescent="0.25">
      <c r="A308" s="1">
        <v>165</v>
      </c>
      <c r="B308" s="1" t="s">
        <v>157</v>
      </c>
      <c r="C308" s="1" t="s">
        <v>158</v>
      </c>
      <c r="D308" s="1" t="s">
        <v>159</v>
      </c>
      <c r="E308" s="1" t="s">
        <v>104</v>
      </c>
      <c r="F308" s="1" t="s">
        <v>65</v>
      </c>
      <c r="G308" s="1" t="s">
        <v>16</v>
      </c>
      <c r="H308" s="1" t="s">
        <v>155</v>
      </c>
      <c r="I308" s="1" t="s">
        <v>60</v>
      </c>
      <c r="J308" s="1" t="s">
        <v>67</v>
      </c>
      <c r="K308" s="1" t="s">
        <v>105</v>
      </c>
      <c r="L308" s="3">
        <v>46855</v>
      </c>
      <c r="M308" s="3">
        <v>46124</v>
      </c>
      <c r="N308">
        <f>_xlfn.XLOOKUP(Data[[#This Row],[Status]],Compliance_Status[Status from OPMS],Compliance_Status[Status_Key],"")</f>
        <v>4</v>
      </c>
      <c r="O308">
        <f>_xlfn.XLOOKUP(Data[[#This Row],[Status]],Compliance_Status[Status from OPMS],Compliance_Status[Has Course booking],"")</f>
        <v>0</v>
      </c>
      <c r="P308" t="str">
        <f>_xlfn.XLOOKUP(Data[[#This Row],[StatusKey]],Status_Key[Status_Key],Status_Key[Name],"")</f>
        <v>In Date</v>
      </c>
    </row>
    <row r="309" spans="1:16" x14ac:dyDescent="0.25">
      <c r="A309" s="1">
        <v>165</v>
      </c>
      <c r="B309" s="1" t="s">
        <v>157</v>
      </c>
      <c r="C309" s="1" t="s">
        <v>158</v>
      </c>
      <c r="D309" s="1" t="s">
        <v>159</v>
      </c>
      <c r="E309" s="1" t="s">
        <v>106</v>
      </c>
      <c r="F309" s="1" t="s">
        <v>65</v>
      </c>
      <c r="G309" s="1" t="s">
        <v>16</v>
      </c>
      <c r="H309" s="1" t="s">
        <v>155</v>
      </c>
      <c r="I309" s="1" t="s">
        <v>60</v>
      </c>
      <c r="J309" s="1" t="s">
        <v>67</v>
      </c>
      <c r="K309" s="1" t="s">
        <v>105</v>
      </c>
      <c r="L309" s="3">
        <v>47613</v>
      </c>
      <c r="M309" s="3">
        <v>45787</v>
      </c>
      <c r="N309">
        <f>_xlfn.XLOOKUP(Data[[#This Row],[Status]],Compliance_Status[Status from OPMS],Compliance_Status[Status_Key],"")</f>
        <v>4</v>
      </c>
      <c r="O309">
        <f>_xlfn.XLOOKUP(Data[[#This Row],[Status]],Compliance_Status[Status from OPMS],Compliance_Status[Has Course booking],"")</f>
        <v>0</v>
      </c>
      <c r="P309" t="str">
        <f>_xlfn.XLOOKUP(Data[[#This Row],[StatusKey]],Status_Key[Status_Key],Status_Key[Name],"")</f>
        <v>In Date</v>
      </c>
    </row>
    <row r="310" spans="1:16" x14ac:dyDescent="0.25">
      <c r="A310" s="1">
        <v>165</v>
      </c>
      <c r="B310" s="1" t="s">
        <v>157</v>
      </c>
      <c r="C310" s="1" t="s">
        <v>158</v>
      </c>
      <c r="D310" s="1" t="s">
        <v>159</v>
      </c>
      <c r="E310" s="1" t="s">
        <v>107</v>
      </c>
      <c r="F310" s="1" t="s">
        <v>65</v>
      </c>
      <c r="G310" s="1" t="s">
        <v>16</v>
      </c>
      <c r="H310" s="1" t="s">
        <v>155</v>
      </c>
      <c r="I310" s="1" t="s">
        <v>60</v>
      </c>
      <c r="J310" s="1" t="s">
        <v>67</v>
      </c>
      <c r="K310" s="1" t="s">
        <v>105</v>
      </c>
      <c r="L310" s="3">
        <v>46519</v>
      </c>
      <c r="M310" s="3">
        <v>45424</v>
      </c>
      <c r="N310">
        <f>_xlfn.XLOOKUP(Data[[#This Row],[Status]],Compliance_Status[Status from OPMS],Compliance_Status[Status_Key],"")</f>
        <v>4</v>
      </c>
      <c r="O310">
        <f>_xlfn.XLOOKUP(Data[[#This Row],[Status]],Compliance_Status[Status from OPMS],Compliance_Status[Has Course booking],"")</f>
        <v>0</v>
      </c>
      <c r="P310" t="str">
        <f>_xlfn.XLOOKUP(Data[[#This Row],[StatusKey]],Status_Key[Status_Key],Status_Key[Name],"")</f>
        <v>In Date</v>
      </c>
    </row>
    <row r="311" spans="1:16" x14ac:dyDescent="0.25">
      <c r="A311" s="1">
        <v>165</v>
      </c>
      <c r="B311" s="1" t="s">
        <v>157</v>
      </c>
      <c r="C311" s="1" t="s">
        <v>158</v>
      </c>
      <c r="D311" s="1" t="s">
        <v>159</v>
      </c>
      <c r="E311" s="1" t="s">
        <v>108</v>
      </c>
      <c r="F311" s="1" t="s">
        <v>65</v>
      </c>
      <c r="G311" s="1" t="s">
        <v>16</v>
      </c>
      <c r="H311" s="1" t="s">
        <v>155</v>
      </c>
      <c r="I311" s="1" t="s">
        <v>60</v>
      </c>
      <c r="J311" s="1" t="s">
        <v>67</v>
      </c>
      <c r="K311" s="1" t="s">
        <v>105</v>
      </c>
      <c r="L311" s="3">
        <v>47331</v>
      </c>
      <c r="M311" s="3">
        <v>46235</v>
      </c>
      <c r="N311">
        <f>_xlfn.XLOOKUP(Data[[#This Row],[Status]],Compliance_Status[Status from OPMS],Compliance_Status[Status_Key],"")</f>
        <v>4</v>
      </c>
      <c r="O311">
        <f>_xlfn.XLOOKUP(Data[[#This Row],[Status]],Compliance_Status[Status from OPMS],Compliance_Status[Has Course booking],"")</f>
        <v>0</v>
      </c>
      <c r="P311" t="str">
        <f>_xlfn.XLOOKUP(Data[[#This Row],[StatusKey]],Status_Key[Status_Key],Status_Key[Name],"")</f>
        <v>In Date</v>
      </c>
    </row>
    <row r="312" spans="1:16" x14ac:dyDescent="0.25">
      <c r="A312" s="1">
        <v>165</v>
      </c>
      <c r="B312" s="1" t="s">
        <v>157</v>
      </c>
      <c r="C312" s="1" t="s">
        <v>158</v>
      </c>
      <c r="D312" s="1" t="s">
        <v>159</v>
      </c>
      <c r="E312" s="1" t="s">
        <v>109</v>
      </c>
      <c r="F312" s="1" t="s">
        <v>65</v>
      </c>
      <c r="G312" s="1" t="s">
        <v>16</v>
      </c>
      <c r="H312" s="1" t="s">
        <v>155</v>
      </c>
      <c r="I312" s="1" t="s">
        <v>60</v>
      </c>
      <c r="J312" s="1" t="s">
        <v>67</v>
      </c>
      <c r="K312" s="1" t="s">
        <v>105</v>
      </c>
      <c r="L312" s="3">
        <v>46855</v>
      </c>
      <c r="M312" s="3">
        <v>46124</v>
      </c>
      <c r="N312">
        <f>_xlfn.XLOOKUP(Data[[#This Row],[Status]],Compliance_Status[Status from OPMS],Compliance_Status[Status_Key],"")</f>
        <v>4</v>
      </c>
      <c r="O312">
        <f>_xlfn.XLOOKUP(Data[[#This Row],[Status]],Compliance_Status[Status from OPMS],Compliance_Status[Has Course booking],"")</f>
        <v>0</v>
      </c>
      <c r="P312" t="str">
        <f>_xlfn.XLOOKUP(Data[[#This Row],[StatusKey]],Status_Key[Status_Key],Status_Key[Name],"")</f>
        <v>In Date</v>
      </c>
    </row>
    <row r="313" spans="1:16" x14ac:dyDescent="0.25">
      <c r="A313" s="1">
        <v>165</v>
      </c>
      <c r="B313" s="1" t="s">
        <v>157</v>
      </c>
      <c r="C313" s="1" t="s">
        <v>158</v>
      </c>
      <c r="D313" s="1" t="s">
        <v>159</v>
      </c>
      <c r="E313" s="1" t="s">
        <v>110</v>
      </c>
      <c r="F313" s="1" t="s">
        <v>65</v>
      </c>
      <c r="G313" s="1" t="s">
        <v>16</v>
      </c>
      <c r="H313" s="1" t="s">
        <v>155</v>
      </c>
      <c r="I313" s="1" t="s">
        <v>60</v>
      </c>
      <c r="J313" s="1" t="s">
        <v>67</v>
      </c>
      <c r="K313" s="1" t="s">
        <v>105</v>
      </c>
      <c r="L313" s="3" t="s">
        <v>79</v>
      </c>
      <c r="M313" s="3">
        <v>45424</v>
      </c>
      <c r="N313">
        <f>_xlfn.XLOOKUP(Data[[#This Row],[Status]],Compliance_Status[Status from OPMS],Compliance_Status[Status_Key],"")</f>
        <v>4</v>
      </c>
      <c r="O313">
        <f>_xlfn.XLOOKUP(Data[[#This Row],[Status]],Compliance_Status[Status from OPMS],Compliance_Status[Has Course booking],"")</f>
        <v>0</v>
      </c>
      <c r="P313" t="str">
        <f>_xlfn.XLOOKUP(Data[[#This Row],[StatusKey]],Status_Key[Status_Key],Status_Key[Name],"")</f>
        <v>In Date</v>
      </c>
    </row>
    <row r="314" spans="1:16" x14ac:dyDescent="0.25">
      <c r="A314" s="1">
        <v>165</v>
      </c>
      <c r="B314" s="1" t="s">
        <v>157</v>
      </c>
      <c r="C314" s="1" t="s">
        <v>158</v>
      </c>
      <c r="D314" s="1" t="s">
        <v>159</v>
      </c>
      <c r="E314" s="1" t="s">
        <v>111</v>
      </c>
      <c r="F314" s="1" t="s">
        <v>65</v>
      </c>
      <c r="G314" s="1" t="s">
        <v>16</v>
      </c>
      <c r="H314" s="1" t="s">
        <v>155</v>
      </c>
      <c r="I314" s="1" t="s">
        <v>60</v>
      </c>
      <c r="J314" s="1" t="s">
        <v>67</v>
      </c>
      <c r="K314" s="1" t="s">
        <v>105</v>
      </c>
      <c r="L314" s="3">
        <v>46771</v>
      </c>
      <c r="M314" s="3">
        <v>46041</v>
      </c>
      <c r="N314">
        <f>_xlfn.XLOOKUP(Data[[#This Row],[Status]],Compliance_Status[Status from OPMS],Compliance_Status[Status_Key],"")</f>
        <v>4</v>
      </c>
      <c r="O314">
        <f>_xlfn.XLOOKUP(Data[[#This Row],[Status]],Compliance_Status[Status from OPMS],Compliance_Status[Has Course booking],"")</f>
        <v>0</v>
      </c>
      <c r="P314" t="str">
        <f>_xlfn.XLOOKUP(Data[[#This Row],[StatusKey]],Status_Key[Status_Key],Status_Key[Name],"")</f>
        <v>In Date</v>
      </c>
    </row>
    <row r="315" spans="1:16" x14ac:dyDescent="0.25">
      <c r="A315" s="1">
        <v>165</v>
      </c>
      <c r="B315" s="1" t="s">
        <v>157</v>
      </c>
      <c r="C315" s="1" t="s">
        <v>158</v>
      </c>
      <c r="D315" s="1" t="s">
        <v>159</v>
      </c>
      <c r="E315" s="1" t="s">
        <v>112</v>
      </c>
      <c r="F315" s="1" t="s">
        <v>65</v>
      </c>
      <c r="G315" s="1" t="s">
        <v>16</v>
      </c>
      <c r="H315" s="1" t="s">
        <v>155</v>
      </c>
      <c r="I315" s="1" t="s">
        <v>60</v>
      </c>
      <c r="J315" s="1" t="s">
        <v>67</v>
      </c>
      <c r="K315" s="1" t="s">
        <v>105</v>
      </c>
      <c r="L315" s="3">
        <v>46771</v>
      </c>
      <c r="M315" s="3">
        <v>46041</v>
      </c>
      <c r="N315">
        <f>_xlfn.XLOOKUP(Data[[#This Row],[Status]],Compliance_Status[Status from OPMS],Compliance_Status[Status_Key],"")</f>
        <v>4</v>
      </c>
      <c r="O315">
        <f>_xlfn.XLOOKUP(Data[[#This Row],[Status]],Compliance_Status[Status from OPMS],Compliance_Status[Has Course booking],"")</f>
        <v>0</v>
      </c>
      <c r="P315" t="str">
        <f>_xlfn.XLOOKUP(Data[[#This Row],[StatusKey]],Status_Key[Status_Key],Status_Key[Name],"")</f>
        <v>In Date</v>
      </c>
    </row>
    <row r="316" spans="1:16" x14ac:dyDescent="0.25">
      <c r="A316" s="1">
        <v>165</v>
      </c>
      <c r="B316" s="1" t="s">
        <v>157</v>
      </c>
      <c r="C316" s="1" t="s">
        <v>158</v>
      </c>
      <c r="D316" s="1" t="s">
        <v>159</v>
      </c>
      <c r="E316" s="1" t="s">
        <v>113</v>
      </c>
      <c r="F316" s="1" t="s">
        <v>65</v>
      </c>
      <c r="G316" s="1" t="s">
        <v>16</v>
      </c>
      <c r="H316" s="1" t="s">
        <v>155</v>
      </c>
      <c r="I316" s="1" t="s">
        <v>60</v>
      </c>
      <c r="J316" s="1" t="s">
        <v>67</v>
      </c>
      <c r="K316" s="1" t="s">
        <v>105</v>
      </c>
      <c r="L316" s="3">
        <v>46784</v>
      </c>
      <c r="M316" s="3">
        <v>46054</v>
      </c>
      <c r="N316">
        <f>_xlfn.XLOOKUP(Data[[#This Row],[Status]],Compliance_Status[Status from OPMS],Compliance_Status[Status_Key],"")</f>
        <v>4</v>
      </c>
      <c r="O316">
        <f>_xlfn.XLOOKUP(Data[[#This Row],[Status]],Compliance_Status[Status from OPMS],Compliance_Status[Has Course booking],"")</f>
        <v>0</v>
      </c>
      <c r="P316" t="str">
        <f>_xlfn.XLOOKUP(Data[[#This Row],[StatusKey]],Status_Key[Status_Key],Status_Key[Name],"")</f>
        <v>In Date</v>
      </c>
    </row>
    <row r="317" spans="1:16" x14ac:dyDescent="0.25">
      <c r="A317" s="1">
        <v>170</v>
      </c>
      <c r="B317" s="1" t="s">
        <v>160</v>
      </c>
      <c r="C317" s="1" t="s">
        <v>161</v>
      </c>
      <c r="D317" s="1" t="s">
        <v>162</v>
      </c>
      <c r="E317" s="1" t="s">
        <v>163</v>
      </c>
      <c r="F317" s="1" t="s">
        <v>65</v>
      </c>
      <c r="G317" s="1" t="s">
        <v>16</v>
      </c>
      <c r="H317" s="1" t="s">
        <v>164</v>
      </c>
      <c r="I317" s="1" t="s">
        <v>60</v>
      </c>
      <c r="J317" s="1"/>
      <c r="K317" s="1" t="s">
        <v>68</v>
      </c>
      <c r="L317" s="3">
        <v>47090</v>
      </c>
      <c r="M317" s="3">
        <v>45264</v>
      </c>
      <c r="N317">
        <f>_xlfn.XLOOKUP(Data[[#This Row],[Status]],Compliance_Status[Status from OPMS],Compliance_Status[Status_Key],"")</f>
        <v>4</v>
      </c>
      <c r="O317">
        <f>_xlfn.XLOOKUP(Data[[#This Row],[Status]],Compliance_Status[Status from OPMS],Compliance_Status[Has Course booking],"")</f>
        <v>0</v>
      </c>
      <c r="P317" t="str">
        <f>_xlfn.XLOOKUP(Data[[#This Row],[StatusKey]],Status_Key[Status_Key],Status_Key[Name],"")</f>
        <v>In Date</v>
      </c>
    </row>
    <row r="318" spans="1:16" x14ac:dyDescent="0.25">
      <c r="A318" s="1">
        <v>170</v>
      </c>
      <c r="B318" s="1" t="s">
        <v>160</v>
      </c>
      <c r="C318" s="1" t="s">
        <v>161</v>
      </c>
      <c r="D318" s="1" t="s">
        <v>162</v>
      </c>
      <c r="E318" s="1" t="s">
        <v>131</v>
      </c>
      <c r="F318" s="1" t="s">
        <v>72</v>
      </c>
      <c r="G318" s="1" t="s">
        <v>16</v>
      </c>
      <c r="H318" s="1" t="s">
        <v>164</v>
      </c>
      <c r="I318" s="1" t="s">
        <v>60</v>
      </c>
      <c r="J318" s="1"/>
      <c r="K318" s="1" t="s">
        <v>68</v>
      </c>
      <c r="L318" s="3">
        <v>47664</v>
      </c>
      <c r="M318" s="3">
        <v>45838</v>
      </c>
      <c r="N318">
        <f>_xlfn.XLOOKUP(Data[[#This Row],[Status]],Compliance_Status[Status from OPMS],Compliance_Status[Status_Key],"")</f>
        <v>4</v>
      </c>
      <c r="O318">
        <f>_xlfn.XLOOKUP(Data[[#This Row],[Status]],Compliance_Status[Status from OPMS],Compliance_Status[Has Course booking],"")</f>
        <v>0</v>
      </c>
      <c r="P318" t="str">
        <f>_xlfn.XLOOKUP(Data[[#This Row],[StatusKey]],Status_Key[Status_Key],Status_Key[Name],"")</f>
        <v>In Date</v>
      </c>
    </row>
    <row r="319" spans="1:16" x14ac:dyDescent="0.25">
      <c r="A319" s="1">
        <v>170</v>
      </c>
      <c r="B319" s="1" t="s">
        <v>160</v>
      </c>
      <c r="C319" s="1" t="s">
        <v>161</v>
      </c>
      <c r="D319" s="1" t="s">
        <v>162</v>
      </c>
      <c r="E319" s="1" t="s">
        <v>69</v>
      </c>
      <c r="F319" s="1"/>
      <c r="G319" s="1" t="s">
        <v>16</v>
      </c>
      <c r="H319" s="1" t="s">
        <v>164</v>
      </c>
      <c r="I319" s="1" t="s">
        <v>60</v>
      </c>
      <c r="J319" s="1" t="s">
        <v>67</v>
      </c>
      <c r="K319" s="1" t="s">
        <v>68</v>
      </c>
      <c r="L319" s="3">
        <v>47260</v>
      </c>
      <c r="M319" s="3">
        <v>45435</v>
      </c>
      <c r="N319">
        <f>_xlfn.XLOOKUP(Data[[#This Row],[Status]],Compliance_Status[Status from OPMS],Compliance_Status[Status_Key],"")</f>
        <v>4</v>
      </c>
      <c r="O319">
        <f>_xlfn.XLOOKUP(Data[[#This Row],[Status]],Compliance_Status[Status from OPMS],Compliance_Status[Has Course booking],"")</f>
        <v>0</v>
      </c>
      <c r="P319" t="str">
        <f>_xlfn.XLOOKUP(Data[[#This Row],[StatusKey]],Status_Key[Status_Key],Status_Key[Name],"")</f>
        <v>In Date</v>
      </c>
    </row>
    <row r="320" spans="1:16" x14ac:dyDescent="0.25">
      <c r="A320" s="1">
        <v>170</v>
      </c>
      <c r="B320" s="1" t="s">
        <v>160</v>
      </c>
      <c r="C320" s="1" t="s">
        <v>161</v>
      </c>
      <c r="D320" s="1" t="s">
        <v>162</v>
      </c>
      <c r="E320" s="1" t="s">
        <v>71</v>
      </c>
      <c r="F320" s="1" t="s">
        <v>72</v>
      </c>
      <c r="G320" s="1" t="s">
        <v>16</v>
      </c>
      <c r="H320" s="1" t="s">
        <v>164</v>
      </c>
      <c r="I320" s="1" t="s">
        <v>60</v>
      </c>
      <c r="J320" s="1" t="s">
        <v>67</v>
      </c>
      <c r="K320" s="1" t="s">
        <v>68</v>
      </c>
      <c r="L320" s="3">
        <v>47291</v>
      </c>
      <c r="M320" s="3">
        <v>45435</v>
      </c>
      <c r="N320">
        <f>_xlfn.XLOOKUP(Data[[#This Row],[Status]],Compliance_Status[Status from OPMS],Compliance_Status[Status_Key],"")</f>
        <v>4</v>
      </c>
      <c r="O320">
        <f>_xlfn.XLOOKUP(Data[[#This Row],[Status]],Compliance_Status[Status from OPMS],Compliance_Status[Has Course booking],"")</f>
        <v>0</v>
      </c>
      <c r="P320" t="str">
        <f>_xlfn.XLOOKUP(Data[[#This Row],[StatusKey]],Status_Key[Status_Key],Status_Key[Name],"")</f>
        <v>In Date</v>
      </c>
    </row>
    <row r="321" spans="1:16" x14ac:dyDescent="0.25">
      <c r="A321" s="1">
        <v>170</v>
      </c>
      <c r="B321" s="1" t="s">
        <v>160</v>
      </c>
      <c r="C321" s="1" t="s">
        <v>161</v>
      </c>
      <c r="D321" s="1" t="s">
        <v>162</v>
      </c>
      <c r="E321" s="1" t="s">
        <v>73</v>
      </c>
      <c r="F321" s="1" t="s">
        <v>65</v>
      </c>
      <c r="G321" s="1" t="s">
        <v>16</v>
      </c>
      <c r="H321" s="1" t="s">
        <v>164</v>
      </c>
      <c r="I321" s="1" t="s">
        <v>60</v>
      </c>
      <c r="J321" s="1" t="s">
        <v>67</v>
      </c>
      <c r="K321" s="1" t="s">
        <v>68</v>
      </c>
      <c r="L321" s="3">
        <v>46929</v>
      </c>
      <c r="M321" s="3">
        <v>46198</v>
      </c>
      <c r="N321">
        <f>_xlfn.XLOOKUP(Data[[#This Row],[Status]],Compliance_Status[Status from OPMS],Compliance_Status[Status_Key],"")</f>
        <v>4</v>
      </c>
      <c r="O321">
        <f>_xlfn.XLOOKUP(Data[[#This Row],[Status]],Compliance_Status[Status from OPMS],Compliance_Status[Has Course booking],"")</f>
        <v>0</v>
      </c>
      <c r="P321" t="str">
        <f>_xlfn.XLOOKUP(Data[[#This Row],[StatusKey]],Status_Key[Status_Key],Status_Key[Name],"")</f>
        <v>In Date</v>
      </c>
    </row>
    <row r="322" spans="1:16" x14ac:dyDescent="0.25">
      <c r="A322" s="1">
        <v>170</v>
      </c>
      <c r="B322" s="1" t="s">
        <v>160</v>
      </c>
      <c r="C322" s="1" t="s">
        <v>161</v>
      </c>
      <c r="D322" s="1" t="s">
        <v>162</v>
      </c>
      <c r="E322" s="1" t="s">
        <v>74</v>
      </c>
      <c r="F322" s="1" t="s">
        <v>65</v>
      </c>
      <c r="G322" s="1" t="s">
        <v>16</v>
      </c>
      <c r="H322" s="1" t="s">
        <v>164</v>
      </c>
      <c r="I322" s="1" t="s">
        <v>60</v>
      </c>
      <c r="J322" s="1" t="s">
        <v>67</v>
      </c>
      <c r="K322" s="1" t="s">
        <v>68</v>
      </c>
      <c r="L322" s="3">
        <v>47243</v>
      </c>
      <c r="M322" s="3">
        <v>46147</v>
      </c>
      <c r="N322">
        <f>_xlfn.XLOOKUP(Data[[#This Row],[Status]],Compliance_Status[Status from OPMS],Compliance_Status[Status_Key],"")</f>
        <v>4</v>
      </c>
      <c r="O322">
        <f>_xlfn.XLOOKUP(Data[[#This Row],[Status]],Compliance_Status[Status from OPMS],Compliance_Status[Has Course booking],"")</f>
        <v>0</v>
      </c>
      <c r="P322" t="str">
        <f>_xlfn.XLOOKUP(Data[[#This Row],[StatusKey]],Status_Key[Status_Key],Status_Key[Name],"")</f>
        <v>In Date</v>
      </c>
    </row>
    <row r="323" spans="1:16" x14ac:dyDescent="0.25">
      <c r="A323" s="1">
        <v>170</v>
      </c>
      <c r="B323" s="1" t="s">
        <v>160</v>
      </c>
      <c r="C323" s="1" t="s">
        <v>161</v>
      </c>
      <c r="D323" s="1" t="s">
        <v>162</v>
      </c>
      <c r="E323" s="1" t="s">
        <v>75</v>
      </c>
      <c r="F323" s="1" t="s">
        <v>72</v>
      </c>
      <c r="G323" s="1" t="s">
        <v>24</v>
      </c>
      <c r="H323" s="1" t="s">
        <v>164</v>
      </c>
      <c r="I323" s="1" t="s">
        <v>60</v>
      </c>
      <c r="J323" s="1" t="s">
        <v>67</v>
      </c>
      <c r="K323" s="1" t="s">
        <v>68</v>
      </c>
      <c r="L323" s="3">
        <v>46385</v>
      </c>
      <c r="M323" s="3">
        <v>45701</v>
      </c>
      <c r="N323">
        <f>_xlfn.XLOOKUP(Data[[#This Row],[Status]],Compliance_Status[Status from OPMS],Compliance_Status[Status_Key],"")</f>
        <v>3</v>
      </c>
      <c r="O323">
        <f>_xlfn.XLOOKUP(Data[[#This Row],[Status]],Compliance_Status[Status from OPMS],Compliance_Status[Has Course booking],"")</f>
        <v>0</v>
      </c>
      <c r="P323" t="str">
        <f>_xlfn.XLOOKUP(Data[[#This Row],[StatusKey]],Status_Key[Status_Key],Status_Key[Name],"")</f>
        <v>About to expire</v>
      </c>
    </row>
    <row r="324" spans="1:16" x14ac:dyDescent="0.25">
      <c r="A324" s="1">
        <v>170</v>
      </c>
      <c r="B324" s="1" t="s">
        <v>160</v>
      </c>
      <c r="C324" s="1" t="s">
        <v>161</v>
      </c>
      <c r="D324" s="1" t="s">
        <v>162</v>
      </c>
      <c r="E324" s="1" t="s">
        <v>165</v>
      </c>
      <c r="F324" s="1" t="s">
        <v>72</v>
      </c>
      <c r="G324" s="1" t="s">
        <v>16</v>
      </c>
      <c r="H324" s="1" t="s">
        <v>164</v>
      </c>
      <c r="I324" s="1" t="s">
        <v>60</v>
      </c>
      <c r="J324" s="1" t="s">
        <v>67</v>
      </c>
      <c r="K324" s="1" t="s">
        <v>68</v>
      </c>
      <c r="L324" s="3" t="s">
        <v>79</v>
      </c>
      <c r="M324" s="3">
        <v>45348</v>
      </c>
      <c r="N324">
        <f>_xlfn.XLOOKUP(Data[[#This Row],[Status]],Compliance_Status[Status from OPMS],Compliance_Status[Status_Key],"")</f>
        <v>4</v>
      </c>
      <c r="O324">
        <f>_xlfn.XLOOKUP(Data[[#This Row],[Status]],Compliance_Status[Status from OPMS],Compliance_Status[Has Course booking],"")</f>
        <v>0</v>
      </c>
      <c r="P324" t="str">
        <f>_xlfn.XLOOKUP(Data[[#This Row],[StatusKey]],Status_Key[Status_Key],Status_Key[Name],"")</f>
        <v>In Date</v>
      </c>
    </row>
    <row r="325" spans="1:16" x14ac:dyDescent="0.25">
      <c r="A325" s="1">
        <v>170</v>
      </c>
      <c r="B325" s="1" t="s">
        <v>160</v>
      </c>
      <c r="C325" s="1" t="s">
        <v>161</v>
      </c>
      <c r="D325" s="1" t="s">
        <v>162</v>
      </c>
      <c r="E325" s="1" t="s">
        <v>76</v>
      </c>
      <c r="F325" s="1" t="s">
        <v>65</v>
      </c>
      <c r="G325" s="1" t="s">
        <v>16</v>
      </c>
      <c r="H325" s="1" t="s">
        <v>164</v>
      </c>
      <c r="I325" s="1" t="s">
        <v>60</v>
      </c>
      <c r="J325" s="1" t="s">
        <v>67</v>
      </c>
      <c r="K325" s="1" t="s">
        <v>77</v>
      </c>
      <c r="L325" s="3">
        <v>47634</v>
      </c>
      <c r="M325" s="3">
        <v>46143</v>
      </c>
      <c r="N325">
        <f>_xlfn.XLOOKUP(Data[[#This Row],[Status]],Compliance_Status[Status from OPMS],Compliance_Status[Status_Key],"")</f>
        <v>4</v>
      </c>
      <c r="O325">
        <f>_xlfn.XLOOKUP(Data[[#This Row],[Status]],Compliance_Status[Status from OPMS],Compliance_Status[Has Course booking],"")</f>
        <v>0</v>
      </c>
      <c r="P325" t="str">
        <f>_xlfn.XLOOKUP(Data[[#This Row],[StatusKey]],Status_Key[Status_Key],Status_Key[Name],"")</f>
        <v>In Date</v>
      </c>
    </row>
    <row r="326" spans="1:16" x14ac:dyDescent="0.25">
      <c r="A326" s="1">
        <v>170</v>
      </c>
      <c r="B326" s="1" t="s">
        <v>160</v>
      </c>
      <c r="C326" s="1" t="s">
        <v>161</v>
      </c>
      <c r="D326" s="1" t="s">
        <v>162</v>
      </c>
      <c r="E326" s="1" t="s">
        <v>80</v>
      </c>
      <c r="F326" s="1" t="s">
        <v>65</v>
      </c>
      <c r="G326" s="1" t="s">
        <v>16</v>
      </c>
      <c r="H326" s="1" t="s">
        <v>164</v>
      </c>
      <c r="I326" s="1" t="s">
        <v>60</v>
      </c>
      <c r="J326" s="1" t="s">
        <v>67</v>
      </c>
      <c r="K326" s="1" t="s">
        <v>77</v>
      </c>
      <c r="L326" s="3" t="s">
        <v>79</v>
      </c>
      <c r="M326" s="3">
        <v>45392</v>
      </c>
      <c r="N326">
        <f>_xlfn.XLOOKUP(Data[[#This Row],[Status]],Compliance_Status[Status from OPMS],Compliance_Status[Status_Key],"")</f>
        <v>4</v>
      </c>
      <c r="O326">
        <f>_xlfn.XLOOKUP(Data[[#This Row],[Status]],Compliance_Status[Status from OPMS],Compliance_Status[Has Course booking],"")</f>
        <v>0</v>
      </c>
      <c r="P326" t="str">
        <f>_xlfn.XLOOKUP(Data[[#This Row],[StatusKey]],Status_Key[Status_Key],Status_Key[Name],"")</f>
        <v>In Date</v>
      </c>
    </row>
    <row r="327" spans="1:16" x14ac:dyDescent="0.25">
      <c r="A327" s="1">
        <v>170</v>
      </c>
      <c r="B327" s="1" t="s">
        <v>160</v>
      </c>
      <c r="C327" s="1" t="s">
        <v>161</v>
      </c>
      <c r="D327" s="1" t="s">
        <v>162</v>
      </c>
      <c r="E327" s="1" t="s">
        <v>84</v>
      </c>
      <c r="F327" s="1" t="s">
        <v>65</v>
      </c>
      <c r="G327" s="1" t="s">
        <v>16</v>
      </c>
      <c r="H327" s="1" t="s">
        <v>164</v>
      </c>
      <c r="I327" s="1" t="s">
        <v>60</v>
      </c>
      <c r="J327" s="1" t="s">
        <v>67</v>
      </c>
      <c r="K327" s="1" t="s">
        <v>83</v>
      </c>
      <c r="L327" s="3">
        <v>46726</v>
      </c>
      <c r="M327" s="3">
        <v>45996</v>
      </c>
      <c r="N327">
        <f>_xlfn.XLOOKUP(Data[[#This Row],[Status]],Compliance_Status[Status from OPMS],Compliance_Status[Status_Key],"")</f>
        <v>4</v>
      </c>
      <c r="O327">
        <f>_xlfn.XLOOKUP(Data[[#This Row],[Status]],Compliance_Status[Status from OPMS],Compliance_Status[Has Course booking],"")</f>
        <v>0</v>
      </c>
      <c r="P327" t="str">
        <f>_xlfn.XLOOKUP(Data[[#This Row],[StatusKey]],Status_Key[Status_Key],Status_Key[Name],"")</f>
        <v>In Date</v>
      </c>
    </row>
    <row r="328" spans="1:16" x14ac:dyDescent="0.25">
      <c r="A328" s="1">
        <v>170</v>
      </c>
      <c r="B328" s="1" t="s">
        <v>160</v>
      </c>
      <c r="C328" s="1" t="s">
        <v>161</v>
      </c>
      <c r="D328" s="1" t="s">
        <v>162</v>
      </c>
      <c r="E328" s="1" t="s">
        <v>93</v>
      </c>
      <c r="F328" s="1" t="s">
        <v>65</v>
      </c>
      <c r="G328" s="1" t="s">
        <v>16</v>
      </c>
      <c r="H328" s="1" t="s">
        <v>164</v>
      </c>
      <c r="I328" s="1" t="s">
        <v>60</v>
      </c>
      <c r="J328" s="1" t="s">
        <v>67</v>
      </c>
      <c r="K328" s="1" t="s">
        <v>94</v>
      </c>
      <c r="L328" s="3">
        <v>46677</v>
      </c>
      <c r="M328" s="3">
        <v>45947</v>
      </c>
      <c r="N328">
        <f>_xlfn.XLOOKUP(Data[[#This Row],[Status]],Compliance_Status[Status from OPMS],Compliance_Status[Status_Key],"")</f>
        <v>4</v>
      </c>
      <c r="O328">
        <f>_xlfn.XLOOKUP(Data[[#This Row],[Status]],Compliance_Status[Status from OPMS],Compliance_Status[Has Course booking],"")</f>
        <v>0</v>
      </c>
      <c r="P328" t="str">
        <f>_xlfn.XLOOKUP(Data[[#This Row],[StatusKey]],Status_Key[Status_Key],Status_Key[Name],"")</f>
        <v>In Date</v>
      </c>
    </row>
    <row r="329" spans="1:16" x14ac:dyDescent="0.25">
      <c r="A329" s="1">
        <v>170</v>
      </c>
      <c r="B329" s="1" t="s">
        <v>160</v>
      </c>
      <c r="C329" s="1" t="s">
        <v>161</v>
      </c>
      <c r="D329" s="1" t="s">
        <v>162</v>
      </c>
      <c r="E329" s="1" t="s">
        <v>95</v>
      </c>
      <c r="F329" s="1" t="s">
        <v>65</v>
      </c>
      <c r="G329" s="1" t="s">
        <v>16</v>
      </c>
      <c r="H329" s="1" t="s">
        <v>164</v>
      </c>
      <c r="I329" s="1" t="s">
        <v>60</v>
      </c>
      <c r="J329" s="1" t="s">
        <v>67</v>
      </c>
      <c r="K329" s="1" t="s">
        <v>94</v>
      </c>
      <c r="L329" s="3">
        <v>46677</v>
      </c>
      <c r="M329" s="3">
        <v>45947</v>
      </c>
      <c r="N329">
        <f>_xlfn.XLOOKUP(Data[[#This Row],[Status]],Compliance_Status[Status from OPMS],Compliance_Status[Status_Key],"")</f>
        <v>4</v>
      </c>
      <c r="O329">
        <f>_xlfn.XLOOKUP(Data[[#This Row],[Status]],Compliance_Status[Status from OPMS],Compliance_Status[Has Course booking],"")</f>
        <v>0</v>
      </c>
      <c r="P329" t="str">
        <f>_xlfn.XLOOKUP(Data[[#This Row],[StatusKey]],Status_Key[Status_Key],Status_Key[Name],"")</f>
        <v>In Date</v>
      </c>
    </row>
    <row r="330" spans="1:16" x14ac:dyDescent="0.25">
      <c r="A330" s="1">
        <v>170</v>
      </c>
      <c r="B330" s="1" t="s">
        <v>160</v>
      </c>
      <c r="C330" s="1" t="s">
        <v>161</v>
      </c>
      <c r="D330" s="1" t="s">
        <v>162</v>
      </c>
      <c r="E330" s="1" t="s">
        <v>156</v>
      </c>
      <c r="F330" s="1" t="s">
        <v>65</v>
      </c>
      <c r="G330" s="1" t="s">
        <v>16</v>
      </c>
      <c r="H330" s="1" t="s">
        <v>164</v>
      </c>
      <c r="I330" s="1" t="s">
        <v>60</v>
      </c>
      <c r="J330" s="1"/>
      <c r="K330" s="1" t="s">
        <v>125</v>
      </c>
      <c r="L330" s="3">
        <v>47723</v>
      </c>
      <c r="M330" s="3">
        <v>45897</v>
      </c>
      <c r="N330">
        <f>_xlfn.XLOOKUP(Data[[#This Row],[Status]],Compliance_Status[Status from OPMS],Compliance_Status[Status_Key],"")</f>
        <v>4</v>
      </c>
      <c r="O330">
        <f>_xlfn.XLOOKUP(Data[[#This Row],[Status]],Compliance_Status[Status from OPMS],Compliance_Status[Has Course booking],"")</f>
        <v>0</v>
      </c>
      <c r="P330" t="str">
        <f>_xlfn.XLOOKUP(Data[[#This Row],[StatusKey]],Status_Key[Status_Key],Status_Key[Name],"")</f>
        <v>In Date</v>
      </c>
    </row>
    <row r="331" spans="1:16" x14ac:dyDescent="0.25">
      <c r="A331" s="1">
        <v>170</v>
      </c>
      <c r="B331" s="1" t="s">
        <v>160</v>
      </c>
      <c r="C331" s="1" t="s">
        <v>161</v>
      </c>
      <c r="D331" s="1" t="s">
        <v>162</v>
      </c>
      <c r="E331" s="1" t="s">
        <v>124</v>
      </c>
      <c r="F331" s="1" t="s">
        <v>72</v>
      </c>
      <c r="G331" s="1" t="s">
        <v>16</v>
      </c>
      <c r="H331" s="1" t="s">
        <v>164</v>
      </c>
      <c r="I331" s="1" t="s">
        <v>60</v>
      </c>
      <c r="J331" s="1" t="s">
        <v>67</v>
      </c>
      <c r="K331" s="1" t="s">
        <v>125</v>
      </c>
      <c r="L331" s="3">
        <v>47723</v>
      </c>
      <c r="M331" s="3">
        <v>45897</v>
      </c>
      <c r="N331">
        <f>_xlfn.XLOOKUP(Data[[#This Row],[Status]],Compliance_Status[Status from OPMS],Compliance_Status[Status_Key],"")</f>
        <v>4</v>
      </c>
      <c r="O331">
        <f>_xlfn.XLOOKUP(Data[[#This Row],[Status]],Compliance_Status[Status from OPMS],Compliance_Status[Has Course booking],"")</f>
        <v>0</v>
      </c>
      <c r="P331" t="str">
        <f>_xlfn.XLOOKUP(Data[[#This Row],[StatusKey]],Status_Key[Status_Key],Status_Key[Name],"")</f>
        <v>In Date</v>
      </c>
    </row>
    <row r="332" spans="1:16" x14ac:dyDescent="0.25">
      <c r="A332" s="1">
        <v>170</v>
      </c>
      <c r="B332" s="1" t="s">
        <v>160</v>
      </c>
      <c r="C332" s="1" t="s">
        <v>161</v>
      </c>
      <c r="D332" s="1" t="s">
        <v>162</v>
      </c>
      <c r="E332" s="1" t="s">
        <v>97</v>
      </c>
      <c r="F332" s="1" t="s">
        <v>65</v>
      </c>
      <c r="G332" s="1" t="s">
        <v>16</v>
      </c>
      <c r="H332" s="1" t="s">
        <v>164</v>
      </c>
      <c r="I332" s="1" t="s">
        <v>60</v>
      </c>
      <c r="J332" s="1" t="s">
        <v>67</v>
      </c>
      <c r="K332" s="1" t="s">
        <v>98</v>
      </c>
      <c r="L332" s="3">
        <v>47242</v>
      </c>
      <c r="M332" s="3">
        <v>45416</v>
      </c>
      <c r="N332">
        <f>_xlfn.XLOOKUP(Data[[#This Row],[Status]],Compliance_Status[Status from OPMS],Compliance_Status[Status_Key],"")</f>
        <v>4</v>
      </c>
      <c r="O332">
        <f>_xlfn.XLOOKUP(Data[[#This Row],[Status]],Compliance_Status[Status from OPMS],Compliance_Status[Has Course booking],"")</f>
        <v>0</v>
      </c>
      <c r="P332" t="str">
        <f>_xlfn.XLOOKUP(Data[[#This Row],[StatusKey]],Status_Key[Status_Key],Status_Key[Name],"")</f>
        <v>In Date</v>
      </c>
    </row>
    <row r="333" spans="1:16" x14ac:dyDescent="0.25">
      <c r="A333" s="1">
        <v>170</v>
      </c>
      <c r="B333" s="1" t="s">
        <v>160</v>
      </c>
      <c r="C333" s="1" t="s">
        <v>161</v>
      </c>
      <c r="D333" s="1" t="s">
        <v>162</v>
      </c>
      <c r="E333" s="1" t="s">
        <v>99</v>
      </c>
      <c r="F333" s="1"/>
      <c r="G333" s="1" t="s">
        <v>16</v>
      </c>
      <c r="H333" s="1" t="s">
        <v>164</v>
      </c>
      <c r="I333" s="1" t="s">
        <v>60</v>
      </c>
      <c r="J333" s="1" t="s">
        <v>67</v>
      </c>
      <c r="K333" s="1" t="s">
        <v>98</v>
      </c>
      <c r="L333" s="3">
        <v>46853</v>
      </c>
      <c r="M333" s="3">
        <v>46122</v>
      </c>
      <c r="N333">
        <f>_xlfn.XLOOKUP(Data[[#This Row],[Status]],Compliance_Status[Status from OPMS],Compliance_Status[Status_Key],"")</f>
        <v>4</v>
      </c>
      <c r="O333">
        <f>_xlfn.XLOOKUP(Data[[#This Row],[Status]],Compliance_Status[Status from OPMS],Compliance_Status[Has Course booking],"")</f>
        <v>0</v>
      </c>
      <c r="P333" t="str">
        <f>_xlfn.XLOOKUP(Data[[#This Row],[StatusKey]],Status_Key[Status_Key],Status_Key[Name],"")</f>
        <v>In Date</v>
      </c>
    </row>
    <row r="334" spans="1:16" x14ac:dyDescent="0.25">
      <c r="A334" s="1">
        <v>170</v>
      </c>
      <c r="B334" s="1" t="s">
        <v>160</v>
      </c>
      <c r="C334" s="1" t="s">
        <v>161</v>
      </c>
      <c r="D334" s="1" t="s">
        <v>162</v>
      </c>
      <c r="E334" s="1" t="s">
        <v>100</v>
      </c>
      <c r="F334" s="1" t="s">
        <v>72</v>
      </c>
      <c r="G334" s="1" t="s">
        <v>16</v>
      </c>
      <c r="H334" s="1" t="s">
        <v>164</v>
      </c>
      <c r="I334" s="1" t="s">
        <v>60</v>
      </c>
      <c r="J334" s="1" t="s">
        <v>67</v>
      </c>
      <c r="K334" s="1" t="s">
        <v>98</v>
      </c>
      <c r="L334" s="3">
        <v>46851</v>
      </c>
      <c r="M334" s="3">
        <v>46120</v>
      </c>
      <c r="N334">
        <f>_xlfn.XLOOKUP(Data[[#This Row],[Status]],Compliance_Status[Status from OPMS],Compliance_Status[Status_Key],"")</f>
        <v>4</v>
      </c>
      <c r="O334">
        <f>_xlfn.XLOOKUP(Data[[#This Row],[Status]],Compliance_Status[Status from OPMS],Compliance_Status[Has Course booking],"")</f>
        <v>0</v>
      </c>
      <c r="P334" t="str">
        <f>_xlfn.XLOOKUP(Data[[#This Row],[StatusKey]],Status_Key[Status_Key],Status_Key[Name],"")</f>
        <v>In Date</v>
      </c>
    </row>
    <row r="335" spans="1:16" x14ac:dyDescent="0.25">
      <c r="A335" s="1">
        <v>170</v>
      </c>
      <c r="B335" s="1" t="s">
        <v>160</v>
      </c>
      <c r="C335" s="1" t="s">
        <v>161</v>
      </c>
      <c r="D335" s="1" t="s">
        <v>162</v>
      </c>
      <c r="E335" s="1" t="s">
        <v>101</v>
      </c>
      <c r="F335" s="1" t="s">
        <v>65</v>
      </c>
      <c r="G335" s="1" t="s">
        <v>16</v>
      </c>
      <c r="H335" s="1" t="s">
        <v>164</v>
      </c>
      <c r="I335" s="1" t="s">
        <v>60</v>
      </c>
      <c r="J335" s="1" t="s">
        <v>67</v>
      </c>
      <c r="K335" s="1" t="s">
        <v>102</v>
      </c>
      <c r="L335" s="3" t="s">
        <v>79</v>
      </c>
      <c r="M335" s="3">
        <v>45431</v>
      </c>
      <c r="N335">
        <f>_xlfn.XLOOKUP(Data[[#This Row],[Status]],Compliance_Status[Status from OPMS],Compliance_Status[Status_Key],"")</f>
        <v>4</v>
      </c>
      <c r="O335">
        <f>_xlfn.XLOOKUP(Data[[#This Row],[Status]],Compliance_Status[Status from OPMS],Compliance_Status[Has Course booking],"")</f>
        <v>0</v>
      </c>
      <c r="P335" t="str">
        <f>_xlfn.XLOOKUP(Data[[#This Row],[StatusKey]],Status_Key[Status_Key],Status_Key[Name],"")</f>
        <v>In Date</v>
      </c>
    </row>
    <row r="336" spans="1:16" x14ac:dyDescent="0.25">
      <c r="A336" s="1">
        <v>170</v>
      </c>
      <c r="B336" s="1" t="s">
        <v>160</v>
      </c>
      <c r="C336" s="1" t="s">
        <v>161</v>
      </c>
      <c r="D336" s="1" t="s">
        <v>162</v>
      </c>
      <c r="E336" s="1" t="s">
        <v>103</v>
      </c>
      <c r="F336" s="1" t="s">
        <v>65</v>
      </c>
      <c r="G336" s="1" t="s">
        <v>16</v>
      </c>
      <c r="H336" s="1" t="s">
        <v>164</v>
      </c>
      <c r="I336" s="1" t="s">
        <v>60</v>
      </c>
      <c r="J336" s="1" t="s">
        <v>67</v>
      </c>
      <c r="K336" s="1" t="s">
        <v>102</v>
      </c>
      <c r="L336" s="3">
        <v>46453</v>
      </c>
      <c r="M336" s="3">
        <v>45723</v>
      </c>
      <c r="N336">
        <f>_xlfn.XLOOKUP(Data[[#This Row],[Status]],Compliance_Status[Status from OPMS],Compliance_Status[Status_Key],"")</f>
        <v>4</v>
      </c>
      <c r="O336">
        <f>_xlfn.XLOOKUP(Data[[#This Row],[Status]],Compliance_Status[Status from OPMS],Compliance_Status[Has Course booking],"")</f>
        <v>0</v>
      </c>
      <c r="P336" t="str">
        <f>_xlfn.XLOOKUP(Data[[#This Row],[StatusKey]],Status_Key[Status_Key],Status_Key[Name],"")</f>
        <v>In Date</v>
      </c>
    </row>
    <row r="337" spans="1:16" x14ac:dyDescent="0.25">
      <c r="A337" s="1">
        <v>170</v>
      </c>
      <c r="B337" s="1" t="s">
        <v>160</v>
      </c>
      <c r="C337" s="1" t="s">
        <v>161</v>
      </c>
      <c r="D337" s="1" t="s">
        <v>162</v>
      </c>
      <c r="E337" s="1" t="s">
        <v>104</v>
      </c>
      <c r="F337" s="1" t="s">
        <v>65</v>
      </c>
      <c r="G337" s="1" t="s">
        <v>16</v>
      </c>
      <c r="H337" s="1" t="s">
        <v>164</v>
      </c>
      <c r="I337" s="1" t="s">
        <v>60</v>
      </c>
      <c r="J337" s="1" t="s">
        <v>67</v>
      </c>
      <c r="K337" s="1" t="s">
        <v>105</v>
      </c>
      <c r="L337" s="3">
        <v>46782</v>
      </c>
      <c r="M337" s="3">
        <v>46052</v>
      </c>
      <c r="N337">
        <f>_xlfn.XLOOKUP(Data[[#This Row],[Status]],Compliance_Status[Status from OPMS],Compliance_Status[Status_Key],"")</f>
        <v>4</v>
      </c>
      <c r="O337">
        <f>_xlfn.XLOOKUP(Data[[#This Row],[Status]],Compliance_Status[Status from OPMS],Compliance_Status[Has Course booking],"")</f>
        <v>0</v>
      </c>
      <c r="P337" t="str">
        <f>_xlfn.XLOOKUP(Data[[#This Row],[StatusKey]],Status_Key[Status_Key],Status_Key[Name],"")</f>
        <v>In Date</v>
      </c>
    </row>
    <row r="338" spans="1:16" x14ac:dyDescent="0.25">
      <c r="A338" s="1">
        <v>170</v>
      </c>
      <c r="B338" s="1" t="s">
        <v>160</v>
      </c>
      <c r="C338" s="1" t="s">
        <v>161</v>
      </c>
      <c r="D338" s="1" t="s">
        <v>162</v>
      </c>
      <c r="E338" s="1" t="s">
        <v>106</v>
      </c>
      <c r="F338" s="1" t="s">
        <v>65</v>
      </c>
      <c r="G338" s="1" t="s">
        <v>16</v>
      </c>
      <c r="H338" s="1" t="s">
        <v>164</v>
      </c>
      <c r="I338" s="1" t="s">
        <v>60</v>
      </c>
      <c r="J338" s="1" t="s">
        <v>67</v>
      </c>
      <c r="K338" s="1" t="s">
        <v>105</v>
      </c>
      <c r="L338" s="3">
        <v>47242</v>
      </c>
      <c r="M338" s="3">
        <v>45416</v>
      </c>
      <c r="N338">
        <f>_xlfn.XLOOKUP(Data[[#This Row],[Status]],Compliance_Status[Status from OPMS],Compliance_Status[Status_Key],"")</f>
        <v>4</v>
      </c>
      <c r="O338">
        <f>_xlfn.XLOOKUP(Data[[#This Row],[Status]],Compliance_Status[Status from OPMS],Compliance_Status[Has Course booking],"")</f>
        <v>0</v>
      </c>
      <c r="P338" t="str">
        <f>_xlfn.XLOOKUP(Data[[#This Row],[StatusKey]],Status_Key[Status_Key],Status_Key[Name],"")</f>
        <v>In Date</v>
      </c>
    </row>
    <row r="339" spans="1:16" x14ac:dyDescent="0.25">
      <c r="A339" s="1">
        <v>170</v>
      </c>
      <c r="B339" s="1" t="s">
        <v>160</v>
      </c>
      <c r="C339" s="1" t="s">
        <v>161</v>
      </c>
      <c r="D339" s="1" t="s">
        <v>162</v>
      </c>
      <c r="E339" s="1" t="s">
        <v>107</v>
      </c>
      <c r="F339" s="1" t="s">
        <v>65</v>
      </c>
      <c r="G339" s="1" t="s">
        <v>16</v>
      </c>
      <c r="H339" s="1" t="s">
        <v>164</v>
      </c>
      <c r="I339" s="1" t="s">
        <v>60</v>
      </c>
      <c r="J339" s="1" t="s">
        <v>67</v>
      </c>
      <c r="K339" s="1" t="s">
        <v>105</v>
      </c>
      <c r="L339" s="3">
        <v>46511</v>
      </c>
      <c r="M339" s="3">
        <v>45416</v>
      </c>
      <c r="N339">
        <f>_xlfn.XLOOKUP(Data[[#This Row],[Status]],Compliance_Status[Status from OPMS],Compliance_Status[Status_Key],"")</f>
        <v>4</v>
      </c>
      <c r="O339">
        <f>_xlfn.XLOOKUP(Data[[#This Row],[Status]],Compliance_Status[Status from OPMS],Compliance_Status[Has Course booking],"")</f>
        <v>0</v>
      </c>
      <c r="P339" t="str">
        <f>_xlfn.XLOOKUP(Data[[#This Row],[StatusKey]],Status_Key[Status_Key],Status_Key[Name],"")</f>
        <v>In Date</v>
      </c>
    </row>
    <row r="340" spans="1:16" x14ac:dyDescent="0.25">
      <c r="A340" s="1">
        <v>170</v>
      </c>
      <c r="B340" s="1" t="s">
        <v>160</v>
      </c>
      <c r="C340" s="1" t="s">
        <v>161</v>
      </c>
      <c r="D340" s="1" t="s">
        <v>162</v>
      </c>
      <c r="E340" s="1" t="s">
        <v>108</v>
      </c>
      <c r="F340" s="1" t="s">
        <v>65</v>
      </c>
      <c r="G340" s="1" t="s">
        <v>16</v>
      </c>
      <c r="H340" s="1" t="s">
        <v>164</v>
      </c>
      <c r="I340" s="1" t="s">
        <v>60</v>
      </c>
      <c r="J340" s="1" t="s">
        <v>67</v>
      </c>
      <c r="K340" s="1" t="s">
        <v>105</v>
      </c>
      <c r="L340" s="3">
        <v>47322</v>
      </c>
      <c r="M340" s="3">
        <v>46226</v>
      </c>
      <c r="N340">
        <f>_xlfn.XLOOKUP(Data[[#This Row],[Status]],Compliance_Status[Status from OPMS],Compliance_Status[Status_Key],"")</f>
        <v>4</v>
      </c>
      <c r="O340">
        <f>_xlfn.XLOOKUP(Data[[#This Row],[Status]],Compliance_Status[Status from OPMS],Compliance_Status[Has Course booking],"")</f>
        <v>0</v>
      </c>
      <c r="P340" t="str">
        <f>_xlfn.XLOOKUP(Data[[#This Row],[StatusKey]],Status_Key[Status_Key],Status_Key[Name],"")</f>
        <v>In Date</v>
      </c>
    </row>
    <row r="341" spans="1:16" x14ac:dyDescent="0.25">
      <c r="A341" s="1">
        <v>170</v>
      </c>
      <c r="B341" s="1" t="s">
        <v>160</v>
      </c>
      <c r="C341" s="1" t="s">
        <v>161</v>
      </c>
      <c r="D341" s="1" t="s">
        <v>162</v>
      </c>
      <c r="E341" s="1" t="s">
        <v>109</v>
      </c>
      <c r="F341" s="1" t="s">
        <v>65</v>
      </c>
      <c r="G341" s="1" t="s">
        <v>16</v>
      </c>
      <c r="H341" s="1" t="s">
        <v>164</v>
      </c>
      <c r="I341" s="1" t="s">
        <v>60</v>
      </c>
      <c r="J341" s="1" t="s">
        <v>67</v>
      </c>
      <c r="K341" s="1" t="s">
        <v>105</v>
      </c>
      <c r="L341" s="3">
        <v>46782</v>
      </c>
      <c r="M341" s="3">
        <v>46052</v>
      </c>
      <c r="N341">
        <f>_xlfn.XLOOKUP(Data[[#This Row],[Status]],Compliance_Status[Status from OPMS],Compliance_Status[Status_Key],"")</f>
        <v>4</v>
      </c>
      <c r="O341">
        <f>_xlfn.XLOOKUP(Data[[#This Row],[Status]],Compliance_Status[Status from OPMS],Compliance_Status[Has Course booking],"")</f>
        <v>0</v>
      </c>
      <c r="P341" t="str">
        <f>_xlfn.XLOOKUP(Data[[#This Row],[StatusKey]],Status_Key[Status_Key],Status_Key[Name],"")</f>
        <v>In Date</v>
      </c>
    </row>
    <row r="342" spans="1:16" x14ac:dyDescent="0.25">
      <c r="A342" s="1">
        <v>170</v>
      </c>
      <c r="B342" s="1" t="s">
        <v>160</v>
      </c>
      <c r="C342" s="1" t="s">
        <v>161</v>
      </c>
      <c r="D342" s="1" t="s">
        <v>162</v>
      </c>
      <c r="E342" s="1" t="s">
        <v>110</v>
      </c>
      <c r="F342" s="1" t="s">
        <v>65</v>
      </c>
      <c r="G342" s="1" t="s">
        <v>16</v>
      </c>
      <c r="H342" s="1" t="s">
        <v>164</v>
      </c>
      <c r="I342" s="1" t="s">
        <v>60</v>
      </c>
      <c r="J342" s="1" t="s">
        <v>67</v>
      </c>
      <c r="K342" s="1" t="s">
        <v>105</v>
      </c>
      <c r="L342" s="3" t="s">
        <v>79</v>
      </c>
      <c r="M342" s="3">
        <v>45417</v>
      </c>
      <c r="N342">
        <f>_xlfn.XLOOKUP(Data[[#This Row],[Status]],Compliance_Status[Status from OPMS],Compliance_Status[Status_Key],"")</f>
        <v>4</v>
      </c>
      <c r="O342">
        <f>_xlfn.XLOOKUP(Data[[#This Row],[Status]],Compliance_Status[Status from OPMS],Compliance_Status[Has Course booking],"")</f>
        <v>0</v>
      </c>
      <c r="P342" t="str">
        <f>_xlfn.XLOOKUP(Data[[#This Row],[StatusKey]],Status_Key[Status_Key],Status_Key[Name],"")</f>
        <v>In Date</v>
      </c>
    </row>
    <row r="343" spans="1:16" x14ac:dyDescent="0.25">
      <c r="A343" s="1">
        <v>170</v>
      </c>
      <c r="B343" s="1" t="s">
        <v>160</v>
      </c>
      <c r="C343" s="1" t="s">
        <v>161</v>
      </c>
      <c r="D343" s="1" t="s">
        <v>162</v>
      </c>
      <c r="E343" s="1" t="s">
        <v>111</v>
      </c>
      <c r="F343" s="1" t="s">
        <v>65</v>
      </c>
      <c r="G343" s="1" t="s">
        <v>16</v>
      </c>
      <c r="H343" s="1" t="s">
        <v>164</v>
      </c>
      <c r="I343" s="1" t="s">
        <v>60</v>
      </c>
      <c r="J343" s="1" t="s">
        <v>67</v>
      </c>
      <c r="K343" s="1" t="s">
        <v>105</v>
      </c>
      <c r="L343" s="3">
        <v>46726</v>
      </c>
      <c r="M343" s="3">
        <v>45996</v>
      </c>
      <c r="N343">
        <f>_xlfn.XLOOKUP(Data[[#This Row],[Status]],Compliance_Status[Status from OPMS],Compliance_Status[Status_Key],"")</f>
        <v>4</v>
      </c>
      <c r="O343">
        <f>_xlfn.XLOOKUP(Data[[#This Row],[Status]],Compliance_Status[Status from OPMS],Compliance_Status[Has Course booking],"")</f>
        <v>0</v>
      </c>
      <c r="P343" t="str">
        <f>_xlfn.XLOOKUP(Data[[#This Row],[StatusKey]],Status_Key[Status_Key],Status_Key[Name],"")</f>
        <v>In Date</v>
      </c>
    </row>
    <row r="344" spans="1:16" x14ac:dyDescent="0.25">
      <c r="A344" s="1">
        <v>170</v>
      </c>
      <c r="B344" s="1" t="s">
        <v>160</v>
      </c>
      <c r="C344" s="1" t="s">
        <v>161</v>
      </c>
      <c r="D344" s="1" t="s">
        <v>162</v>
      </c>
      <c r="E344" s="1" t="s">
        <v>112</v>
      </c>
      <c r="F344" s="1" t="s">
        <v>65</v>
      </c>
      <c r="G344" s="1" t="s">
        <v>16</v>
      </c>
      <c r="H344" s="1" t="s">
        <v>164</v>
      </c>
      <c r="I344" s="1" t="s">
        <v>60</v>
      </c>
      <c r="J344" s="1" t="s">
        <v>67</v>
      </c>
      <c r="K344" s="1" t="s">
        <v>105</v>
      </c>
      <c r="L344" s="3">
        <v>46678</v>
      </c>
      <c r="M344" s="3">
        <v>45948</v>
      </c>
      <c r="N344">
        <f>_xlfn.XLOOKUP(Data[[#This Row],[Status]],Compliance_Status[Status from OPMS],Compliance_Status[Status_Key],"")</f>
        <v>4</v>
      </c>
      <c r="O344">
        <f>_xlfn.XLOOKUP(Data[[#This Row],[Status]],Compliance_Status[Status from OPMS],Compliance_Status[Has Course booking],"")</f>
        <v>0</v>
      </c>
      <c r="P344" t="str">
        <f>_xlfn.XLOOKUP(Data[[#This Row],[StatusKey]],Status_Key[Status_Key],Status_Key[Name],"")</f>
        <v>In Date</v>
      </c>
    </row>
    <row r="345" spans="1:16" x14ac:dyDescent="0.25">
      <c r="A345" s="1">
        <v>170</v>
      </c>
      <c r="B345" s="1" t="s">
        <v>160</v>
      </c>
      <c r="C345" s="1" t="s">
        <v>161</v>
      </c>
      <c r="D345" s="1" t="s">
        <v>162</v>
      </c>
      <c r="E345" s="1" t="s">
        <v>113</v>
      </c>
      <c r="F345" s="1" t="s">
        <v>65</v>
      </c>
      <c r="G345" s="1" t="s">
        <v>16</v>
      </c>
      <c r="H345" s="1" t="s">
        <v>164</v>
      </c>
      <c r="I345" s="1" t="s">
        <v>60</v>
      </c>
      <c r="J345" s="1" t="s">
        <v>67</v>
      </c>
      <c r="K345" s="1" t="s">
        <v>105</v>
      </c>
      <c r="L345" s="3">
        <v>46742</v>
      </c>
      <c r="M345" s="3">
        <v>46012</v>
      </c>
      <c r="N345">
        <f>_xlfn.XLOOKUP(Data[[#This Row],[Status]],Compliance_Status[Status from OPMS],Compliance_Status[Status_Key],"")</f>
        <v>4</v>
      </c>
      <c r="O345">
        <f>_xlfn.XLOOKUP(Data[[#This Row],[Status]],Compliance_Status[Status from OPMS],Compliance_Status[Has Course booking],"")</f>
        <v>0</v>
      </c>
      <c r="P345" t="str">
        <f>_xlfn.XLOOKUP(Data[[#This Row],[StatusKey]],Status_Key[Status_Key],Status_Key[Name],"")</f>
        <v>In Date</v>
      </c>
    </row>
    <row r="346" spans="1:16" x14ac:dyDescent="0.25">
      <c r="A346" s="1">
        <v>175</v>
      </c>
      <c r="B346" s="1" t="s">
        <v>166</v>
      </c>
      <c r="C346" s="1" t="s">
        <v>167</v>
      </c>
      <c r="D346" s="1" t="s">
        <v>168</v>
      </c>
      <c r="E346" s="1" t="s">
        <v>163</v>
      </c>
      <c r="F346" s="1" t="s">
        <v>65</v>
      </c>
      <c r="G346" s="1" t="s">
        <v>16</v>
      </c>
      <c r="H346" s="1" t="s">
        <v>164</v>
      </c>
      <c r="I346" s="1" t="s">
        <v>60</v>
      </c>
      <c r="J346" s="1"/>
      <c r="K346" s="1" t="s">
        <v>68</v>
      </c>
      <c r="L346" s="3">
        <v>47831</v>
      </c>
      <c r="M346" s="3">
        <v>46006</v>
      </c>
      <c r="N346">
        <f>_xlfn.XLOOKUP(Data[[#This Row],[Status]],Compliance_Status[Status from OPMS],Compliance_Status[Status_Key],"")</f>
        <v>4</v>
      </c>
      <c r="O346">
        <f>_xlfn.XLOOKUP(Data[[#This Row],[Status]],Compliance_Status[Status from OPMS],Compliance_Status[Has Course booking],"")</f>
        <v>0</v>
      </c>
      <c r="P346" t="str">
        <f>_xlfn.XLOOKUP(Data[[#This Row],[StatusKey]],Status_Key[Status_Key],Status_Key[Name],"")</f>
        <v>In Date</v>
      </c>
    </row>
    <row r="347" spans="1:16" x14ac:dyDescent="0.25">
      <c r="A347" s="1">
        <v>175</v>
      </c>
      <c r="B347" s="1" t="s">
        <v>166</v>
      </c>
      <c r="C347" s="1" t="s">
        <v>167</v>
      </c>
      <c r="D347" s="1" t="s">
        <v>168</v>
      </c>
      <c r="E347" s="1" t="s">
        <v>131</v>
      </c>
      <c r="F347" s="1" t="s">
        <v>72</v>
      </c>
      <c r="G347" s="1" t="s">
        <v>16</v>
      </c>
      <c r="H347" s="1" t="s">
        <v>164</v>
      </c>
      <c r="I347" s="1" t="s">
        <v>60</v>
      </c>
      <c r="J347" s="1" t="s">
        <v>67</v>
      </c>
      <c r="K347" s="1" t="s">
        <v>68</v>
      </c>
      <c r="L347" s="3">
        <v>47770</v>
      </c>
      <c r="M347" s="3">
        <v>45945</v>
      </c>
      <c r="N347">
        <f>_xlfn.XLOOKUP(Data[[#This Row],[Status]],Compliance_Status[Status from OPMS],Compliance_Status[Status_Key],"")</f>
        <v>4</v>
      </c>
      <c r="O347">
        <f>_xlfn.XLOOKUP(Data[[#This Row],[Status]],Compliance_Status[Status from OPMS],Compliance_Status[Has Course booking],"")</f>
        <v>0</v>
      </c>
      <c r="P347" t="str">
        <f>_xlfn.XLOOKUP(Data[[#This Row],[StatusKey]],Status_Key[Status_Key],Status_Key[Name],"")</f>
        <v>In Date</v>
      </c>
    </row>
    <row r="348" spans="1:16" x14ac:dyDescent="0.25">
      <c r="A348" s="1">
        <v>175</v>
      </c>
      <c r="B348" s="1" t="s">
        <v>166</v>
      </c>
      <c r="C348" s="1" t="s">
        <v>167</v>
      </c>
      <c r="D348" s="1" t="s">
        <v>168</v>
      </c>
      <c r="E348" s="1" t="s">
        <v>71</v>
      </c>
      <c r="F348" s="1" t="s">
        <v>72</v>
      </c>
      <c r="G348" s="1" t="s">
        <v>18</v>
      </c>
      <c r="H348" s="1" t="s">
        <v>164</v>
      </c>
      <c r="I348" s="1" t="s">
        <v>60</v>
      </c>
      <c r="J348" s="1"/>
      <c r="K348" s="1" t="s">
        <v>68</v>
      </c>
      <c r="L348" s="3"/>
      <c r="M348" s="3"/>
      <c r="N348">
        <f>_xlfn.XLOOKUP(Data[[#This Row],[Status]],Compliance_Status[Status from OPMS],Compliance_Status[Status_Key],"")</f>
        <v>2</v>
      </c>
      <c r="O348">
        <f>_xlfn.XLOOKUP(Data[[#This Row],[Status]],Compliance_Status[Status from OPMS],Compliance_Status[Has Course booking],"")</f>
        <v>0</v>
      </c>
      <c r="P348" t="str">
        <f>_xlfn.XLOOKUP(Data[[#This Row],[StatusKey]],Status_Key[Status_Key],Status_Key[Name],"")</f>
        <v>Outstanding</v>
      </c>
    </row>
    <row r="349" spans="1:16" x14ac:dyDescent="0.25">
      <c r="A349" s="1">
        <v>175</v>
      </c>
      <c r="B349" s="1" t="s">
        <v>166</v>
      </c>
      <c r="C349" s="1" t="s">
        <v>167</v>
      </c>
      <c r="D349" s="1" t="s">
        <v>168</v>
      </c>
      <c r="E349" s="1" t="s">
        <v>73</v>
      </c>
      <c r="F349" s="1" t="s">
        <v>65</v>
      </c>
      <c r="G349" s="1" t="s">
        <v>16</v>
      </c>
      <c r="H349" s="1" t="s">
        <v>164</v>
      </c>
      <c r="I349" s="1" t="s">
        <v>60</v>
      </c>
      <c r="J349" s="1" t="s">
        <v>67</v>
      </c>
      <c r="K349" s="1" t="s">
        <v>68</v>
      </c>
      <c r="L349" s="3">
        <v>46660</v>
      </c>
      <c r="M349" s="3">
        <v>45930</v>
      </c>
      <c r="N349">
        <f>_xlfn.XLOOKUP(Data[[#This Row],[Status]],Compliance_Status[Status from OPMS],Compliance_Status[Status_Key],"")</f>
        <v>4</v>
      </c>
      <c r="O349">
        <f>_xlfn.XLOOKUP(Data[[#This Row],[Status]],Compliance_Status[Status from OPMS],Compliance_Status[Has Course booking],"")</f>
        <v>0</v>
      </c>
      <c r="P349" t="str">
        <f>_xlfn.XLOOKUP(Data[[#This Row],[StatusKey]],Status_Key[Status_Key],Status_Key[Name],"")</f>
        <v>In Date</v>
      </c>
    </row>
    <row r="350" spans="1:16" x14ac:dyDescent="0.25">
      <c r="A350" s="1">
        <v>175</v>
      </c>
      <c r="B350" s="1" t="s">
        <v>166</v>
      </c>
      <c r="C350" s="1" t="s">
        <v>167</v>
      </c>
      <c r="D350" s="1" t="s">
        <v>168</v>
      </c>
      <c r="E350" s="1" t="s">
        <v>74</v>
      </c>
      <c r="F350" s="1" t="s">
        <v>65</v>
      </c>
      <c r="G350" s="1" t="s">
        <v>16</v>
      </c>
      <c r="H350" s="1" t="s">
        <v>164</v>
      </c>
      <c r="I350" s="1" t="s">
        <v>60</v>
      </c>
      <c r="J350" s="1" t="s">
        <v>67</v>
      </c>
      <c r="K350" s="1" t="s">
        <v>68</v>
      </c>
      <c r="L350" s="3">
        <v>46854</v>
      </c>
      <c r="M350" s="3">
        <v>45758</v>
      </c>
      <c r="N350">
        <f>_xlfn.XLOOKUP(Data[[#This Row],[Status]],Compliance_Status[Status from OPMS],Compliance_Status[Status_Key],"")</f>
        <v>4</v>
      </c>
      <c r="O350">
        <f>_xlfn.XLOOKUP(Data[[#This Row],[Status]],Compliance_Status[Status from OPMS],Compliance_Status[Has Course booking],"")</f>
        <v>0</v>
      </c>
      <c r="P350" t="str">
        <f>_xlfn.XLOOKUP(Data[[#This Row],[StatusKey]],Status_Key[Status_Key],Status_Key[Name],"")</f>
        <v>In Date</v>
      </c>
    </row>
    <row r="351" spans="1:16" x14ac:dyDescent="0.25">
      <c r="A351" s="1">
        <v>175</v>
      </c>
      <c r="B351" s="1" t="s">
        <v>166</v>
      </c>
      <c r="C351" s="1" t="s">
        <v>167</v>
      </c>
      <c r="D351" s="1" t="s">
        <v>168</v>
      </c>
      <c r="E351" s="1" t="s">
        <v>75</v>
      </c>
      <c r="F351" s="1" t="s">
        <v>72</v>
      </c>
      <c r="G351" s="1" t="s">
        <v>18</v>
      </c>
      <c r="H351" s="1" t="s">
        <v>164</v>
      </c>
      <c r="I351" s="1" t="s">
        <v>60</v>
      </c>
      <c r="J351" s="1"/>
      <c r="K351" s="1" t="s">
        <v>68</v>
      </c>
      <c r="L351" s="3"/>
      <c r="M351" s="3"/>
      <c r="N351">
        <f>_xlfn.XLOOKUP(Data[[#This Row],[Status]],Compliance_Status[Status from OPMS],Compliance_Status[Status_Key],"")</f>
        <v>2</v>
      </c>
      <c r="O351">
        <f>_xlfn.XLOOKUP(Data[[#This Row],[Status]],Compliance_Status[Status from OPMS],Compliance_Status[Has Course booking],"")</f>
        <v>0</v>
      </c>
      <c r="P351" t="str">
        <f>_xlfn.XLOOKUP(Data[[#This Row],[StatusKey]],Status_Key[Status_Key],Status_Key[Name],"")</f>
        <v>Outstanding</v>
      </c>
    </row>
    <row r="352" spans="1:16" x14ac:dyDescent="0.25">
      <c r="A352" s="1">
        <v>175</v>
      </c>
      <c r="B352" s="1" t="s">
        <v>166</v>
      </c>
      <c r="C352" s="1" t="s">
        <v>167</v>
      </c>
      <c r="D352" s="1" t="s">
        <v>168</v>
      </c>
      <c r="E352" s="1" t="s">
        <v>165</v>
      </c>
      <c r="F352" s="1" t="s">
        <v>72</v>
      </c>
      <c r="G352" s="1" t="s">
        <v>18</v>
      </c>
      <c r="H352" s="1" t="s">
        <v>164</v>
      </c>
      <c r="I352" s="1" t="s">
        <v>60</v>
      </c>
      <c r="J352" s="1"/>
      <c r="K352" s="1" t="s">
        <v>68</v>
      </c>
      <c r="L352" s="3"/>
      <c r="M352" s="3"/>
      <c r="N352">
        <f>_xlfn.XLOOKUP(Data[[#This Row],[Status]],Compliance_Status[Status from OPMS],Compliance_Status[Status_Key],"")</f>
        <v>2</v>
      </c>
      <c r="O352">
        <f>_xlfn.XLOOKUP(Data[[#This Row],[Status]],Compliance_Status[Status from OPMS],Compliance_Status[Has Course booking],"")</f>
        <v>0</v>
      </c>
      <c r="P352" t="str">
        <f>_xlfn.XLOOKUP(Data[[#This Row],[StatusKey]],Status_Key[Status_Key],Status_Key[Name],"")</f>
        <v>Outstanding</v>
      </c>
    </row>
    <row r="353" spans="1:16" x14ac:dyDescent="0.25">
      <c r="A353" s="1">
        <v>175</v>
      </c>
      <c r="B353" s="1" t="s">
        <v>166</v>
      </c>
      <c r="C353" s="1" t="s">
        <v>167</v>
      </c>
      <c r="D353" s="1" t="s">
        <v>168</v>
      </c>
      <c r="E353" s="1" t="s">
        <v>76</v>
      </c>
      <c r="F353" s="1" t="s">
        <v>65</v>
      </c>
      <c r="G353" s="1" t="s">
        <v>16</v>
      </c>
      <c r="H353" s="1" t="s">
        <v>164</v>
      </c>
      <c r="I353" s="1" t="s">
        <v>60</v>
      </c>
      <c r="J353" s="1" t="s">
        <v>67</v>
      </c>
      <c r="K353" s="1" t="s">
        <v>77</v>
      </c>
      <c r="L353" s="3">
        <v>46783</v>
      </c>
      <c r="M353" s="3">
        <v>45322</v>
      </c>
      <c r="N353">
        <f>_xlfn.XLOOKUP(Data[[#This Row],[Status]],Compliance_Status[Status from OPMS],Compliance_Status[Status_Key],"")</f>
        <v>4</v>
      </c>
      <c r="O353">
        <f>_xlfn.XLOOKUP(Data[[#This Row],[Status]],Compliance_Status[Status from OPMS],Compliance_Status[Has Course booking],"")</f>
        <v>0</v>
      </c>
      <c r="P353" t="str">
        <f>_xlfn.XLOOKUP(Data[[#This Row],[StatusKey]],Status_Key[Status_Key],Status_Key[Name],"")</f>
        <v>In Date</v>
      </c>
    </row>
    <row r="354" spans="1:16" x14ac:dyDescent="0.25">
      <c r="A354" s="1">
        <v>175</v>
      </c>
      <c r="B354" s="1" t="s">
        <v>166</v>
      </c>
      <c r="C354" s="1" t="s">
        <v>167</v>
      </c>
      <c r="D354" s="1" t="s">
        <v>168</v>
      </c>
      <c r="E354" s="1" t="s">
        <v>80</v>
      </c>
      <c r="F354" s="1" t="s">
        <v>65</v>
      </c>
      <c r="G354" s="1" t="s">
        <v>16</v>
      </c>
      <c r="H354" s="1" t="s">
        <v>164</v>
      </c>
      <c r="I354" s="1" t="s">
        <v>60</v>
      </c>
      <c r="J354" s="1" t="s">
        <v>67</v>
      </c>
      <c r="K354" s="1" t="s">
        <v>77</v>
      </c>
      <c r="L354" s="3" t="s">
        <v>79</v>
      </c>
      <c r="M354" s="3">
        <v>45769</v>
      </c>
      <c r="N354">
        <f>_xlfn.XLOOKUP(Data[[#This Row],[Status]],Compliance_Status[Status from OPMS],Compliance_Status[Status_Key],"")</f>
        <v>4</v>
      </c>
      <c r="O354">
        <f>_xlfn.XLOOKUP(Data[[#This Row],[Status]],Compliance_Status[Status from OPMS],Compliance_Status[Has Course booking],"")</f>
        <v>0</v>
      </c>
      <c r="P354" t="str">
        <f>_xlfn.XLOOKUP(Data[[#This Row],[StatusKey]],Status_Key[Status_Key],Status_Key[Name],"")</f>
        <v>In Date</v>
      </c>
    </row>
    <row r="355" spans="1:16" x14ac:dyDescent="0.25">
      <c r="A355" s="1">
        <v>175</v>
      </c>
      <c r="B355" s="1" t="s">
        <v>166</v>
      </c>
      <c r="C355" s="1" t="s">
        <v>167</v>
      </c>
      <c r="D355" s="1" t="s">
        <v>168</v>
      </c>
      <c r="E355" s="1" t="s">
        <v>84</v>
      </c>
      <c r="F355" s="1" t="s">
        <v>65</v>
      </c>
      <c r="G355" s="1" t="s">
        <v>16</v>
      </c>
      <c r="H355" s="1" t="s">
        <v>164</v>
      </c>
      <c r="I355" s="1" t="s">
        <v>60</v>
      </c>
      <c r="J355" s="1" t="s">
        <v>67</v>
      </c>
      <c r="K355" s="1" t="s">
        <v>83</v>
      </c>
      <c r="L355" s="3">
        <v>46730</v>
      </c>
      <c r="M355" s="3">
        <v>46000</v>
      </c>
      <c r="N355">
        <f>_xlfn.XLOOKUP(Data[[#This Row],[Status]],Compliance_Status[Status from OPMS],Compliance_Status[Status_Key],"")</f>
        <v>4</v>
      </c>
      <c r="O355">
        <f>_xlfn.XLOOKUP(Data[[#This Row],[Status]],Compliance_Status[Status from OPMS],Compliance_Status[Has Course booking],"")</f>
        <v>0</v>
      </c>
      <c r="P355" t="str">
        <f>_xlfn.XLOOKUP(Data[[#This Row],[StatusKey]],Status_Key[Status_Key],Status_Key[Name],"")</f>
        <v>In Date</v>
      </c>
    </row>
    <row r="356" spans="1:16" x14ac:dyDescent="0.25">
      <c r="A356" s="1">
        <v>175</v>
      </c>
      <c r="B356" s="1" t="s">
        <v>166</v>
      </c>
      <c r="C356" s="1" t="s">
        <v>167</v>
      </c>
      <c r="D356" s="1" t="s">
        <v>168</v>
      </c>
      <c r="E356" s="1" t="s">
        <v>93</v>
      </c>
      <c r="F356" s="1" t="s">
        <v>65</v>
      </c>
      <c r="G356" s="1" t="s">
        <v>16</v>
      </c>
      <c r="H356" s="1" t="s">
        <v>164</v>
      </c>
      <c r="I356" s="1" t="s">
        <v>60</v>
      </c>
      <c r="J356" s="1" t="s">
        <v>67</v>
      </c>
      <c r="K356" s="1" t="s">
        <v>94</v>
      </c>
      <c r="L356" s="3">
        <v>46641</v>
      </c>
      <c r="M356" s="3">
        <v>45911</v>
      </c>
      <c r="N356">
        <f>_xlfn.XLOOKUP(Data[[#This Row],[Status]],Compliance_Status[Status from OPMS],Compliance_Status[Status_Key],"")</f>
        <v>4</v>
      </c>
      <c r="O356">
        <f>_xlfn.XLOOKUP(Data[[#This Row],[Status]],Compliance_Status[Status from OPMS],Compliance_Status[Has Course booking],"")</f>
        <v>0</v>
      </c>
      <c r="P356" t="str">
        <f>_xlfn.XLOOKUP(Data[[#This Row],[StatusKey]],Status_Key[Status_Key],Status_Key[Name],"")</f>
        <v>In Date</v>
      </c>
    </row>
    <row r="357" spans="1:16" x14ac:dyDescent="0.25">
      <c r="A357" s="1">
        <v>175</v>
      </c>
      <c r="B357" s="1" t="s">
        <v>166</v>
      </c>
      <c r="C357" s="1" t="s">
        <v>167</v>
      </c>
      <c r="D357" s="1" t="s">
        <v>168</v>
      </c>
      <c r="E357" s="1" t="s">
        <v>95</v>
      </c>
      <c r="F357" s="1" t="s">
        <v>65</v>
      </c>
      <c r="G357" s="1" t="s">
        <v>16</v>
      </c>
      <c r="H357" s="1" t="s">
        <v>164</v>
      </c>
      <c r="I357" s="1" t="s">
        <v>60</v>
      </c>
      <c r="J357" s="1" t="s">
        <v>67</v>
      </c>
      <c r="K357" s="1" t="s">
        <v>94</v>
      </c>
      <c r="L357" s="3">
        <v>46641</v>
      </c>
      <c r="M357" s="3">
        <v>45911</v>
      </c>
      <c r="N357">
        <f>_xlfn.XLOOKUP(Data[[#This Row],[Status]],Compliance_Status[Status from OPMS],Compliance_Status[Status_Key],"")</f>
        <v>4</v>
      </c>
      <c r="O357">
        <f>_xlfn.XLOOKUP(Data[[#This Row],[Status]],Compliance_Status[Status from OPMS],Compliance_Status[Has Course booking],"")</f>
        <v>0</v>
      </c>
      <c r="P357" t="str">
        <f>_xlfn.XLOOKUP(Data[[#This Row],[StatusKey]],Status_Key[Status_Key],Status_Key[Name],"")</f>
        <v>In Date</v>
      </c>
    </row>
    <row r="358" spans="1:16" x14ac:dyDescent="0.25">
      <c r="A358" s="1">
        <v>175</v>
      </c>
      <c r="B358" s="1" t="s">
        <v>166</v>
      </c>
      <c r="C358" s="1" t="s">
        <v>167</v>
      </c>
      <c r="D358" s="1" t="s">
        <v>168</v>
      </c>
      <c r="E358" s="1" t="s">
        <v>156</v>
      </c>
      <c r="F358" s="1" t="s">
        <v>65</v>
      </c>
      <c r="G358" s="1" t="s">
        <v>16</v>
      </c>
      <c r="H358" s="1" t="s">
        <v>164</v>
      </c>
      <c r="I358" s="1" t="s">
        <v>60</v>
      </c>
      <c r="J358" s="1" t="s">
        <v>67</v>
      </c>
      <c r="K358" s="1" t="s">
        <v>125</v>
      </c>
      <c r="L358" s="3">
        <v>47596</v>
      </c>
      <c r="M358" s="3">
        <v>45770</v>
      </c>
      <c r="N358">
        <f>_xlfn.XLOOKUP(Data[[#This Row],[Status]],Compliance_Status[Status from OPMS],Compliance_Status[Status_Key],"")</f>
        <v>4</v>
      </c>
      <c r="O358">
        <f>_xlfn.XLOOKUP(Data[[#This Row],[Status]],Compliance_Status[Status from OPMS],Compliance_Status[Has Course booking],"")</f>
        <v>0</v>
      </c>
      <c r="P358" t="str">
        <f>_xlfn.XLOOKUP(Data[[#This Row],[StatusKey]],Status_Key[Status_Key],Status_Key[Name],"")</f>
        <v>In Date</v>
      </c>
    </row>
    <row r="359" spans="1:16" x14ac:dyDescent="0.25">
      <c r="A359" s="1">
        <v>175</v>
      </c>
      <c r="B359" s="1" t="s">
        <v>166</v>
      </c>
      <c r="C359" s="1" t="s">
        <v>167</v>
      </c>
      <c r="D359" s="1" t="s">
        <v>168</v>
      </c>
      <c r="E359" s="1" t="s">
        <v>124</v>
      </c>
      <c r="F359" s="1" t="s">
        <v>72</v>
      </c>
      <c r="G359" s="1" t="s">
        <v>16</v>
      </c>
      <c r="H359" s="1" t="s">
        <v>164</v>
      </c>
      <c r="I359" s="1" t="s">
        <v>60</v>
      </c>
      <c r="J359" s="1"/>
      <c r="K359" s="1" t="s">
        <v>125</v>
      </c>
      <c r="L359" s="3">
        <v>47596</v>
      </c>
      <c r="M359" s="3">
        <v>45770</v>
      </c>
      <c r="N359">
        <f>_xlfn.XLOOKUP(Data[[#This Row],[Status]],Compliance_Status[Status from OPMS],Compliance_Status[Status_Key],"")</f>
        <v>4</v>
      </c>
      <c r="O359">
        <f>_xlfn.XLOOKUP(Data[[#This Row],[Status]],Compliance_Status[Status from OPMS],Compliance_Status[Has Course booking],"")</f>
        <v>0</v>
      </c>
      <c r="P359" t="str">
        <f>_xlfn.XLOOKUP(Data[[#This Row],[StatusKey]],Status_Key[Status_Key],Status_Key[Name],"")</f>
        <v>In Date</v>
      </c>
    </row>
    <row r="360" spans="1:16" x14ac:dyDescent="0.25">
      <c r="A360" s="1">
        <v>175</v>
      </c>
      <c r="B360" s="1" t="s">
        <v>166</v>
      </c>
      <c r="C360" s="1" t="s">
        <v>167</v>
      </c>
      <c r="D360" s="1" t="s">
        <v>168</v>
      </c>
      <c r="E360" s="1" t="s">
        <v>97</v>
      </c>
      <c r="F360" s="1" t="s">
        <v>65</v>
      </c>
      <c r="G360" s="1" t="s">
        <v>16</v>
      </c>
      <c r="H360" s="1" t="s">
        <v>164</v>
      </c>
      <c r="I360" s="1" t="s">
        <v>60</v>
      </c>
      <c r="J360" s="1" t="s">
        <v>67</v>
      </c>
      <c r="K360" s="1" t="s">
        <v>98</v>
      </c>
      <c r="L360" s="3">
        <v>47584</v>
      </c>
      <c r="M360" s="3">
        <v>45758</v>
      </c>
      <c r="N360">
        <f>_xlfn.XLOOKUP(Data[[#This Row],[Status]],Compliance_Status[Status from OPMS],Compliance_Status[Status_Key],"")</f>
        <v>4</v>
      </c>
      <c r="O360">
        <f>_xlfn.XLOOKUP(Data[[#This Row],[Status]],Compliance_Status[Status from OPMS],Compliance_Status[Has Course booking],"")</f>
        <v>0</v>
      </c>
      <c r="P360" t="str">
        <f>_xlfn.XLOOKUP(Data[[#This Row],[StatusKey]],Status_Key[Status_Key],Status_Key[Name],"")</f>
        <v>In Date</v>
      </c>
    </row>
    <row r="361" spans="1:16" x14ac:dyDescent="0.25">
      <c r="A361" s="1">
        <v>175</v>
      </c>
      <c r="B361" s="1" t="s">
        <v>166</v>
      </c>
      <c r="C361" s="1" t="s">
        <v>167</v>
      </c>
      <c r="D361" s="1" t="s">
        <v>168</v>
      </c>
      <c r="E361" s="1" t="s">
        <v>99</v>
      </c>
      <c r="F361" s="1"/>
      <c r="G361" s="1" t="s">
        <v>16</v>
      </c>
      <c r="H361" s="1" t="s">
        <v>164</v>
      </c>
      <c r="I361" s="1" t="s">
        <v>60</v>
      </c>
      <c r="J361" s="1" t="s">
        <v>67</v>
      </c>
      <c r="K361" s="1" t="s">
        <v>98</v>
      </c>
      <c r="L361" s="3">
        <v>46834</v>
      </c>
      <c r="M361" s="3">
        <v>46103</v>
      </c>
      <c r="N361">
        <f>_xlfn.XLOOKUP(Data[[#This Row],[Status]],Compliance_Status[Status from OPMS],Compliance_Status[Status_Key],"")</f>
        <v>4</v>
      </c>
      <c r="O361">
        <f>_xlfn.XLOOKUP(Data[[#This Row],[Status]],Compliance_Status[Status from OPMS],Compliance_Status[Has Course booking],"")</f>
        <v>0</v>
      </c>
      <c r="P361" t="str">
        <f>_xlfn.XLOOKUP(Data[[#This Row],[StatusKey]],Status_Key[Status_Key],Status_Key[Name],"")</f>
        <v>In Date</v>
      </c>
    </row>
    <row r="362" spans="1:16" x14ac:dyDescent="0.25">
      <c r="A362" s="1">
        <v>175</v>
      </c>
      <c r="B362" s="1" t="s">
        <v>166</v>
      </c>
      <c r="C362" s="1" t="s">
        <v>167</v>
      </c>
      <c r="D362" s="1" t="s">
        <v>168</v>
      </c>
      <c r="E362" s="1" t="s">
        <v>100</v>
      </c>
      <c r="F362" s="1" t="s">
        <v>72</v>
      </c>
      <c r="G362" s="1" t="s">
        <v>16</v>
      </c>
      <c r="H362" s="1" t="s">
        <v>164</v>
      </c>
      <c r="I362" s="1" t="s">
        <v>60</v>
      </c>
      <c r="J362" s="1" t="s">
        <v>67</v>
      </c>
      <c r="K362" s="1" t="s">
        <v>98</v>
      </c>
      <c r="L362" s="3">
        <v>46837</v>
      </c>
      <c r="M362" s="3">
        <v>46106</v>
      </c>
      <c r="N362">
        <f>_xlfn.XLOOKUP(Data[[#This Row],[Status]],Compliance_Status[Status from OPMS],Compliance_Status[Status_Key],"")</f>
        <v>4</v>
      </c>
      <c r="O362">
        <f>_xlfn.XLOOKUP(Data[[#This Row],[Status]],Compliance_Status[Status from OPMS],Compliance_Status[Has Course booking],"")</f>
        <v>0</v>
      </c>
      <c r="P362" t="str">
        <f>_xlfn.XLOOKUP(Data[[#This Row],[StatusKey]],Status_Key[Status_Key],Status_Key[Name],"")</f>
        <v>In Date</v>
      </c>
    </row>
    <row r="363" spans="1:16" x14ac:dyDescent="0.25">
      <c r="A363" s="1">
        <v>175</v>
      </c>
      <c r="B363" s="1" t="s">
        <v>166</v>
      </c>
      <c r="C363" s="1" t="s">
        <v>167</v>
      </c>
      <c r="D363" s="1" t="s">
        <v>168</v>
      </c>
      <c r="E363" s="1" t="s">
        <v>101</v>
      </c>
      <c r="F363" s="1" t="s">
        <v>65</v>
      </c>
      <c r="G363" s="1" t="s">
        <v>16</v>
      </c>
      <c r="H363" s="1" t="s">
        <v>164</v>
      </c>
      <c r="I363" s="1" t="s">
        <v>60</v>
      </c>
      <c r="J363" s="1" t="s">
        <v>67</v>
      </c>
      <c r="K363" s="1" t="s">
        <v>102</v>
      </c>
      <c r="L363" s="3" t="s">
        <v>79</v>
      </c>
      <c r="M363" s="3">
        <v>45774</v>
      </c>
      <c r="N363">
        <f>_xlfn.XLOOKUP(Data[[#This Row],[Status]],Compliance_Status[Status from OPMS],Compliance_Status[Status_Key],"")</f>
        <v>4</v>
      </c>
      <c r="O363">
        <f>_xlfn.XLOOKUP(Data[[#This Row],[Status]],Compliance_Status[Status from OPMS],Compliance_Status[Has Course booking],"")</f>
        <v>0</v>
      </c>
      <c r="P363" t="str">
        <f>_xlfn.XLOOKUP(Data[[#This Row],[StatusKey]],Status_Key[Status_Key],Status_Key[Name],"")</f>
        <v>In Date</v>
      </c>
    </row>
    <row r="364" spans="1:16" x14ac:dyDescent="0.25">
      <c r="A364" s="1">
        <v>175</v>
      </c>
      <c r="B364" s="1" t="s">
        <v>166</v>
      </c>
      <c r="C364" s="1" t="s">
        <v>167</v>
      </c>
      <c r="D364" s="1" t="s">
        <v>168</v>
      </c>
      <c r="E364" s="1" t="s">
        <v>103</v>
      </c>
      <c r="F364" s="1" t="s">
        <v>65</v>
      </c>
      <c r="G364" s="1" t="s">
        <v>16</v>
      </c>
      <c r="H364" s="1" t="s">
        <v>164</v>
      </c>
      <c r="I364" s="1" t="s">
        <v>60</v>
      </c>
      <c r="J364" s="1" t="s">
        <v>67</v>
      </c>
      <c r="K364" s="1" t="s">
        <v>102</v>
      </c>
      <c r="L364" s="3">
        <v>46730</v>
      </c>
      <c r="M364" s="3">
        <v>46000</v>
      </c>
      <c r="N364">
        <f>_xlfn.XLOOKUP(Data[[#This Row],[Status]],Compliance_Status[Status from OPMS],Compliance_Status[Status_Key],"")</f>
        <v>4</v>
      </c>
      <c r="O364">
        <f>_xlfn.XLOOKUP(Data[[#This Row],[Status]],Compliance_Status[Status from OPMS],Compliance_Status[Has Course booking],"")</f>
        <v>0</v>
      </c>
      <c r="P364" t="str">
        <f>_xlfn.XLOOKUP(Data[[#This Row],[StatusKey]],Status_Key[Status_Key],Status_Key[Name],"")</f>
        <v>In Date</v>
      </c>
    </row>
    <row r="365" spans="1:16" x14ac:dyDescent="0.25">
      <c r="A365" s="1">
        <v>175</v>
      </c>
      <c r="B365" s="1" t="s">
        <v>166</v>
      </c>
      <c r="C365" s="1" t="s">
        <v>167</v>
      </c>
      <c r="D365" s="1" t="s">
        <v>168</v>
      </c>
      <c r="E365" s="1" t="s">
        <v>104</v>
      </c>
      <c r="F365" s="1" t="s">
        <v>65</v>
      </c>
      <c r="G365" s="1" t="s">
        <v>16</v>
      </c>
      <c r="H365" s="1" t="s">
        <v>164</v>
      </c>
      <c r="I365" s="1" t="s">
        <v>60</v>
      </c>
      <c r="J365" s="1" t="s">
        <v>67</v>
      </c>
      <c r="K365" s="1" t="s">
        <v>105</v>
      </c>
      <c r="L365" s="3">
        <v>46483</v>
      </c>
      <c r="M365" s="3">
        <v>45753</v>
      </c>
      <c r="N365">
        <f>_xlfn.XLOOKUP(Data[[#This Row],[Status]],Compliance_Status[Status from OPMS],Compliance_Status[Status_Key],"")</f>
        <v>4</v>
      </c>
      <c r="O365">
        <f>_xlfn.XLOOKUP(Data[[#This Row],[Status]],Compliance_Status[Status from OPMS],Compliance_Status[Has Course booking],"")</f>
        <v>0</v>
      </c>
      <c r="P365" t="str">
        <f>_xlfn.XLOOKUP(Data[[#This Row],[StatusKey]],Status_Key[Status_Key],Status_Key[Name],"")</f>
        <v>In Date</v>
      </c>
    </row>
    <row r="366" spans="1:16" x14ac:dyDescent="0.25">
      <c r="A366" s="1">
        <v>175</v>
      </c>
      <c r="B366" s="1" t="s">
        <v>166</v>
      </c>
      <c r="C366" s="1" t="s">
        <v>167</v>
      </c>
      <c r="D366" s="1" t="s">
        <v>168</v>
      </c>
      <c r="E366" s="1" t="s">
        <v>106</v>
      </c>
      <c r="F366" s="1" t="s">
        <v>65</v>
      </c>
      <c r="G366" s="1" t="s">
        <v>16</v>
      </c>
      <c r="H366" s="1" t="s">
        <v>164</v>
      </c>
      <c r="I366" s="1" t="s">
        <v>60</v>
      </c>
      <c r="J366" s="1" t="s">
        <v>67</v>
      </c>
      <c r="K366" s="1" t="s">
        <v>105</v>
      </c>
      <c r="L366" s="3">
        <v>47583</v>
      </c>
      <c r="M366" s="3">
        <v>45757</v>
      </c>
      <c r="N366">
        <f>_xlfn.XLOOKUP(Data[[#This Row],[Status]],Compliance_Status[Status from OPMS],Compliance_Status[Status_Key],"")</f>
        <v>4</v>
      </c>
      <c r="O366">
        <f>_xlfn.XLOOKUP(Data[[#This Row],[Status]],Compliance_Status[Status from OPMS],Compliance_Status[Has Course booking],"")</f>
        <v>0</v>
      </c>
      <c r="P366" t="str">
        <f>_xlfn.XLOOKUP(Data[[#This Row],[StatusKey]],Status_Key[Status_Key],Status_Key[Name],"")</f>
        <v>In Date</v>
      </c>
    </row>
    <row r="367" spans="1:16" x14ac:dyDescent="0.25">
      <c r="A367" s="1">
        <v>175</v>
      </c>
      <c r="B367" s="1" t="s">
        <v>166</v>
      </c>
      <c r="C367" s="1" t="s">
        <v>167</v>
      </c>
      <c r="D367" s="1" t="s">
        <v>168</v>
      </c>
      <c r="E367" s="1" t="s">
        <v>107</v>
      </c>
      <c r="F367" s="1" t="s">
        <v>65</v>
      </c>
      <c r="G367" s="1" t="s">
        <v>16</v>
      </c>
      <c r="H367" s="1" t="s">
        <v>164</v>
      </c>
      <c r="I367" s="1" t="s">
        <v>60</v>
      </c>
      <c r="J367" s="1" t="s">
        <v>67</v>
      </c>
      <c r="K367" s="1" t="s">
        <v>105</v>
      </c>
      <c r="L367" s="3">
        <v>46853</v>
      </c>
      <c r="M367" s="3">
        <v>45758</v>
      </c>
      <c r="N367">
        <f>_xlfn.XLOOKUP(Data[[#This Row],[Status]],Compliance_Status[Status from OPMS],Compliance_Status[Status_Key],"")</f>
        <v>4</v>
      </c>
      <c r="O367">
        <f>_xlfn.XLOOKUP(Data[[#This Row],[Status]],Compliance_Status[Status from OPMS],Compliance_Status[Has Course booking],"")</f>
        <v>0</v>
      </c>
      <c r="P367" t="str">
        <f>_xlfn.XLOOKUP(Data[[#This Row],[StatusKey]],Status_Key[Status_Key],Status_Key[Name],"")</f>
        <v>In Date</v>
      </c>
    </row>
    <row r="368" spans="1:16" x14ac:dyDescent="0.25">
      <c r="A368" s="1">
        <v>175</v>
      </c>
      <c r="B368" s="1" t="s">
        <v>166</v>
      </c>
      <c r="C368" s="1" t="s">
        <v>167</v>
      </c>
      <c r="D368" s="1" t="s">
        <v>168</v>
      </c>
      <c r="E368" s="1" t="s">
        <v>108</v>
      </c>
      <c r="F368" s="1" t="s">
        <v>65</v>
      </c>
      <c r="G368" s="1" t="s">
        <v>16</v>
      </c>
      <c r="H368" s="1" t="s">
        <v>164</v>
      </c>
      <c r="I368" s="1" t="s">
        <v>60</v>
      </c>
      <c r="J368" s="1" t="s">
        <v>67</v>
      </c>
      <c r="K368" s="1" t="s">
        <v>105</v>
      </c>
      <c r="L368" s="3">
        <v>47332</v>
      </c>
      <c r="M368" s="3">
        <v>46236</v>
      </c>
      <c r="N368">
        <f>_xlfn.XLOOKUP(Data[[#This Row],[Status]],Compliance_Status[Status from OPMS],Compliance_Status[Status_Key],"")</f>
        <v>4</v>
      </c>
      <c r="O368">
        <f>_xlfn.XLOOKUP(Data[[#This Row],[Status]],Compliance_Status[Status from OPMS],Compliance_Status[Has Course booking],"")</f>
        <v>0</v>
      </c>
      <c r="P368" t="str">
        <f>_xlfn.XLOOKUP(Data[[#This Row],[StatusKey]],Status_Key[Status_Key],Status_Key[Name],"")</f>
        <v>In Date</v>
      </c>
    </row>
    <row r="369" spans="1:16" x14ac:dyDescent="0.25">
      <c r="A369" s="1">
        <v>175</v>
      </c>
      <c r="B369" s="1" t="s">
        <v>166</v>
      </c>
      <c r="C369" s="1" t="s">
        <v>167</v>
      </c>
      <c r="D369" s="1" t="s">
        <v>168</v>
      </c>
      <c r="E369" s="1" t="s">
        <v>109</v>
      </c>
      <c r="F369" s="1" t="s">
        <v>65</v>
      </c>
      <c r="G369" s="1" t="s">
        <v>16</v>
      </c>
      <c r="H369" s="1" t="s">
        <v>164</v>
      </c>
      <c r="I369" s="1" t="s">
        <v>60</v>
      </c>
      <c r="J369" s="1" t="s">
        <v>67</v>
      </c>
      <c r="K369" s="1" t="s">
        <v>105</v>
      </c>
      <c r="L369" s="3">
        <v>46852</v>
      </c>
      <c r="M369" s="3">
        <v>46121</v>
      </c>
      <c r="N369">
        <f>_xlfn.XLOOKUP(Data[[#This Row],[Status]],Compliance_Status[Status from OPMS],Compliance_Status[Status_Key],"")</f>
        <v>4</v>
      </c>
      <c r="O369">
        <f>_xlfn.XLOOKUP(Data[[#This Row],[Status]],Compliance_Status[Status from OPMS],Compliance_Status[Has Course booking],"")</f>
        <v>0</v>
      </c>
      <c r="P369" t="str">
        <f>_xlfn.XLOOKUP(Data[[#This Row],[StatusKey]],Status_Key[Status_Key],Status_Key[Name],"")</f>
        <v>In Date</v>
      </c>
    </row>
    <row r="370" spans="1:16" x14ac:dyDescent="0.25">
      <c r="A370" s="1">
        <v>175</v>
      </c>
      <c r="B370" s="1" t="s">
        <v>166</v>
      </c>
      <c r="C370" s="1" t="s">
        <v>167</v>
      </c>
      <c r="D370" s="1" t="s">
        <v>168</v>
      </c>
      <c r="E370" s="1" t="s">
        <v>110</v>
      </c>
      <c r="F370" s="1" t="s">
        <v>65</v>
      </c>
      <c r="G370" s="1" t="s">
        <v>16</v>
      </c>
      <c r="H370" s="1" t="s">
        <v>164</v>
      </c>
      <c r="I370" s="1" t="s">
        <v>60</v>
      </c>
      <c r="J370" s="1" t="s">
        <v>67</v>
      </c>
      <c r="K370" s="1" t="s">
        <v>105</v>
      </c>
      <c r="L370" s="3" t="s">
        <v>79</v>
      </c>
      <c r="M370" s="3">
        <v>45758</v>
      </c>
      <c r="N370">
        <f>_xlfn.XLOOKUP(Data[[#This Row],[Status]],Compliance_Status[Status from OPMS],Compliance_Status[Status_Key],"")</f>
        <v>4</v>
      </c>
      <c r="O370">
        <f>_xlfn.XLOOKUP(Data[[#This Row],[Status]],Compliance_Status[Status from OPMS],Compliance_Status[Has Course booking],"")</f>
        <v>0</v>
      </c>
      <c r="P370" t="str">
        <f>_xlfn.XLOOKUP(Data[[#This Row],[StatusKey]],Status_Key[Status_Key],Status_Key[Name],"")</f>
        <v>In Date</v>
      </c>
    </row>
    <row r="371" spans="1:16" x14ac:dyDescent="0.25">
      <c r="A371" s="1">
        <v>175</v>
      </c>
      <c r="B371" s="1" t="s">
        <v>166</v>
      </c>
      <c r="C371" s="1" t="s">
        <v>167</v>
      </c>
      <c r="D371" s="1" t="s">
        <v>168</v>
      </c>
      <c r="E371" s="1" t="s">
        <v>111</v>
      </c>
      <c r="F371" s="1" t="s">
        <v>65</v>
      </c>
      <c r="G371" s="1" t="s">
        <v>16</v>
      </c>
      <c r="H371" s="1" t="s">
        <v>164</v>
      </c>
      <c r="I371" s="1" t="s">
        <v>60</v>
      </c>
      <c r="J371" s="1" t="s">
        <v>67</v>
      </c>
      <c r="K371" s="1" t="s">
        <v>105</v>
      </c>
      <c r="L371" s="3">
        <v>46783</v>
      </c>
      <c r="M371" s="3">
        <v>46053</v>
      </c>
      <c r="N371">
        <f>_xlfn.XLOOKUP(Data[[#This Row],[Status]],Compliance_Status[Status from OPMS],Compliance_Status[Status_Key],"")</f>
        <v>4</v>
      </c>
      <c r="O371">
        <f>_xlfn.XLOOKUP(Data[[#This Row],[Status]],Compliance_Status[Status from OPMS],Compliance_Status[Has Course booking],"")</f>
        <v>0</v>
      </c>
      <c r="P371" t="str">
        <f>_xlfn.XLOOKUP(Data[[#This Row],[StatusKey]],Status_Key[Status_Key],Status_Key[Name],"")</f>
        <v>In Date</v>
      </c>
    </row>
    <row r="372" spans="1:16" x14ac:dyDescent="0.25">
      <c r="A372" s="1">
        <v>175</v>
      </c>
      <c r="B372" s="1" t="s">
        <v>166</v>
      </c>
      <c r="C372" s="1" t="s">
        <v>167</v>
      </c>
      <c r="D372" s="1" t="s">
        <v>168</v>
      </c>
      <c r="E372" s="1" t="s">
        <v>112</v>
      </c>
      <c r="F372" s="1" t="s">
        <v>65</v>
      </c>
      <c r="G372" s="1" t="s">
        <v>16</v>
      </c>
      <c r="H372" s="1" t="s">
        <v>164</v>
      </c>
      <c r="I372" s="1" t="s">
        <v>60</v>
      </c>
      <c r="J372" s="1" t="s">
        <v>67</v>
      </c>
      <c r="K372" s="1" t="s">
        <v>105</v>
      </c>
      <c r="L372" s="3">
        <v>46753</v>
      </c>
      <c r="M372" s="3">
        <v>46023</v>
      </c>
      <c r="N372">
        <f>_xlfn.XLOOKUP(Data[[#This Row],[Status]],Compliance_Status[Status from OPMS],Compliance_Status[Status_Key],"")</f>
        <v>4</v>
      </c>
      <c r="O372">
        <f>_xlfn.XLOOKUP(Data[[#This Row],[Status]],Compliance_Status[Status from OPMS],Compliance_Status[Has Course booking],"")</f>
        <v>0</v>
      </c>
      <c r="P372" t="str">
        <f>_xlfn.XLOOKUP(Data[[#This Row],[StatusKey]],Status_Key[Status_Key],Status_Key[Name],"")</f>
        <v>In Date</v>
      </c>
    </row>
    <row r="373" spans="1:16" x14ac:dyDescent="0.25">
      <c r="A373" s="1">
        <v>175</v>
      </c>
      <c r="B373" s="1" t="s">
        <v>166</v>
      </c>
      <c r="C373" s="1" t="s">
        <v>167</v>
      </c>
      <c r="D373" s="1" t="s">
        <v>168</v>
      </c>
      <c r="E373" s="1" t="s">
        <v>113</v>
      </c>
      <c r="F373" s="1" t="s">
        <v>65</v>
      </c>
      <c r="G373" s="1" t="s">
        <v>16</v>
      </c>
      <c r="H373" s="1" t="s">
        <v>164</v>
      </c>
      <c r="I373" s="1" t="s">
        <v>60</v>
      </c>
      <c r="J373" s="1" t="s">
        <v>67</v>
      </c>
      <c r="K373" s="1" t="s">
        <v>105</v>
      </c>
      <c r="L373" s="3">
        <v>46783</v>
      </c>
      <c r="M373" s="3">
        <v>46053</v>
      </c>
      <c r="N373">
        <f>_xlfn.XLOOKUP(Data[[#This Row],[Status]],Compliance_Status[Status from OPMS],Compliance_Status[Status_Key],"")</f>
        <v>4</v>
      </c>
      <c r="O373">
        <f>_xlfn.XLOOKUP(Data[[#This Row],[Status]],Compliance_Status[Status from OPMS],Compliance_Status[Has Course booking],"")</f>
        <v>0</v>
      </c>
      <c r="P373" t="str">
        <f>_xlfn.XLOOKUP(Data[[#This Row],[StatusKey]],Status_Key[Status_Key],Status_Key[Name],"")</f>
        <v>In Date</v>
      </c>
    </row>
    <row r="374" spans="1:16" x14ac:dyDescent="0.25">
      <c r="A374" s="1">
        <v>169</v>
      </c>
      <c r="B374" s="1" t="s">
        <v>169</v>
      </c>
      <c r="C374" s="1" t="s">
        <v>170</v>
      </c>
      <c r="D374" s="1" t="s">
        <v>171</v>
      </c>
      <c r="E374" s="1" t="s">
        <v>163</v>
      </c>
      <c r="F374" s="1" t="s">
        <v>65</v>
      </c>
      <c r="G374" s="1" t="s">
        <v>16</v>
      </c>
      <c r="H374" s="1" t="s">
        <v>164</v>
      </c>
      <c r="I374" s="1" t="s">
        <v>60</v>
      </c>
      <c r="J374" s="1"/>
      <c r="K374" s="1" t="s">
        <v>68</v>
      </c>
      <c r="L374" s="3">
        <v>47787</v>
      </c>
      <c r="M374" s="3">
        <v>45962</v>
      </c>
      <c r="N374">
        <f>_xlfn.XLOOKUP(Data[[#This Row],[Status]],Compliance_Status[Status from OPMS],Compliance_Status[Status_Key],"")</f>
        <v>4</v>
      </c>
      <c r="O374">
        <f>_xlfn.XLOOKUP(Data[[#This Row],[Status]],Compliance_Status[Status from OPMS],Compliance_Status[Has Course booking],"")</f>
        <v>0</v>
      </c>
      <c r="P374" t="str">
        <f>_xlfn.XLOOKUP(Data[[#This Row],[StatusKey]],Status_Key[Status_Key],Status_Key[Name],"")</f>
        <v>In Date</v>
      </c>
    </row>
    <row r="375" spans="1:16" x14ac:dyDescent="0.25">
      <c r="A375" s="1">
        <v>169</v>
      </c>
      <c r="B375" s="1" t="s">
        <v>169</v>
      </c>
      <c r="C375" s="1" t="s">
        <v>170</v>
      </c>
      <c r="D375" s="1" t="s">
        <v>171</v>
      </c>
      <c r="E375" s="1" t="s">
        <v>136</v>
      </c>
      <c r="F375" s="1"/>
      <c r="G375" s="1" t="s">
        <v>16</v>
      </c>
      <c r="H375" s="1" t="s">
        <v>164</v>
      </c>
      <c r="I375" s="1" t="s">
        <v>60</v>
      </c>
      <c r="J375" s="1" t="s">
        <v>67</v>
      </c>
      <c r="K375" s="1" t="s">
        <v>68</v>
      </c>
      <c r="L375" s="3">
        <v>47693</v>
      </c>
      <c r="M375" s="3">
        <v>45868</v>
      </c>
      <c r="N375">
        <f>_xlfn.XLOOKUP(Data[[#This Row],[Status]],Compliance_Status[Status from OPMS],Compliance_Status[Status_Key],"")</f>
        <v>4</v>
      </c>
      <c r="O375">
        <f>_xlfn.XLOOKUP(Data[[#This Row],[Status]],Compliance_Status[Status from OPMS],Compliance_Status[Has Course booking],"")</f>
        <v>0</v>
      </c>
      <c r="P375" t="str">
        <f>_xlfn.XLOOKUP(Data[[#This Row],[StatusKey]],Status_Key[Status_Key],Status_Key[Name],"")</f>
        <v>In Date</v>
      </c>
    </row>
    <row r="376" spans="1:16" x14ac:dyDescent="0.25">
      <c r="A376" s="1">
        <v>169</v>
      </c>
      <c r="B376" s="1" t="s">
        <v>169</v>
      </c>
      <c r="C376" s="1" t="s">
        <v>170</v>
      </c>
      <c r="D376" s="1" t="s">
        <v>171</v>
      </c>
      <c r="E376" s="1" t="s">
        <v>131</v>
      </c>
      <c r="F376" s="1" t="s">
        <v>72</v>
      </c>
      <c r="G376" s="1" t="s">
        <v>16</v>
      </c>
      <c r="H376" s="1" t="s">
        <v>164</v>
      </c>
      <c r="I376" s="1" t="s">
        <v>60</v>
      </c>
      <c r="J376" s="1"/>
      <c r="K376" s="1" t="s">
        <v>68</v>
      </c>
      <c r="L376" s="3">
        <v>47729</v>
      </c>
      <c r="M376" s="3">
        <v>45904</v>
      </c>
      <c r="N376">
        <f>_xlfn.XLOOKUP(Data[[#This Row],[Status]],Compliance_Status[Status from OPMS],Compliance_Status[Status_Key],"")</f>
        <v>4</v>
      </c>
      <c r="O376">
        <f>_xlfn.XLOOKUP(Data[[#This Row],[Status]],Compliance_Status[Status from OPMS],Compliance_Status[Has Course booking],"")</f>
        <v>0</v>
      </c>
      <c r="P376" t="str">
        <f>_xlfn.XLOOKUP(Data[[#This Row],[StatusKey]],Status_Key[Status_Key],Status_Key[Name],"")</f>
        <v>In Date</v>
      </c>
    </row>
    <row r="377" spans="1:16" x14ac:dyDescent="0.25">
      <c r="A377" s="1">
        <v>169</v>
      </c>
      <c r="B377" s="1" t="s">
        <v>169</v>
      </c>
      <c r="C377" s="1" t="s">
        <v>170</v>
      </c>
      <c r="D377" s="1" t="s">
        <v>171</v>
      </c>
      <c r="E377" s="1" t="s">
        <v>71</v>
      </c>
      <c r="F377" s="1" t="s">
        <v>72</v>
      </c>
      <c r="G377" s="1" t="s">
        <v>18</v>
      </c>
      <c r="H377" s="1" t="s">
        <v>164</v>
      </c>
      <c r="I377" s="1" t="s">
        <v>60</v>
      </c>
      <c r="J377" s="1"/>
      <c r="K377" s="1" t="s">
        <v>68</v>
      </c>
      <c r="L377" s="3"/>
      <c r="M377" s="3"/>
      <c r="N377">
        <f>_xlfn.XLOOKUP(Data[[#This Row],[Status]],Compliance_Status[Status from OPMS],Compliance_Status[Status_Key],"")</f>
        <v>2</v>
      </c>
      <c r="O377">
        <f>_xlfn.XLOOKUP(Data[[#This Row],[Status]],Compliance_Status[Status from OPMS],Compliance_Status[Has Course booking],"")</f>
        <v>0</v>
      </c>
      <c r="P377" t="str">
        <f>_xlfn.XLOOKUP(Data[[#This Row],[StatusKey]],Status_Key[Status_Key],Status_Key[Name],"")</f>
        <v>Outstanding</v>
      </c>
    </row>
    <row r="378" spans="1:16" x14ac:dyDescent="0.25">
      <c r="A378" s="1">
        <v>169</v>
      </c>
      <c r="B378" s="1" t="s">
        <v>169</v>
      </c>
      <c r="C378" s="1" t="s">
        <v>170</v>
      </c>
      <c r="D378" s="1" t="s">
        <v>171</v>
      </c>
      <c r="E378" s="1" t="s">
        <v>73</v>
      </c>
      <c r="F378" s="1" t="s">
        <v>65</v>
      </c>
      <c r="G378" s="1" t="s">
        <v>16</v>
      </c>
      <c r="H378" s="1" t="s">
        <v>164</v>
      </c>
      <c r="I378" s="1" t="s">
        <v>60</v>
      </c>
      <c r="J378" s="1" t="s">
        <v>67</v>
      </c>
      <c r="K378" s="1" t="s">
        <v>68</v>
      </c>
      <c r="L378" s="3">
        <v>46828</v>
      </c>
      <c r="M378" s="3">
        <v>46098</v>
      </c>
      <c r="N378">
        <f>_xlfn.XLOOKUP(Data[[#This Row],[Status]],Compliance_Status[Status from OPMS],Compliance_Status[Status_Key],"")</f>
        <v>4</v>
      </c>
      <c r="O378">
        <f>_xlfn.XLOOKUP(Data[[#This Row],[Status]],Compliance_Status[Status from OPMS],Compliance_Status[Has Course booking],"")</f>
        <v>0</v>
      </c>
      <c r="P378" t="str">
        <f>_xlfn.XLOOKUP(Data[[#This Row],[StatusKey]],Status_Key[Status_Key],Status_Key[Name],"")</f>
        <v>In Date</v>
      </c>
    </row>
    <row r="379" spans="1:16" x14ac:dyDescent="0.25">
      <c r="A379" s="1">
        <v>169</v>
      </c>
      <c r="B379" s="1" t="s">
        <v>169</v>
      </c>
      <c r="C379" s="1" t="s">
        <v>170</v>
      </c>
      <c r="D379" s="1" t="s">
        <v>171</v>
      </c>
      <c r="E379" s="1" t="s">
        <v>74</v>
      </c>
      <c r="F379" s="1" t="s">
        <v>65</v>
      </c>
      <c r="G379" s="1" t="s">
        <v>16</v>
      </c>
      <c r="H379" s="1" t="s">
        <v>164</v>
      </c>
      <c r="I379" s="1" t="s">
        <v>60</v>
      </c>
      <c r="J379" s="1" t="s">
        <v>67</v>
      </c>
      <c r="K379" s="1" t="s">
        <v>68</v>
      </c>
      <c r="L379" s="3">
        <v>47238</v>
      </c>
      <c r="M379" s="3">
        <v>46142</v>
      </c>
      <c r="N379">
        <f>_xlfn.XLOOKUP(Data[[#This Row],[Status]],Compliance_Status[Status from OPMS],Compliance_Status[Status_Key],"")</f>
        <v>4</v>
      </c>
      <c r="O379">
        <f>_xlfn.XLOOKUP(Data[[#This Row],[Status]],Compliance_Status[Status from OPMS],Compliance_Status[Has Course booking],"")</f>
        <v>0</v>
      </c>
      <c r="P379" t="str">
        <f>_xlfn.XLOOKUP(Data[[#This Row],[StatusKey]],Status_Key[Status_Key],Status_Key[Name],"")</f>
        <v>In Date</v>
      </c>
    </row>
    <row r="380" spans="1:16" x14ac:dyDescent="0.25">
      <c r="A380" s="1">
        <v>169</v>
      </c>
      <c r="B380" s="1" t="s">
        <v>169</v>
      </c>
      <c r="C380" s="1" t="s">
        <v>170</v>
      </c>
      <c r="D380" s="1" t="s">
        <v>171</v>
      </c>
      <c r="E380" s="1" t="s">
        <v>75</v>
      </c>
      <c r="F380" s="1" t="s">
        <v>72</v>
      </c>
      <c r="G380" s="1" t="s">
        <v>16</v>
      </c>
      <c r="H380" s="1" t="s">
        <v>164</v>
      </c>
      <c r="I380" s="1" t="s">
        <v>60</v>
      </c>
      <c r="J380" s="1" t="s">
        <v>67</v>
      </c>
      <c r="K380" s="1" t="s">
        <v>68</v>
      </c>
      <c r="L380" s="3">
        <v>46507</v>
      </c>
      <c r="M380" s="3">
        <v>46142</v>
      </c>
      <c r="N380">
        <f>_xlfn.XLOOKUP(Data[[#This Row],[Status]],Compliance_Status[Status from OPMS],Compliance_Status[Status_Key],"")</f>
        <v>4</v>
      </c>
      <c r="O380">
        <f>_xlfn.XLOOKUP(Data[[#This Row],[Status]],Compliance_Status[Status from OPMS],Compliance_Status[Has Course booking],"")</f>
        <v>0</v>
      </c>
      <c r="P380" t="str">
        <f>_xlfn.XLOOKUP(Data[[#This Row],[StatusKey]],Status_Key[Status_Key],Status_Key[Name],"")</f>
        <v>In Date</v>
      </c>
    </row>
    <row r="381" spans="1:16" x14ac:dyDescent="0.25">
      <c r="A381" s="1">
        <v>169</v>
      </c>
      <c r="B381" s="1" t="s">
        <v>169</v>
      </c>
      <c r="C381" s="1" t="s">
        <v>170</v>
      </c>
      <c r="D381" s="1" t="s">
        <v>171</v>
      </c>
      <c r="E381" s="1" t="s">
        <v>165</v>
      </c>
      <c r="F381" s="1" t="s">
        <v>72</v>
      </c>
      <c r="G381" s="1" t="s">
        <v>16</v>
      </c>
      <c r="H381" s="1" t="s">
        <v>164</v>
      </c>
      <c r="I381" s="1" t="s">
        <v>60</v>
      </c>
      <c r="J381" s="1" t="s">
        <v>67</v>
      </c>
      <c r="K381" s="1" t="s">
        <v>68</v>
      </c>
      <c r="L381" s="3" t="s">
        <v>79</v>
      </c>
      <c r="M381" s="3">
        <v>45341</v>
      </c>
      <c r="N381">
        <f>_xlfn.XLOOKUP(Data[[#This Row],[Status]],Compliance_Status[Status from OPMS],Compliance_Status[Status_Key],"")</f>
        <v>4</v>
      </c>
      <c r="O381">
        <f>_xlfn.XLOOKUP(Data[[#This Row],[Status]],Compliance_Status[Status from OPMS],Compliance_Status[Has Course booking],"")</f>
        <v>0</v>
      </c>
      <c r="P381" t="str">
        <f>_xlfn.XLOOKUP(Data[[#This Row],[StatusKey]],Status_Key[Status_Key],Status_Key[Name],"")</f>
        <v>In Date</v>
      </c>
    </row>
    <row r="382" spans="1:16" x14ac:dyDescent="0.25">
      <c r="A382" s="1">
        <v>169</v>
      </c>
      <c r="B382" s="1" t="s">
        <v>169</v>
      </c>
      <c r="C382" s="1" t="s">
        <v>170</v>
      </c>
      <c r="D382" s="1" t="s">
        <v>171</v>
      </c>
      <c r="E382" s="1" t="s">
        <v>76</v>
      </c>
      <c r="F382" s="1" t="s">
        <v>65</v>
      </c>
      <c r="G382" s="1" t="s">
        <v>16</v>
      </c>
      <c r="H382" s="1" t="s">
        <v>164</v>
      </c>
      <c r="I382" s="1" t="s">
        <v>60</v>
      </c>
      <c r="J382" s="1" t="s">
        <v>67</v>
      </c>
      <c r="K382" s="1" t="s">
        <v>77</v>
      </c>
      <c r="L382" s="3">
        <v>47514</v>
      </c>
      <c r="M382" s="3">
        <v>46053</v>
      </c>
      <c r="N382">
        <f>_xlfn.XLOOKUP(Data[[#This Row],[Status]],Compliance_Status[Status from OPMS],Compliance_Status[Status_Key],"")</f>
        <v>4</v>
      </c>
      <c r="O382">
        <f>_xlfn.XLOOKUP(Data[[#This Row],[Status]],Compliance_Status[Status from OPMS],Compliance_Status[Has Course booking],"")</f>
        <v>0</v>
      </c>
      <c r="P382" t="str">
        <f>_xlfn.XLOOKUP(Data[[#This Row],[StatusKey]],Status_Key[Status_Key],Status_Key[Name],"")</f>
        <v>In Date</v>
      </c>
    </row>
    <row r="383" spans="1:16" x14ac:dyDescent="0.25">
      <c r="A383" s="1">
        <v>169</v>
      </c>
      <c r="B383" s="1" t="s">
        <v>169</v>
      </c>
      <c r="C383" s="1" t="s">
        <v>170</v>
      </c>
      <c r="D383" s="1" t="s">
        <v>171</v>
      </c>
      <c r="E383" s="1" t="s">
        <v>80</v>
      </c>
      <c r="F383" s="1" t="s">
        <v>65</v>
      </c>
      <c r="G383" s="1" t="s">
        <v>16</v>
      </c>
      <c r="H383" s="1" t="s">
        <v>164</v>
      </c>
      <c r="I383" s="1" t="s">
        <v>60</v>
      </c>
      <c r="J383" s="1" t="s">
        <v>67</v>
      </c>
      <c r="K383" s="1" t="s">
        <v>77</v>
      </c>
      <c r="L383" s="3" t="s">
        <v>79</v>
      </c>
      <c r="M383" s="3">
        <v>45391</v>
      </c>
      <c r="N383">
        <f>_xlfn.XLOOKUP(Data[[#This Row],[Status]],Compliance_Status[Status from OPMS],Compliance_Status[Status_Key],"")</f>
        <v>4</v>
      </c>
      <c r="O383">
        <f>_xlfn.XLOOKUP(Data[[#This Row],[Status]],Compliance_Status[Status from OPMS],Compliance_Status[Has Course booking],"")</f>
        <v>0</v>
      </c>
      <c r="P383" t="str">
        <f>_xlfn.XLOOKUP(Data[[#This Row],[StatusKey]],Status_Key[Status_Key],Status_Key[Name],"")</f>
        <v>In Date</v>
      </c>
    </row>
    <row r="384" spans="1:16" x14ac:dyDescent="0.25">
      <c r="A384" s="1">
        <v>169</v>
      </c>
      <c r="B384" s="1" t="s">
        <v>169</v>
      </c>
      <c r="C384" s="1" t="s">
        <v>170</v>
      </c>
      <c r="D384" s="1" t="s">
        <v>171</v>
      </c>
      <c r="E384" s="1" t="s">
        <v>84</v>
      </c>
      <c r="F384" s="1" t="s">
        <v>65</v>
      </c>
      <c r="G384" s="1" t="s">
        <v>16</v>
      </c>
      <c r="H384" s="1" t="s">
        <v>164</v>
      </c>
      <c r="I384" s="1" t="s">
        <v>60</v>
      </c>
      <c r="J384" s="1" t="s">
        <v>67</v>
      </c>
      <c r="K384" s="1" t="s">
        <v>83</v>
      </c>
      <c r="L384" s="3">
        <v>46727</v>
      </c>
      <c r="M384" s="3">
        <v>45997</v>
      </c>
      <c r="N384">
        <f>_xlfn.XLOOKUP(Data[[#This Row],[Status]],Compliance_Status[Status from OPMS],Compliance_Status[Status_Key],"")</f>
        <v>4</v>
      </c>
      <c r="O384">
        <f>_xlfn.XLOOKUP(Data[[#This Row],[Status]],Compliance_Status[Status from OPMS],Compliance_Status[Has Course booking],"")</f>
        <v>0</v>
      </c>
      <c r="P384" t="str">
        <f>_xlfn.XLOOKUP(Data[[#This Row],[StatusKey]],Status_Key[Status_Key],Status_Key[Name],"")</f>
        <v>In Date</v>
      </c>
    </row>
    <row r="385" spans="1:16" x14ac:dyDescent="0.25">
      <c r="A385" s="1">
        <v>169</v>
      </c>
      <c r="B385" s="1" t="s">
        <v>169</v>
      </c>
      <c r="C385" s="1" t="s">
        <v>170</v>
      </c>
      <c r="D385" s="1" t="s">
        <v>171</v>
      </c>
      <c r="E385" s="1" t="s">
        <v>93</v>
      </c>
      <c r="F385" s="1" t="s">
        <v>65</v>
      </c>
      <c r="G385" s="1" t="s">
        <v>16</v>
      </c>
      <c r="H385" s="1" t="s">
        <v>164</v>
      </c>
      <c r="I385" s="1" t="s">
        <v>60</v>
      </c>
      <c r="J385" s="1" t="s">
        <v>67</v>
      </c>
      <c r="K385" s="1" t="s">
        <v>94</v>
      </c>
      <c r="L385" s="3">
        <v>46636</v>
      </c>
      <c r="M385" s="3">
        <v>45906</v>
      </c>
      <c r="N385">
        <f>_xlfn.XLOOKUP(Data[[#This Row],[Status]],Compliance_Status[Status from OPMS],Compliance_Status[Status_Key],"")</f>
        <v>4</v>
      </c>
      <c r="O385">
        <f>_xlfn.XLOOKUP(Data[[#This Row],[Status]],Compliance_Status[Status from OPMS],Compliance_Status[Has Course booking],"")</f>
        <v>0</v>
      </c>
      <c r="P385" t="str">
        <f>_xlfn.XLOOKUP(Data[[#This Row],[StatusKey]],Status_Key[Status_Key],Status_Key[Name],"")</f>
        <v>In Date</v>
      </c>
    </row>
    <row r="386" spans="1:16" x14ac:dyDescent="0.25">
      <c r="A386" s="1">
        <v>169</v>
      </c>
      <c r="B386" s="1" t="s">
        <v>169</v>
      </c>
      <c r="C386" s="1" t="s">
        <v>170</v>
      </c>
      <c r="D386" s="1" t="s">
        <v>171</v>
      </c>
      <c r="E386" s="1" t="s">
        <v>95</v>
      </c>
      <c r="F386" s="1" t="s">
        <v>65</v>
      </c>
      <c r="G386" s="1" t="s">
        <v>16</v>
      </c>
      <c r="H386" s="1" t="s">
        <v>164</v>
      </c>
      <c r="I386" s="1" t="s">
        <v>60</v>
      </c>
      <c r="J386" s="1" t="s">
        <v>67</v>
      </c>
      <c r="K386" s="1" t="s">
        <v>94</v>
      </c>
      <c r="L386" s="3">
        <v>46636</v>
      </c>
      <c r="M386" s="3">
        <v>45906</v>
      </c>
      <c r="N386">
        <f>_xlfn.XLOOKUP(Data[[#This Row],[Status]],Compliance_Status[Status from OPMS],Compliance_Status[Status_Key],"")</f>
        <v>4</v>
      </c>
      <c r="O386">
        <f>_xlfn.XLOOKUP(Data[[#This Row],[Status]],Compliance_Status[Status from OPMS],Compliance_Status[Has Course booking],"")</f>
        <v>0</v>
      </c>
      <c r="P386" t="str">
        <f>_xlfn.XLOOKUP(Data[[#This Row],[StatusKey]],Status_Key[Status_Key],Status_Key[Name],"")</f>
        <v>In Date</v>
      </c>
    </row>
    <row r="387" spans="1:16" x14ac:dyDescent="0.25">
      <c r="A387" s="1">
        <v>169</v>
      </c>
      <c r="B387" s="1" t="s">
        <v>169</v>
      </c>
      <c r="C387" s="1" t="s">
        <v>170</v>
      </c>
      <c r="D387" s="1" t="s">
        <v>171</v>
      </c>
      <c r="E387" s="1" t="s">
        <v>156</v>
      </c>
      <c r="F387" s="1" t="s">
        <v>65</v>
      </c>
      <c r="G387" s="1" t="s">
        <v>16</v>
      </c>
      <c r="H387" s="1" t="s">
        <v>164</v>
      </c>
      <c r="I387" s="1" t="s">
        <v>60</v>
      </c>
      <c r="J387" s="1" t="s">
        <v>67</v>
      </c>
      <c r="K387" s="1" t="s">
        <v>125</v>
      </c>
      <c r="L387" s="3">
        <v>47202</v>
      </c>
      <c r="M387" s="3">
        <v>45376</v>
      </c>
      <c r="N387">
        <f>_xlfn.XLOOKUP(Data[[#This Row],[Status]],Compliance_Status[Status from OPMS],Compliance_Status[Status_Key],"")</f>
        <v>4</v>
      </c>
      <c r="O387">
        <f>_xlfn.XLOOKUP(Data[[#This Row],[Status]],Compliance_Status[Status from OPMS],Compliance_Status[Has Course booking],"")</f>
        <v>0</v>
      </c>
      <c r="P387" t="str">
        <f>_xlfn.XLOOKUP(Data[[#This Row],[StatusKey]],Status_Key[Status_Key],Status_Key[Name],"")</f>
        <v>In Date</v>
      </c>
    </row>
    <row r="388" spans="1:16" x14ac:dyDescent="0.25">
      <c r="A388" s="1">
        <v>169</v>
      </c>
      <c r="B388" s="1" t="s">
        <v>169</v>
      </c>
      <c r="C388" s="1" t="s">
        <v>170</v>
      </c>
      <c r="D388" s="1" t="s">
        <v>171</v>
      </c>
      <c r="E388" s="1" t="s">
        <v>124</v>
      </c>
      <c r="F388" s="1" t="s">
        <v>72</v>
      </c>
      <c r="G388" s="1" t="s">
        <v>16</v>
      </c>
      <c r="H388" s="1" t="s">
        <v>164</v>
      </c>
      <c r="I388" s="1" t="s">
        <v>60</v>
      </c>
      <c r="J388" s="1" t="s">
        <v>67</v>
      </c>
      <c r="K388" s="1" t="s">
        <v>125</v>
      </c>
      <c r="L388" s="3">
        <v>47202</v>
      </c>
      <c r="M388" s="3">
        <v>45376</v>
      </c>
      <c r="N388">
        <f>_xlfn.XLOOKUP(Data[[#This Row],[Status]],Compliance_Status[Status from OPMS],Compliance_Status[Status_Key],"")</f>
        <v>4</v>
      </c>
      <c r="O388">
        <f>_xlfn.XLOOKUP(Data[[#This Row],[Status]],Compliance_Status[Status from OPMS],Compliance_Status[Has Course booking],"")</f>
        <v>0</v>
      </c>
      <c r="P388" t="str">
        <f>_xlfn.XLOOKUP(Data[[#This Row],[StatusKey]],Status_Key[Status_Key],Status_Key[Name],"")</f>
        <v>In Date</v>
      </c>
    </row>
    <row r="389" spans="1:16" x14ac:dyDescent="0.25">
      <c r="A389" s="1">
        <v>169</v>
      </c>
      <c r="B389" s="1" t="s">
        <v>169</v>
      </c>
      <c r="C389" s="1" t="s">
        <v>170</v>
      </c>
      <c r="D389" s="1" t="s">
        <v>171</v>
      </c>
      <c r="E389" s="1" t="s">
        <v>97</v>
      </c>
      <c r="F389" s="1" t="s">
        <v>65</v>
      </c>
      <c r="G389" s="1" t="s">
        <v>16</v>
      </c>
      <c r="H389" s="1" t="s">
        <v>164</v>
      </c>
      <c r="I389" s="1" t="s">
        <v>60</v>
      </c>
      <c r="J389" s="1" t="s">
        <v>67</v>
      </c>
      <c r="K389" s="1" t="s">
        <v>98</v>
      </c>
      <c r="L389" s="3">
        <v>47246</v>
      </c>
      <c r="M389" s="3">
        <v>45420</v>
      </c>
      <c r="N389">
        <f>_xlfn.XLOOKUP(Data[[#This Row],[Status]],Compliance_Status[Status from OPMS],Compliance_Status[Status_Key],"")</f>
        <v>4</v>
      </c>
      <c r="O389">
        <f>_xlfn.XLOOKUP(Data[[#This Row],[Status]],Compliance_Status[Status from OPMS],Compliance_Status[Has Course booking],"")</f>
        <v>0</v>
      </c>
      <c r="P389" t="str">
        <f>_xlfn.XLOOKUP(Data[[#This Row],[StatusKey]],Status_Key[Status_Key],Status_Key[Name],"")</f>
        <v>In Date</v>
      </c>
    </row>
    <row r="390" spans="1:16" x14ac:dyDescent="0.25">
      <c r="A390" s="1">
        <v>169</v>
      </c>
      <c r="B390" s="1" t="s">
        <v>169</v>
      </c>
      <c r="C390" s="1" t="s">
        <v>170</v>
      </c>
      <c r="D390" s="1" t="s">
        <v>171</v>
      </c>
      <c r="E390" s="1" t="s">
        <v>100</v>
      </c>
      <c r="F390" s="1" t="s">
        <v>72</v>
      </c>
      <c r="G390" s="1" t="s">
        <v>18</v>
      </c>
      <c r="H390" s="1" t="s">
        <v>164</v>
      </c>
      <c r="I390" s="1" t="s">
        <v>60</v>
      </c>
      <c r="J390" s="1"/>
      <c r="K390" s="1" t="s">
        <v>98</v>
      </c>
      <c r="L390" s="3"/>
      <c r="M390" s="3"/>
      <c r="N390">
        <f>_xlfn.XLOOKUP(Data[[#This Row],[Status]],Compliance_Status[Status from OPMS],Compliance_Status[Status_Key],"")</f>
        <v>2</v>
      </c>
      <c r="O390">
        <f>_xlfn.XLOOKUP(Data[[#This Row],[Status]],Compliance_Status[Status from OPMS],Compliance_Status[Has Course booking],"")</f>
        <v>0</v>
      </c>
      <c r="P390" t="str">
        <f>_xlfn.XLOOKUP(Data[[#This Row],[StatusKey]],Status_Key[Status_Key],Status_Key[Name],"")</f>
        <v>Outstanding</v>
      </c>
    </row>
    <row r="391" spans="1:16" x14ac:dyDescent="0.25">
      <c r="A391" s="1">
        <v>169</v>
      </c>
      <c r="B391" s="1" t="s">
        <v>169</v>
      </c>
      <c r="C391" s="1" t="s">
        <v>170</v>
      </c>
      <c r="D391" s="1" t="s">
        <v>171</v>
      </c>
      <c r="E391" s="1" t="s">
        <v>101</v>
      </c>
      <c r="F391" s="1" t="s">
        <v>65</v>
      </c>
      <c r="G391" s="1" t="s">
        <v>16</v>
      </c>
      <c r="H391" s="1" t="s">
        <v>164</v>
      </c>
      <c r="I391" s="1" t="s">
        <v>60</v>
      </c>
      <c r="J391" s="1" t="s">
        <v>67</v>
      </c>
      <c r="K391" s="1" t="s">
        <v>102</v>
      </c>
      <c r="L391" s="3" t="s">
        <v>79</v>
      </c>
      <c r="M391" s="3">
        <v>45431</v>
      </c>
      <c r="N391">
        <f>_xlfn.XLOOKUP(Data[[#This Row],[Status]],Compliance_Status[Status from OPMS],Compliance_Status[Status_Key],"")</f>
        <v>4</v>
      </c>
      <c r="O391">
        <f>_xlfn.XLOOKUP(Data[[#This Row],[Status]],Compliance_Status[Status from OPMS],Compliance_Status[Has Course booking],"")</f>
        <v>0</v>
      </c>
      <c r="P391" t="str">
        <f>_xlfn.XLOOKUP(Data[[#This Row],[StatusKey]],Status_Key[Status_Key],Status_Key[Name],"")</f>
        <v>In Date</v>
      </c>
    </row>
    <row r="392" spans="1:16" x14ac:dyDescent="0.25">
      <c r="A392" s="1">
        <v>169</v>
      </c>
      <c r="B392" s="1" t="s">
        <v>169</v>
      </c>
      <c r="C392" s="1" t="s">
        <v>170</v>
      </c>
      <c r="D392" s="1" t="s">
        <v>171</v>
      </c>
      <c r="E392" s="1" t="s">
        <v>103</v>
      </c>
      <c r="F392" s="1" t="s">
        <v>65</v>
      </c>
      <c r="G392" s="1" t="s">
        <v>16</v>
      </c>
      <c r="H392" s="1" t="s">
        <v>164</v>
      </c>
      <c r="I392" s="1" t="s">
        <v>60</v>
      </c>
      <c r="J392" s="1" t="s">
        <v>67</v>
      </c>
      <c r="K392" s="1" t="s">
        <v>102</v>
      </c>
      <c r="L392" s="3">
        <v>46468</v>
      </c>
      <c r="M392" s="3">
        <v>45738</v>
      </c>
      <c r="N392">
        <f>_xlfn.XLOOKUP(Data[[#This Row],[Status]],Compliance_Status[Status from OPMS],Compliance_Status[Status_Key],"")</f>
        <v>4</v>
      </c>
      <c r="O392">
        <f>_xlfn.XLOOKUP(Data[[#This Row],[Status]],Compliance_Status[Status from OPMS],Compliance_Status[Has Course booking],"")</f>
        <v>0</v>
      </c>
      <c r="P392" t="str">
        <f>_xlfn.XLOOKUP(Data[[#This Row],[StatusKey]],Status_Key[Status_Key],Status_Key[Name],"")</f>
        <v>In Date</v>
      </c>
    </row>
    <row r="393" spans="1:16" x14ac:dyDescent="0.25">
      <c r="A393" s="1">
        <v>169</v>
      </c>
      <c r="B393" s="1" t="s">
        <v>169</v>
      </c>
      <c r="C393" s="1" t="s">
        <v>170</v>
      </c>
      <c r="D393" s="1" t="s">
        <v>171</v>
      </c>
      <c r="E393" s="1" t="s">
        <v>104</v>
      </c>
      <c r="F393" s="1" t="s">
        <v>65</v>
      </c>
      <c r="G393" s="1" t="s">
        <v>16</v>
      </c>
      <c r="H393" s="1" t="s">
        <v>164</v>
      </c>
      <c r="I393" s="1" t="s">
        <v>60</v>
      </c>
      <c r="J393" s="1" t="s">
        <v>67</v>
      </c>
      <c r="K393" s="1" t="s">
        <v>105</v>
      </c>
      <c r="L393" s="3">
        <v>46514</v>
      </c>
      <c r="M393" s="3">
        <v>45784</v>
      </c>
      <c r="N393">
        <f>_xlfn.XLOOKUP(Data[[#This Row],[Status]],Compliance_Status[Status from OPMS],Compliance_Status[Status_Key],"")</f>
        <v>4</v>
      </c>
      <c r="O393">
        <f>_xlfn.XLOOKUP(Data[[#This Row],[Status]],Compliance_Status[Status from OPMS],Compliance_Status[Has Course booking],"")</f>
        <v>0</v>
      </c>
      <c r="P393" t="str">
        <f>_xlfn.XLOOKUP(Data[[#This Row],[StatusKey]],Status_Key[Status_Key],Status_Key[Name],"")</f>
        <v>In Date</v>
      </c>
    </row>
    <row r="394" spans="1:16" x14ac:dyDescent="0.25">
      <c r="A394" s="1">
        <v>169</v>
      </c>
      <c r="B394" s="1" t="s">
        <v>169</v>
      </c>
      <c r="C394" s="1" t="s">
        <v>170</v>
      </c>
      <c r="D394" s="1" t="s">
        <v>171</v>
      </c>
      <c r="E394" s="1" t="s">
        <v>106</v>
      </c>
      <c r="F394" s="1" t="s">
        <v>65</v>
      </c>
      <c r="G394" s="1" t="s">
        <v>16</v>
      </c>
      <c r="H394" s="1" t="s">
        <v>164</v>
      </c>
      <c r="I394" s="1" t="s">
        <v>60</v>
      </c>
      <c r="J394" s="1" t="s">
        <v>67</v>
      </c>
      <c r="K394" s="1" t="s">
        <v>105</v>
      </c>
      <c r="L394" s="3">
        <v>47246</v>
      </c>
      <c r="M394" s="3">
        <v>45420</v>
      </c>
      <c r="N394">
        <f>_xlfn.XLOOKUP(Data[[#This Row],[Status]],Compliance_Status[Status from OPMS],Compliance_Status[Status_Key],"")</f>
        <v>4</v>
      </c>
      <c r="O394">
        <f>_xlfn.XLOOKUP(Data[[#This Row],[Status]],Compliance_Status[Status from OPMS],Compliance_Status[Has Course booking],"")</f>
        <v>0</v>
      </c>
      <c r="P394" t="str">
        <f>_xlfn.XLOOKUP(Data[[#This Row],[StatusKey]],Status_Key[Status_Key],Status_Key[Name],"")</f>
        <v>In Date</v>
      </c>
    </row>
    <row r="395" spans="1:16" x14ac:dyDescent="0.25">
      <c r="A395" s="1">
        <v>169</v>
      </c>
      <c r="B395" s="1" t="s">
        <v>169</v>
      </c>
      <c r="C395" s="1" t="s">
        <v>170</v>
      </c>
      <c r="D395" s="1" t="s">
        <v>171</v>
      </c>
      <c r="E395" s="1" t="s">
        <v>107</v>
      </c>
      <c r="F395" s="1" t="s">
        <v>65</v>
      </c>
      <c r="G395" s="1" t="s">
        <v>16</v>
      </c>
      <c r="H395" s="1" t="s">
        <v>164</v>
      </c>
      <c r="I395" s="1" t="s">
        <v>60</v>
      </c>
      <c r="J395" s="1" t="s">
        <v>67</v>
      </c>
      <c r="K395" s="1" t="s">
        <v>105</v>
      </c>
      <c r="L395" s="3">
        <v>46515</v>
      </c>
      <c r="M395" s="3">
        <v>45420</v>
      </c>
      <c r="N395">
        <f>_xlfn.XLOOKUP(Data[[#This Row],[Status]],Compliance_Status[Status from OPMS],Compliance_Status[Status_Key],"")</f>
        <v>4</v>
      </c>
      <c r="O395">
        <f>_xlfn.XLOOKUP(Data[[#This Row],[Status]],Compliance_Status[Status from OPMS],Compliance_Status[Has Course booking],"")</f>
        <v>0</v>
      </c>
      <c r="P395" t="str">
        <f>_xlfn.XLOOKUP(Data[[#This Row],[StatusKey]],Status_Key[Status_Key],Status_Key[Name],"")</f>
        <v>In Date</v>
      </c>
    </row>
    <row r="396" spans="1:16" x14ac:dyDescent="0.25">
      <c r="A396" s="1">
        <v>169</v>
      </c>
      <c r="B396" s="1" t="s">
        <v>169</v>
      </c>
      <c r="C396" s="1" t="s">
        <v>170</v>
      </c>
      <c r="D396" s="1" t="s">
        <v>171</v>
      </c>
      <c r="E396" s="1" t="s">
        <v>108</v>
      </c>
      <c r="F396" s="1" t="s">
        <v>65</v>
      </c>
      <c r="G396" s="1" t="s">
        <v>16</v>
      </c>
      <c r="H396" s="1" t="s">
        <v>164</v>
      </c>
      <c r="I396" s="1" t="s">
        <v>60</v>
      </c>
      <c r="J396" s="1" t="s">
        <v>67</v>
      </c>
      <c r="K396" s="1" t="s">
        <v>105</v>
      </c>
      <c r="L396" s="3">
        <v>46950</v>
      </c>
      <c r="M396" s="3">
        <v>46219</v>
      </c>
      <c r="N396">
        <f>_xlfn.XLOOKUP(Data[[#This Row],[Status]],Compliance_Status[Status from OPMS],Compliance_Status[Status_Key],"")</f>
        <v>4</v>
      </c>
      <c r="O396">
        <f>_xlfn.XLOOKUP(Data[[#This Row],[Status]],Compliance_Status[Status from OPMS],Compliance_Status[Has Course booking],"")</f>
        <v>0</v>
      </c>
      <c r="P396" t="str">
        <f>_xlfn.XLOOKUP(Data[[#This Row],[StatusKey]],Status_Key[Status_Key],Status_Key[Name],"")</f>
        <v>In Date</v>
      </c>
    </row>
    <row r="397" spans="1:16" x14ac:dyDescent="0.25">
      <c r="A397" s="1">
        <v>169</v>
      </c>
      <c r="B397" s="1" t="s">
        <v>169</v>
      </c>
      <c r="C397" s="1" t="s">
        <v>170</v>
      </c>
      <c r="D397" s="1" t="s">
        <v>171</v>
      </c>
      <c r="E397" s="1" t="s">
        <v>109</v>
      </c>
      <c r="F397" s="1" t="s">
        <v>65</v>
      </c>
      <c r="G397" s="1" t="s">
        <v>16</v>
      </c>
      <c r="H397" s="1" t="s">
        <v>164</v>
      </c>
      <c r="I397" s="1" t="s">
        <v>60</v>
      </c>
      <c r="J397" s="1" t="s">
        <v>67</v>
      </c>
      <c r="K397" s="1" t="s">
        <v>105</v>
      </c>
      <c r="L397" s="3">
        <v>46514</v>
      </c>
      <c r="M397" s="3">
        <v>45784</v>
      </c>
      <c r="N397">
        <f>_xlfn.XLOOKUP(Data[[#This Row],[Status]],Compliance_Status[Status from OPMS],Compliance_Status[Status_Key],"")</f>
        <v>4</v>
      </c>
      <c r="O397">
        <f>_xlfn.XLOOKUP(Data[[#This Row],[Status]],Compliance_Status[Status from OPMS],Compliance_Status[Has Course booking],"")</f>
        <v>0</v>
      </c>
      <c r="P397" t="str">
        <f>_xlfn.XLOOKUP(Data[[#This Row],[StatusKey]],Status_Key[Status_Key],Status_Key[Name],"")</f>
        <v>In Date</v>
      </c>
    </row>
    <row r="398" spans="1:16" x14ac:dyDescent="0.25">
      <c r="A398" s="1">
        <v>169</v>
      </c>
      <c r="B398" s="1" t="s">
        <v>169</v>
      </c>
      <c r="C398" s="1" t="s">
        <v>170</v>
      </c>
      <c r="D398" s="1" t="s">
        <v>171</v>
      </c>
      <c r="E398" s="1" t="s">
        <v>110</v>
      </c>
      <c r="F398" s="1" t="s">
        <v>65</v>
      </c>
      <c r="G398" s="1" t="s">
        <v>16</v>
      </c>
      <c r="H398" s="1" t="s">
        <v>164</v>
      </c>
      <c r="I398" s="1" t="s">
        <v>60</v>
      </c>
      <c r="J398" s="1" t="s">
        <v>67</v>
      </c>
      <c r="K398" s="1" t="s">
        <v>105</v>
      </c>
      <c r="L398" s="3" t="s">
        <v>79</v>
      </c>
      <c r="M398" s="3">
        <v>45420</v>
      </c>
      <c r="N398">
        <f>_xlfn.XLOOKUP(Data[[#This Row],[Status]],Compliance_Status[Status from OPMS],Compliance_Status[Status_Key],"")</f>
        <v>4</v>
      </c>
      <c r="O398">
        <f>_xlfn.XLOOKUP(Data[[#This Row],[Status]],Compliance_Status[Status from OPMS],Compliance_Status[Has Course booking],"")</f>
        <v>0</v>
      </c>
      <c r="P398" t="str">
        <f>_xlfn.XLOOKUP(Data[[#This Row],[StatusKey]],Status_Key[Status_Key],Status_Key[Name],"")</f>
        <v>In Date</v>
      </c>
    </row>
    <row r="399" spans="1:16" x14ac:dyDescent="0.25">
      <c r="A399" s="1">
        <v>169</v>
      </c>
      <c r="B399" s="1" t="s">
        <v>169</v>
      </c>
      <c r="C399" s="1" t="s">
        <v>170</v>
      </c>
      <c r="D399" s="1" t="s">
        <v>171</v>
      </c>
      <c r="E399" s="1" t="s">
        <v>111</v>
      </c>
      <c r="F399" s="1" t="s">
        <v>65</v>
      </c>
      <c r="G399" s="1" t="s">
        <v>16</v>
      </c>
      <c r="H399" s="1" t="s">
        <v>164</v>
      </c>
      <c r="I399" s="1" t="s">
        <v>60</v>
      </c>
      <c r="J399" s="1" t="s">
        <v>67</v>
      </c>
      <c r="K399" s="1" t="s">
        <v>105</v>
      </c>
      <c r="L399" s="3">
        <v>46723</v>
      </c>
      <c r="M399" s="3">
        <v>45993</v>
      </c>
      <c r="N399">
        <f>_xlfn.XLOOKUP(Data[[#This Row],[Status]],Compliance_Status[Status from OPMS],Compliance_Status[Status_Key],"")</f>
        <v>4</v>
      </c>
      <c r="O399">
        <f>_xlfn.XLOOKUP(Data[[#This Row],[Status]],Compliance_Status[Status from OPMS],Compliance_Status[Has Course booking],"")</f>
        <v>0</v>
      </c>
      <c r="P399" t="str">
        <f>_xlfn.XLOOKUP(Data[[#This Row],[StatusKey]],Status_Key[Status_Key],Status_Key[Name],"")</f>
        <v>In Date</v>
      </c>
    </row>
    <row r="400" spans="1:16" x14ac:dyDescent="0.25">
      <c r="A400" s="1">
        <v>169</v>
      </c>
      <c r="B400" s="1" t="s">
        <v>169</v>
      </c>
      <c r="C400" s="1" t="s">
        <v>170</v>
      </c>
      <c r="D400" s="1" t="s">
        <v>171</v>
      </c>
      <c r="E400" s="1" t="s">
        <v>112</v>
      </c>
      <c r="F400" s="1" t="s">
        <v>65</v>
      </c>
      <c r="G400" s="1" t="s">
        <v>16</v>
      </c>
      <c r="H400" s="1" t="s">
        <v>164</v>
      </c>
      <c r="I400" s="1" t="s">
        <v>60</v>
      </c>
      <c r="J400" s="1" t="s">
        <v>67</v>
      </c>
      <c r="K400" s="1" t="s">
        <v>105</v>
      </c>
      <c r="L400" s="3">
        <v>46563</v>
      </c>
      <c r="M400" s="3">
        <v>45833</v>
      </c>
      <c r="N400">
        <f>_xlfn.XLOOKUP(Data[[#This Row],[Status]],Compliance_Status[Status from OPMS],Compliance_Status[Status_Key],"")</f>
        <v>4</v>
      </c>
      <c r="O400">
        <f>_xlfn.XLOOKUP(Data[[#This Row],[Status]],Compliance_Status[Status from OPMS],Compliance_Status[Has Course booking],"")</f>
        <v>0</v>
      </c>
      <c r="P400" t="str">
        <f>_xlfn.XLOOKUP(Data[[#This Row],[StatusKey]],Status_Key[Status_Key],Status_Key[Name],"")</f>
        <v>In Date</v>
      </c>
    </row>
    <row r="401" spans="1:16" x14ac:dyDescent="0.25">
      <c r="A401" s="1">
        <v>169</v>
      </c>
      <c r="B401" s="1" t="s">
        <v>169</v>
      </c>
      <c r="C401" s="1" t="s">
        <v>170</v>
      </c>
      <c r="D401" s="1" t="s">
        <v>171</v>
      </c>
      <c r="E401" s="1" t="s">
        <v>113</v>
      </c>
      <c r="F401" s="1" t="s">
        <v>65</v>
      </c>
      <c r="G401" s="1" t="s">
        <v>16</v>
      </c>
      <c r="H401" s="1" t="s">
        <v>164</v>
      </c>
      <c r="I401" s="1" t="s">
        <v>60</v>
      </c>
      <c r="J401" s="1" t="s">
        <v>67</v>
      </c>
      <c r="K401" s="1" t="s">
        <v>105</v>
      </c>
      <c r="L401" s="3">
        <v>46769</v>
      </c>
      <c r="M401" s="3">
        <v>46039</v>
      </c>
      <c r="N401">
        <f>_xlfn.XLOOKUP(Data[[#This Row],[Status]],Compliance_Status[Status from OPMS],Compliance_Status[Status_Key],"")</f>
        <v>4</v>
      </c>
      <c r="O401">
        <f>_xlfn.XLOOKUP(Data[[#This Row],[Status]],Compliance_Status[Status from OPMS],Compliance_Status[Has Course booking],"")</f>
        <v>0</v>
      </c>
      <c r="P401" t="str">
        <f>_xlfn.XLOOKUP(Data[[#This Row],[StatusKey]],Status_Key[Status_Key],Status_Key[Name],"")</f>
        <v>In Date</v>
      </c>
    </row>
    <row r="402" spans="1:16" x14ac:dyDescent="0.25">
      <c r="A402" s="1">
        <v>172</v>
      </c>
      <c r="B402" s="1" t="s">
        <v>172</v>
      </c>
      <c r="C402" s="1" t="s">
        <v>173</v>
      </c>
      <c r="D402" s="1" t="s">
        <v>174</v>
      </c>
      <c r="E402" s="1" t="s">
        <v>163</v>
      </c>
      <c r="F402" s="1" t="s">
        <v>65</v>
      </c>
      <c r="G402" s="1" t="s">
        <v>16</v>
      </c>
      <c r="H402" s="1" t="s">
        <v>164</v>
      </c>
      <c r="I402" s="1" t="s">
        <v>60</v>
      </c>
      <c r="J402" s="1"/>
      <c r="K402" s="1" t="s">
        <v>68</v>
      </c>
      <c r="L402" s="3">
        <v>46693</v>
      </c>
      <c r="M402" s="3">
        <v>44868</v>
      </c>
      <c r="N402">
        <f>_xlfn.XLOOKUP(Data[[#This Row],[Status]],Compliance_Status[Status from OPMS],Compliance_Status[Status_Key],"")</f>
        <v>4</v>
      </c>
      <c r="O402">
        <f>_xlfn.XLOOKUP(Data[[#This Row],[Status]],Compliance_Status[Status from OPMS],Compliance_Status[Has Course booking],"")</f>
        <v>0</v>
      </c>
      <c r="P402" t="str">
        <f>_xlfn.XLOOKUP(Data[[#This Row],[StatusKey]],Status_Key[Status_Key],Status_Key[Name],"")</f>
        <v>In Date</v>
      </c>
    </row>
    <row r="403" spans="1:16" x14ac:dyDescent="0.25">
      <c r="A403" s="1">
        <v>172</v>
      </c>
      <c r="B403" s="1" t="s">
        <v>172</v>
      </c>
      <c r="C403" s="1" t="s">
        <v>173</v>
      </c>
      <c r="D403" s="1" t="s">
        <v>174</v>
      </c>
      <c r="E403" s="1" t="s">
        <v>131</v>
      </c>
      <c r="F403" s="1" t="s">
        <v>72</v>
      </c>
      <c r="G403" s="1" t="s">
        <v>16</v>
      </c>
      <c r="H403" s="1" t="s">
        <v>164</v>
      </c>
      <c r="I403" s="1" t="s">
        <v>60</v>
      </c>
      <c r="J403" s="1" t="s">
        <v>67</v>
      </c>
      <c r="K403" s="1" t="s">
        <v>68</v>
      </c>
      <c r="L403" s="3">
        <v>47182</v>
      </c>
      <c r="M403" s="3">
        <v>45357</v>
      </c>
      <c r="N403">
        <f>_xlfn.XLOOKUP(Data[[#This Row],[Status]],Compliance_Status[Status from OPMS],Compliance_Status[Status_Key],"")</f>
        <v>4</v>
      </c>
      <c r="O403">
        <f>_xlfn.XLOOKUP(Data[[#This Row],[Status]],Compliance_Status[Status from OPMS],Compliance_Status[Has Course booking],"")</f>
        <v>0</v>
      </c>
      <c r="P403" t="str">
        <f>_xlfn.XLOOKUP(Data[[#This Row],[StatusKey]],Status_Key[Status_Key],Status_Key[Name],"")</f>
        <v>In Date</v>
      </c>
    </row>
    <row r="404" spans="1:16" x14ac:dyDescent="0.25">
      <c r="A404" s="1">
        <v>172</v>
      </c>
      <c r="B404" s="1" t="s">
        <v>172</v>
      </c>
      <c r="C404" s="1" t="s">
        <v>173</v>
      </c>
      <c r="D404" s="1" t="s">
        <v>174</v>
      </c>
      <c r="E404" s="1" t="s">
        <v>71</v>
      </c>
      <c r="F404" s="1" t="s">
        <v>72</v>
      </c>
      <c r="G404" s="1" t="s">
        <v>18</v>
      </c>
      <c r="H404" s="1" t="s">
        <v>164</v>
      </c>
      <c r="I404" s="1" t="s">
        <v>60</v>
      </c>
      <c r="J404" s="1"/>
      <c r="K404" s="1" t="s">
        <v>68</v>
      </c>
      <c r="L404" s="3"/>
      <c r="M404" s="3"/>
      <c r="N404">
        <f>_xlfn.XLOOKUP(Data[[#This Row],[Status]],Compliance_Status[Status from OPMS],Compliance_Status[Status_Key],"")</f>
        <v>2</v>
      </c>
      <c r="O404">
        <f>_xlfn.XLOOKUP(Data[[#This Row],[Status]],Compliance_Status[Status from OPMS],Compliance_Status[Has Course booking],"")</f>
        <v>0</v>
      </c>
      <c r="P404" t="str">
        <f>_xlfn.XLOOKUP(Data[[#This Row],[StatusKey]],Status_Key[Status_Key],Status_Key[Name],"")</f>
        <v>Outstanding</v>
      </c>
    </row>
    <row r="405" spans="1:16" x14ac:dyDescent="0.25">
      <c r="A405" s="1">
        <v>172</v>
      </c>
      <c r="B405" s="1" t="s">
        <v>172</v>
      </c>
      <c r="C405" s="1" t="s">
        <v>173</v>
      </c>
      <c r="D405" s="1" t="s">
        <v>174</v>
      </c>
      <c r="E405" s="1" t="s">
        <v>73</v>
      </c>
      <c r="F405" s="1" t="s">
        <v>65</v>
      </c>
      <c r="G405" s="1" t="s">
        <v>16</v>
      </c>
      <c r="H405" s="1" t="s">
        <v>164</v>
      </c>
      <c r="I405" s="1" t="s">
        <v>60</v>
      </c>
      <c r="J405" s="1" t="s">
        <v>67</v>
      </c>
      <c r="K405" s="1" t="s">
        <v>68</v>
      </c>
      <c r="L405" s="3">
        <v>46830</v>
      </c>
      <c r="M405" s="3">
        <v>46100</v>
      </c>
      <c r="N405">
        <f>_xlfn.XLOOKUP(Data[[#This Row],[Status]],Compliance_Status[Status from OPMS],Compliance_Status[Status_Key],"")</f>
        <v>4</v>
      </c>
      <c r="O405">
        <f>_xlfn.XLOOKUP(Data[[#This Row],[Status]],Compliance_Status[Status from OPMS],Compliance_Status[Has Course booking],"")</f>
        <v>0</v>
      </c>
      <c r="P405" t="str">
        <f>_xlfn.XLOOKUP(Data[[#This Row],[StatusKey]],Status_Key[Status_Key],Status_Key[Name],"")</f>
        <v>In Date</v>
      </c>
    </row>
    <row r="406" spans="1:16" x14ac:dyDescent="0.25">
      <c r="A406" s="1">
        <v>172</v>
      </c>
      <c r="B406" s="1" t="s">
        <v>172</v>
      </c>
      <c r="C406" s="1" t="s">
        <v>173</v>
      </c>
      <c r="D406" s="1" t="s">
        <v>174</v>
      </c>
      <c r="E406" s="1" t="s">
        <v>74</v>
      </c>
      <c r="F406" s="1" t="s">
        <v>65</v>
      </c>
      <c r="G406" s="1" t="s">
        <v>16</v>
      </c>
      <c r="H406" s="1" t="s">
        <v>164</v>
      </c>
      <c r="I406" s="1" t="s">
        <v>60</v>
      </c>
      <c r="J406" s="1" t="s">
        <v>67</v>
      </c>
      <c r="K406" s="1" t="s">
        <v>68</v>
      </c>
      <c r="L406" s="3">
        <v>46437</v>
      </c>
      <c r="M406" s="3">
        <v>45341</v>
      </c>
      <c r="N406">
        <f>_xlfn.XLOOKUP(Data[[#This Row],[Status]],Compliance_Status[Status from OPMS],Compliance_Status[Status_Key],"")</f>
        <v>4</v>
      </c>
      <c r="O406">
        <f>_xlfn.XLOOKUP(Data[[#This Row],[Status]],Compliance_Status[Status from OPMS],Compliance_Status[Has Course booking],"")</f>
        <v>0</v>
      </c>
      <c r="P406" t="str">
        <f>_xlfn.XLOOKUP(Data[[#This Row],[StatusKey]],Status_Key[Status_Key],Status_Key[Name],"")</f>
        <v>In Date</v>
      </c>
    </row>
    <row r="407" spans="1:16" x14ac:dyDescent="0.25">
      <c r="A407" s="1">
        <v>172</v>
      </c>
      <c r="B407" s="1" t="s">
        <v>172</v>
      </c>
      <c r="C407" s="1" t="s">
        <v>173</v>
      </c>
      <c r="D407" s="1" t="s">
        <v>174</v>
      </c>
      <c r="E407" s="1" t="s">
        <v>75</v>
      </c>
      <c r="F407" s="1" t="s">
        <v>72</v>
      </c>
      <c r="G407" s="1" t="s">
        <v>25</v>
      </c>
      <c r="H407" s="1" t="s">
        <v>164</v>
      </c>
      <c r="I407" s="1" t="s">
        <v>60</v>
      </c>
      <c r="J407" s="1" t="s">
        <v>67</v>
      </c>
      <c r="K407" s="1" t="s">
        <v>68</v>
      </c>
      <c r="L407" s="3">
        <v>46071</v>
      </c>
      <c r="M407" s="3">
        <v>45341</v>
      </c>
      <c r="N407">
        <f>_xlfn.XLOOKUP(Data[[#This Row],[Status]],Compliance_Status[Status from OPMS],Compliance_Status[Status_Key],"")</f>
        <v>1</v>
      </c>
      <c r="O407">
        <f>_xlfn.XLOOKUP(Data[[#This Row],[Status]],Compliance_Status[Status from OPMS],Compliance_Status[Has Course booking],"")</f>
        <v>0</v>
      </c>
      <c r="P407" t="str">
        <f>_xlfn.XLOOKUP(Data[[#This Row],[StatusKey]],Status_Key[Status_Key],Status_Key[Name],"")</f>
        <v>Expired</v>
      </c>
    </row>
    <row r="408" spans="1:16" x14ac:dyDescent="0.25">
      <c r="A408" s="1">
        <v>172</v>
      </c>
      <c r="B408" s="1" t="s">
        <v>172</v>
      </c>
      <c r="C408" s="1" t="s">
        <v>173</v>
      </c>
      <c r="D408" s="1" t="s">
        <v>174</v>
      </c>
      <c r="E408" s="1" t="s">
        <v>165</v>
      </c>
      <c r="F408" s="1" t="s">
        <v>72</v>
      </c>
      <c r="G408" s="1" t="s">
        <v>16</v>
      </c>
      <c r="H408" s="1" t="s">
        <v>164</v>
      </c>
      <c r="I408" s="1" t="s">
        <v>60</v>
      </c>
      <c r="J408" s="1" t="s">
        <v>67</v>
      </c>
      <c r="K408" s="1" t="s">
        <v>68</v>
      </c>
      <c r="L408" s="3" t="s">
        <v>79</v>
      </c>
      <c r="M408" s="3">
        <v>45378</v>
      </c>
      <c r="N408">
        <f>_xlfn.XLOOKUP(Data[[#This Row],[Status]],Compliance_Status[Status from OPMS],Compliance_Status[Status_Key],"")</f>
        <v>4</v>
      </c>
      <c r="O408">
        <f>_xlfn.XLOOKUP(Data[[#This Row],[Status]],Compliance_Status[Status from OPMS],Compliance_Status[Has Course booking],"")</f>
        <v>0</v>
      </c>
      <c r="P408" t="str">
        <f>_xlfn.XLOOKUP(Data[[#This Row],[StatusKey]],Status_Key[Status_Key],Status_Key[Name],"")</f>
        <v>In Date</v>
      </c>
    </row>
    <row r="409" spans="1:16" x14ac:dyDescent="0.25">
      <c r="A409" s="1">
        <v>172</v>
      </c>
      <c r="B409" s="1" t="s">
        <v>172</v>
      </c>
      <c r="C409" s="1" t="s">
        <v>173</v>
      </c>
      <c r="D409" s="1" t="s">
        <v>174</v>
      </c>
      <c r="E409" s="1" t="s">
        <v>76</v>
      </c>
      <c r="F409" s="1" t="s">
        <v>65</v>
      </c>
      <c r="G409" s="1" t="s">
        <v>16</v>
      </c>
      <c r="H409" s="1" t="s">
        <v>164</v>
      </c>
      <c r="I409" s="1" t="s">
        <v>60</v>
      </c>
      <c r="J409" s="1" t="s">
        <v>67</v>
      </c>
      <c r="K409" s="1" t="s">
        <v>77</v>
      </c>
      <c r="L409" s="3">
        <v>47603</v>
      </c>
      <c r="M409" s="3">
        <v>46122</v>
      </c>
      <c r="N409">
        <f>_xlfn.XLOOKUP(Data[[#This Row],[Status]],Compliance_Status[Status from OPMS],Compliance_Status[Status_Key],"")</f>
        <v>4</v>
      </c>
      <c r="O409">
        <f>_xlfn.XLOOKUP(Data[[#This Row],[Status]],Compliance_Status[Status from OPMS],Compliance_Status[Has Course booking],"")</f>
        <v>0</v>
      </c>
      <c r="P409" t="str">
        <f>_xlfn.XLOOKUP(Data[[#This Row],[StatusKey]],Status_Key[Status_Key],Status_Key[Name],"")</f>
        <v>In Date</v>
      </c>
    </row>
    <row r="410" spans="1:16" x14ac:dyDescent="0.25">
      <c r="A410" s="1">
        <v>172</v>
      </c>
      <c r="B410" s="1" t="s">
        <v>172</v>
      </c>
      <c r="C410" s="1" t="s">
        <v>173</v>
      </c>
      <c r="D410" s="1" t="s">
        <v>174</v>
      </c>
      <c r="E410" s="1" t="s">
        <v>80</v>
      </c>
      <c r="F410" s="1" t="s">
        <v>65</v>
      </c>
      <c r="G410" s="1" t="s">
        <v>16</v>
      </c>
      <c r="H410" s="1" t="s">
        <v>164</v>
      </c>
      <c r="I410" s="1" t="s">
        <v>60</v>
      </c>
      <c r="J410" s="1" t="s">
        <v>67</v>
      </c>
      <c r="K410" s="1" t="s">
        <v>77</v>
      </c>
      <c r="L410" s="3" t="s">
        <v>79</v>
      </c>
      <c r="M410" s="3">
        <v>45391</v>
      </c>
      <c r="N410">
        <f>_xlfn.XLOOKUP(Data[[#This Row],[Status]],Compliance_Status[Status from OPMS],Compliance_Status[Status_Key],"")</f>
        <v>4</v>
      </c>
      <c r="O410">
        <f>_xlfn.XLOOKUP(Data[[#This Row],[Status]],Compliance_Status[Status from OPMS],Compliance_Status[Has Course booking],"")</f>
        <v>0</v>
      </c>
      <c r="P410" t="str">
        <f>_xlfn.XLOOKUP(Data[[#This Row],[StatusKey]],Status_Key[Status_Key],Status_Key[Name],"")</f>
        <v>In Date</v>
      </c>
    </row>
    <row r="411" spans="1:16" x14ac:dyDescent="0.25">
      <c r="A411" s="1">
        <v>172</v>
      </c>
      <c r="B411" s="1" t="s">
        <v>172</v>
      </c>
      <c r="C411" s="1" t="s">
        <v>173</v>
      </c>
      <c r="D411" s="1" t="s">
        <v>174</v>
      </c>
      <c r="E411" s="1" t="s">
        <v>84</v>
      </c>
      <c r="F411" s="1" t="s">
        <v>65</v>
      </c>
      <c r="G411" s="1" t="s">
        <v>16</v>
      </c>
      <c r="H411" s="1" t="s">
        <v>164</v>
      </c>
      <c r="I411" s="1" t="s">
        <v>60</v>
      </c>
      <c r="J411" s="1" t="s">
        <v>67</v>
      </c>
      <c r="K411" s="1" t="s">
        <v>83</v>
      </c>
      <c r="L411" s="3">
        <v>46729</v>
      </c>
      <c r="M411" s="3">
        <v>45999</v>
      </c>
      <c r="N411">
        <f>_xlfn.XLOOKUP(Data[[#This Row],[Status]],Compliance_Status[Status from OPMS],Compliance_Status[Status_Key],"")</f>
        <v>4</v>
      </c>
      <c r="O411">
        <f>_xlfn.XLOOKUP(Data[[#This Row],[Status]],Compliance_Status[Status from OPMS],Compliance_Status[Has Course booking],"")</f>
        <v>0</v>
      </c>
      <c r="P411" t="str">
        <f>_xlfn.XLOOKUP(Data[[#This Row],[StatusKey]],Status_Key[Status_Key],Status_Key[Name],"")</f>
        <v>In Date</v>
      </c>
    </row>
    <row r="412" spans="1:16" x14ac:dyDescent="0.25">
      <c r="A412" s="1">
        <v>172</v>
      </c>
      <c r="B412" s="1" t="s">
        <v>172</v>
      </c>
      <c r="C412" s="1" t="s">
        <v>173</v>
      </c>
      <c r="D412" s="1" t="s">
        <v>174</v>
      </c>
      <c r="E412" s="1" t="s">
        <v>93</v>
      </c>
      <c r="F412" s="1" t="s">
        <v>65</v>
      </c>
      <c r="G412" s="1" t="s">
        <v>16</v>
      </c>
      <c r="H412" s="1" t="s">
        <v>164</v>
      </c>
      <c r="I412" s="1" t="s">
        <v>60</v>
      </c>
      <c r="J412" s="1" t="s">
        <v>67</v>
      </c>
      <c r="K412" s="1" t="s">
        <v>94</v>
      </c>
      <c r="L412" s="3">
        <v>46729</v>
      </c>
      <c r="M412" s="3">
        <v>45999</v>
      </c>
      <c r="N412">
        <f>_xlfn.XLOOKUP(Data[[#This Row],[Status]],Compliance_Status[Status from OPMS],Compliance_Status[Status_Key],"")</f>
        <v>4</v>
      </c>
      <c r="O412">
        <f>_xlfn.XLOOKUP(Data[[#This Row],[Status]],Compliance_Status[Status from OPMS],Compliance_Status[Has Course booking],"")</f>
        <v>0</v>
      </c>
      <c r="P412" t="str">
        <f>_xlfn.XLOOKUP(Data[[#This Row],[StatusKey]],Status_Key[Status_Key],Status_Key[Name],"")</f>
        <v>In Date</v>
      </c>
    </row>
    <row r="413" spans="1:16" x14ac:dyDescent="0.25">
      <c r="A413" s="1">
        <v>172</v>
      </c>
      <c r="B413" s="1" t="s">
        <v>172</v>
      </c>
      <c r="C413" s="1" t="s">
        <v>173</v>
      </c>
      <c r="D413" s="1" t="s">
        <v>174</v>
      </c>
      <c r="E413" s="1" t="s">
        <v>95</v>
      </c>
      <c r="F413" s="1" t="s">
        <v>65</v>
      </c>
      <c r="G413" s="1" t="s">
        <v>16</v>
      </c>
      <c r="H413" s="1" t="s">
        <v>164</v>
      </c>
      <c r="I413" s="1" t="s">
        <v>60</v>
      </c>
      <c r="J413" s="1" t="s">
        <v>67</v>
      </c>
      <c r="K413" s="1" t="s">
        <v>94</v>
      </c>
      <c r="L413" s="3">
        <v>46729</v>
      </c>
      <c r="M413" s="3">
        <v>45999</v>
      </c>
      <c r="N413">
        <f>_xlfn.XLOOKUP(Data[[#This Row],[Status]],Compliance_Status[Status from OPMS],Compliance_Status[Status_Key],"")</f>
        <v>4</v>
      </c>
      <c r="O413">
        <f>_xlfn.XLOOKUP(Data[[#This Row],[Status]],Compliance_Status[Status from OPMS],Compliance_Status[Has Course booking],"")</f>
        <v>0</v>
      </c>
      <c r="P413" t="str">
        <f>_xlfn.XLOOKUP(Data[[#This Row],[StatusKey]],Status_Key[Status_Key],Status_Key[Name],"")</f>
        <v>In Date</v>
      </c>
    </row>
    <row r="414" spans="1:16" x14ac:dyDescent="0.25">
      <c r="A414" s="1">
        <v>172</v>
      </c>
      <c r="B414" s="1" t="s">
        <v>172</v>
      </c>
      <c r="C414" s="1" t="s">
        <v>173</v>
      </c>
      <c r="D414" s="1" t="s">
        <v>174</v>
      </c>
      <c r="E414" s="1" t="s">
        <v>156</v>
      </c>
      <c r="F414" s="1" t="s">
        <v>65</v>
      </c>
      <c r="G414" s="1" t="s">
        <v>18</v>
      </c>
      <c r="H414" s="1" t="s">
        <v>164</v>
      </c>
      <c r="I414" s="1" t="s">
        <v>60</v>
      </c>
      <c r="J414" s="1"/>
      <c r="K414" s="1" t="s">
        <v>125</v>
      </c>
      <c r="L414" s="3"/>
      <c r="M414" s="3"/>
      <c r="N414">
        <f>_xlfn.XLOOKUP(Data[[#This Row],[Status]],Compliance_Status[Status from OPMS],Compliance_Status[Status_Key],"")</f>
        <v>2</v>
      </c>
      <c r="O414">
        <f>_xlfn.XLOOKUP(Data[[#This Row],[Status]],Compliance_Status[Status from OPMS],Compliance_Status[Has Course booking],"")</f>
        <v>0</v>
      </c>
      <c r="P414" t="str">
        <f>_xlfn.XLOOKUP(Data[[#This Row],[StatusKey]],Status_Key[Status_Key],Status_Key[Name],"")</f>
        <v>Outstanding</v>
      </c>
    </row>
    <row r="415" spans="1:16" x14ac:dyDescent="0.25">
      <c r="A415" s="1">
        <v>172</v>
      </c>
      <c r="B415" s="1" t="s">
        <v>172</v>
      </c>
      <c r="C415" s="1" t="s">
        <v>173</v>
      </c>
      <c r="D415" s="1" t="s">
        <v>174</v>
      </c>
      <c r="E415" s="1" t="s">
        <v>124</v>
      </c>
      <c r="F415" s="1" t="s">
        <v>72</v>
      </c>
      <c r="G415" s="1" t="s">
        <v>18</v>
      </c>
      <c r="H415" s="1" t="s">
        <v>164</v>
      </c>
      <c r="I415" s="1" t="s">
        <v>60</v>
      </c>
      <c r="J415" s="1"/>
      <c r="K415" s="1" t="s">
        <v>125</v>
      </c>
      <c r="L415" s="3"/>
      <c r="M415" s="3"/>
      <c r="N415">
        <f>_xlfn.XLOOKUP(Data[[#This Row],[Status]],Compliance_Status[Status from OPMS],Compliance_Status[Status_Key],"")</f>
        <v>2</v>
      </c>
      <c r="O415">
        <f>_xlfn.XLOOKUP(Data[[#This Row],[Status]],Compliance_Status[Status from OPMS],Compliance_Status[Has Course booking],"")</f>
        <v>0</v>
      </c>
      <c r="P415" t="str">
        <f>_xlfn.XLOOKUP(Data[[#This Row],[StatusKey]],Status_Key[Status_Key],Status_Key[Name],"")</f>
        <v>Outstanding</v>
      </c>
    </row>
    <row r="416" spans="1:16" x14ac:dyDescent="0.25">
      <c r="A416" s="1">
        <v>172</v>
      </c>
      <c r="B416" s="1" t="s">
        <v>172</v>
      </c>
      <c r="C416" s="1" t="s">
        <v>173</v>
      </c>
      <c r="D416" s="1" t="s">
        <v>174</v>
      </c>
      <c r="E416" s="1" t="s">
        <v>97</v>
      </c>
      <c r="F416" s="1" t="s">
        <v>65</v>
      </c>
      <c r="G416" s="1" t="s">
        <v>16</v>
      </c>
      <c r="H416" s="1" t="s">
        <v>164</v>
      </c>
      <c r="I416" s="1" t="s">
        <v>60</v>
      </c>
      <c r="J416" s="1" t="s">
        <v>67</v>
      </c>
      <c r="K416" s="1" t="s">
        <v>98</v>
      </c>
      <c r="L416" s="3">
        <v>47246</v>
      </c>
      <c r="M416" s="3">
        <v>45420</v>
      </c>
      <c r="N416">
        <f>_xlfn.XLOOKUP(Data[[#This Row],[Status]],Compliance_Status[Status from OPMS],Compliance_Status[Status_Key],"")</f>
        <v>4</v>
      </c>
      <c r="O416">
        <f>_xlfn.XLOOKUP(Data[[#This Row],[Status]],Compliance_Status[Status from OPMS],Compliance_Status[Has Course booking],"")</f>
        <v>0</v>
      </c>
      <c r="P416" t="str">
        <f>_xlfn.XLOOKUP(Data[[#This Row],[StatusKey]],Status_Key[Status_Key],Status_Key[Name],"")</f>
        <v>In Date</v>
      </c>
    </row>
    <row r="417" spans="1:16" x14ac:dyDescent="0.25">
      <c r="A417" s="1">
        <v>172</v>
      </c>
      <c r="B417" s="1" t="s">
        <v>172</v>
      </c>
      <c r="C417" s="1" t="s">
        <v>173</v>
      </c>
      <c r="D417" s="1" t="s">
        <v>174</v>
      </c>
      <c r="E417" s="1" t="s">
        <v>100</v>
      </c>
      <c r="F417" s="1" t="s">
        <v>72</v>
      </c>
      <c r="G417" s="1" t="s">
        <v>18</v>
      </c>
      <c r="H417" s="1" t="s">
        <v>164</v>
      </c>
      <c r="I417" s="1" t="s">
        <v>60</v>
      </c>
      <c r="J417" s="1"/>
      <c r="K417" s="1" t="s">
        <v>98</v>
      </c>
      <c r="L417" s="3"/>
      <c r="M417" s="3"/>
      <c r="N417">
        <f>_xlfn.XLOOKUP(Data[[#This Row],[Status]],Compliance_Status[Status from OPMS],Compliance_Status[Status_Key],"")</f>
        <v>2</v>
      </c>
      <c r="O417">
        <f>_xlfn.XLOOKUP(Data[[#This Row],[Status]],Compliance_Status[Status from OPMS],Compliance_Status[Has Course booking],"")</f>
        <v>0</v>
      </c>
      <c r="P417" t="str">
        <f>_xlfn.XLOOKUP(Data[[#This Row],[StatusKey]],Status_Key[Status_Key],Status_Key[Name],"")</f>
        <v>Outstanding</v>
      </c>
    </row>
    <row r="418" spans="1:16" x14ac:dyDescent="0.25">
      <c r="A418" s="1">
        <v>172</v>
      </c>
      <c r="B418" s="1" t="s">
        <v>172</v>
      </c>
      <c r="C418" s="1" t="s">
        <v>173</v>
      </c>
      <c r="D418" s="1" t="s">
        <v>174</v>
      </c>
      <c r="E418" s="1" t="s">
        <v>101</v>
      </c>
      <c r="F418" s="1" t="s">
        <v>65</v>
      </c>
      <c r="G418" s="1" t="s">
        <v>16</v>
      </c>
      <c r="H418" s="1" t="s">
        <v>164</v>
      </c>
      <c r="I418" s="1" t="s">
        <v>60</v>
      </c>
      <c r="J418" s="1" t="s">
        <v>67</v>
      </c>
      <c r="K418" s="1" t="s">
        <v>102</v>
      </c>
      <c r="L418" s="3" t="s">
        <v>79</v>
      </c>
      <c r="M418" s="3">
        <v>45431</v>
      </c>
      <c r="N418">
        <f>_xlfn.XLOOKUP(Data[[#This Row],[Status]],Compliance_Status[Status from OPMS],Compliance_Status[Status_Key],"")</f>
        <v>4</v>
      </c>
      <c r="O418">
        <f>_xlfn.XLOOKUP(Data[[#This Row],[Status]],Compliance_Status[Status from OPMS],Compliance_Status[Has Course booking],"")</f>
        <v>0</v>
      </c>
      <c r="P418" t="str">
        <f>_xlfn.XLOOKUP(Data[[#This Row],[StatusKey]],Status_Key[Status_Key],Status_Key[Name],"")</f>
        <v>In Date</v>
      </c>
    </row>
    <row r="419" spans="1:16" x14ac:dyDescent="0.25">
      <c r="A419" s="1">
        <v>172</v>
      </c>
      <c r="B419" s="1" t="s">
        <v>172</v>
      </c>
      <c r="C419" s="1" t="s">
        <v>173</v>
      </c>
      <c r="D419" s="1" t="s">
        <v>174</v>
      </c>
      <c r="E419" s="1" t="s">
        <v>103</v>
      </c>
      <c r="F419" s="1" t="s">
        <v>65</v>
      </c>
      <c r="G419" s="1" t="s">
        <v>16</v>
      </c>
      <c r="H419" s="1" t="s">
        <v>164</v>
      </c>
      <c r="I419" s="1" t="s">
        <v>60</v>
      </c>
      <c r="J419" s="1" t="s">
        <v>67</v>
      </c>
      <c r="K419" s="1" t="s">
        <v>102</v>
      </c>
      <c r="L419" s="3">
        <v>46460</v>
      </c>
      <c r="M419" s="3">
        <v>45730</v>
      </c>
      <c r="N419">
        <f>_xlfn.XLOOKUP(Data[[#This Row],[Status]],Compliance_Status[Status from OPMS],Compliance_Status[Status_Key],"")</f>
        <v>4</v>
      </c>
      <c r="O419">
        <f>_xlfn.XLOOKUP(Data[[#This Row],[Status]],Compliance_Status[Status from OPMS],Compliance_Status[Has Course booking],"")</f>
        <v>0</v>
      </c>
      <c r="P419" t="str">
        <f>_xlfn.XLOOKUP(Data[[#This Row],[StatusKey]],Status_Key[Status_Key],Status_Key[Name],"")</f>
        <v>In Date</v>
      </c>
    </row>
    <row r="420" spans="1:16" x14ac:dyDescent="0.25">
      <c r="A420" s="1">
        <v>172</v>
      </c>
      <c r="B420" s="1" t="s">
        <v>172</v>
      </c>
      <c r="C420" s="1" t="s">
        <v>173</v>
      </c>
      <c r="D420" s="1" t="s">
        <v>174</v>
      </c>
      <c r="E420" s="1" t="s">
        <v>104</v>
      </c>
      <c r="F420" s="1" t="s">
        <v>65</v>
      </c>
      <c r="G420" s="1" t="s">
        <v>16</v>
      </c>
      <c r="H420" s="1" t="s">
        <v>164</v>
      </c>
      <c r="I420" s="1" t="s">
        <v>60</v>
      </c>
      <c r="J420" s="1" t="s">
        <v>67</v>
      </c>
      <c r="K420" s="1" t="s">
        <v>105</v>
      </c>
      <c r="L420" s="3">
        <v>46806</v>
      </c>
      <c r="M420" s="3">
        <v>46076</v>
      </c>
      <c r="N420">
        <f>_xlfn.XLOOKUP(Data[[#This Row],[Status]],Compliance_Status[Status from OPMS],Compliance_Status[Status_Key],"")</f>
        <v>4</v>
      </c>
      <c r="O420">
        <f>_xlfn.XLOOKUP(Data[[#This Row],[Status]],Compliance_Status[Status from OPMS],Compliance_Status[Has Course booking],"")</f>
        <v>0</v>
      </c>
      <c r="P420" t="str">
        <f>_xlfn.XLOOKUP(Data[[#This Row],[StatusKey]],Status_Key[Status_Key],Status_Key[Name],"")</f>
        <v>In Date</v>
      </c>
    </row>
    <row r="421" spans="1:16" x14ac:dyDescent="0.25">
      <c r="A421" s="1">
        <v>172</v>
      </c>
      <c r="B421" s="1" t="s">
        <v>172</v>
      </c>
      <c r="C421" s="1" t="s">
        <v>173</v>
      </c>
      <c r="D421" s="1" t="s">
        <v>174</v>
      </c>
      <c r="E421" s="1" t="s">
        <v>106</v>
      </c>
      <c r="F421" s="1" t="s">
        <v>65</v>
      </c>
      <c r="G421" s="1" t="s">
        <v>16</v>
      </c>
      <c r="H421" s="1" t="s">
        <v>164</v>
      </c>
      <c r="I421" s="1" t="s">
        <v>60</v>
      </c>
      <c r="J421" s="1" t="s">
        <v>67</v>
      </c>
      <c r="K421" s="1" t="s">
        <v>105</v>
      </c>
      <c r="L421" s="3">
        <v>47246</v>
      </c>
      <c r="M421" s="3">
        <v>45420</v>
      </c>
      <c r="N421">
        <f>_xlfn.XLOOKUP(Data[[#This Row],[Status]],Compliance_Status[Status from OPMS],Compliance_Status[Status_Key],"")</f>
        <v>4</v>
      </c>
      <c r="O421">
        <f>_xlfn.XLOOKUP(Data[[#This Row],[Status]],Compliance_Status[Status from OPMS],Compliance_Status[Has Course booking],"")</f>
        <v>0</v>
      </c>
      <c r="P421" t="str">
        <f>_xlfn.XLOOKUP(Data[[#This Row],[StatusKey]],Status_Key[Status_Key],Status_Key[Name],"")</f>
        <v>In Date</v>
      </c>
    </row>
    <row r="422" spans="1:16" x14ac:dyDescent="0.25">
      <c r="A422" s="1">
        <v>172</v>
      </c>
      <c r="B422" s="1" t="s">
        <v>172</v>
      </c>
      <c r="C422" s="1" t="s">
        <v>173</v>
      </c>
      <c r="D422" s="1" t="s">
        <v>174</v>
      </c>
      <c r="E422" s="1" t="s">
        <v>107</v>
      </c>
      <c r="F422" s="1" t="s">
        <v>65</v>
      </c>
      <c r="G422" s="1" t="s">
        <v>16</v>
      </c>
      <c r="H422" s="1" t="s">
        <v>164</v>
      </c>
      <c r="I422" s="1" t="s">
        <v>60</v>
      </c>
      <c r="J422" s="1" t="s">
        <v>67</v>
      </c>
      <c r="K422" s="1" t="s">
        <v>105</v>
      </c>
      <c r="L422" s="3">
        <v>46515</v>
      </c>
      <c r="M422" s="3">
        <v>45420</v>
      </c>
      <c r="N422">
        <f>_xlfn.XLOOKUP(Data[[#This Row],[Status]],Compliance_Status[Status from OPMS],Compliance_Status[Status_Key],"")</f>
        <v>4</v>
      </c>
      <c r="O422">
        <f>_xlfn.XLOOKUP(Data[[#This Row],[Status]],Compliance_Status[Status from OPMS],Compliance_Status[Has Course booking],"")</f>
        <v>0</v>
      </c>
      <c r="P422" t="str">
        <f>_xlfn.XLOOKUP(Data[[#This Row],[StatusKey]],Status_Key[Status_Key],Status_Key[Name],"")</f>
        <v>In Date</v>
      </c>
    </row>
    <row r="423" spans="1:16" x14ac:dyDescent="0.25">
      <c r="A423" s="1">
        <v>172</v>
      </c>
      <c r="B423" s="1" t="s">
        <v>172</v>
      </c>
      <c r="C423" s="1" t="s">
        <v>173</v>
      </c>
      <c r="D423" s="1" t="s">
        <v>174</v>
      </c>
      <c r="E423" s="1" t="s">
        <v>108</v>
      </c>
      <c r="F423" s="1" t="s">
        <v>65</v>
      </c>
      <c r="G423" s="1" t="s">
        <v>16</v>
      </c>
      <c r="H423" s="1" t="s">
        <v>164</v>
      </c>
      <c r="I423" s="1" t="s">
        <v>60</v>
      </c>
      <c r="J423" s="1" t="s">
        <v>67</v>
      </c>
      <c r="K423" s="1" t="s">
        <v>105</v>
      </c>
      <c r="L423" s="3">
        <v>46951</v>
      </c>
      <c r="M423" s="3">
        <v>46220</v>
      </c>
      <c r="N423">
        <f>_xlfn.XLOOKUP(Data[[#This Row],[Status]],Compliance_Status[Status from OPMS],Compliance_Status[Status_Key],"")</f>
        <v>4</v>
      </c>
      <c r="O423">
        <f>_xlfn.XLOOKUP(Data[[#This Row],[Status]],Compliance_Status[Status from OPMS],Compliance_Status[Has Course booking],"")</f>
        <v>0</v>
      </c>
      <c r="P423" t="str">
        <f>_xlfn.XLOOKUP(Data[[#This Row],[StatusKey]],Status_Key[Status_Key],Status_Key[Name],"")</f>
        <v>In Date</v>
      </c>
    </row>
    <row r="424" spans="1:16" x14ac:dyDescent="0.25">
      <c r="A424" s="1">
        <v>172</v>
      </c>
      <c r="B424" s="1" t="s">
        <v>172</v>
      </c>
      <c r="C424" s="1" t="s">
        <v>173</v>
      </c>
      <c r="D424" s="1" t="s">
        <v>174</v>
      </c>
      <c r="E424" s="1" t="s">
        <v>109</v>
      </c>
      <c r="F424" s="1" t="s">
        <v>65</v>
      </c>
      <c r="G424" s="1" t="s">
        <v>16</v>
      </c>
      <c r="H424" s="1" t="s">
        <v>164</v>
      </c>
      <c r="I424" s="1" t="s">
        <v>60</v>
      </c>
      <c r="J424" s="1" t="s">
        <v>67</v>
      </c>
      <c r="K424" s="1" t="s">
        <v>105</v>
      </c>
      <c r="L424" s="3">
        <v>46806</v>
      </c>
      <c r="M424" s="3">
        <v>46076</v>
      </c>
      <c r="N424">
        <f>_xlfn.XLOOKUP(Data[[#This Row],[Status]],Compliance_Status[Status from OPMS],Compliance_Status[Status_Key],"")</f>
        <v>4</v>
      </c>
      <c r="O424">
        <f>_xlfn.XLOOKUP(Data[[#This Row],[Status]],Compliance_Status[Status from OPMS],Compliance_Status[Has Course booking],"")</f>
        <v>0</v>
      </c>
      <c r="P424" t="str">
        <f>_xlfn.XLOOKUP(Data[[#This Row],[StatusKey]],Status_Key[Status_Key],Status_Key[Name],"")</f>
        <v>In Date</v>
      </c>
    </row>
    <row r="425" spans="1:16" x14ac:dyDescent="0.25">
      <c r="A425" s="1">
        <v>172</v>
      </c>
      <c r="B425" s="1" t="s">
        <v>172</v>
      </c>
      <c r="C425" s="1" t="s">
        <v>173</v>
      </c>
      <c r="D425" s="1" t="s">
        <v>174</v>
      </c>
      <c r="E425" s="1" t="s">
        <v>110</v>
      </c>
      <c r="F425" s="1" t="s">
        <v>65</v>
      </c>
      <c r="G425" s="1" t="s">
        <v>16</v>
      </c>
      <c r="H425" s="1" t="s">
        <v>164</v>
      </c>
      <c r="I425" s="1" t="s">
        <v>60</v>
      </c>
      <c r="J425" s="1" t="s">
        <v>67</v>
      </c>
      <c r="K425" s="1" t="s">
        <v>105</v>
      </c>
      <c r="L425" s="3" t="s">
        <v>79</v>
      </c>
      <c r="M425" s="3">
        <v>45420</v>
      </c>
      <c r="N425">
        <f>_xlfn.XLOOKUP(Data[[#This Row],[Status]],Compliance_Status[Status from OPMS],Compliance_Status[Status_Key],"")</f>
        <v>4</v>
      </c>
      <c r="O425">
        <f>_xlfn.XLOOKUP(Data[[#This Row],[Status]],Compliance_Status[Status from OPMS],Compliance_Status[Has Course booking],"")</f>
        <v>0</v>
      </c>
      <c r="P425" t="str">
        <f>_xlfn.XLOOKUP(Data[[#This Row],[StatusKey]],Status_Key[Status_Key],Status_Key[Name],"")</f>
        <v>In Date</v>
      </c>
    </row>
    <row r="426" spans="1:16" x14ac:dyDescent="0.25">
      <c r="A426" s="1">
        <v>172</v>
      </c>
      <c r="B426" s="1" t="s">
        <v>172</v>
      </c>
      <c r="C426" s="1" t="s">
        <v>173</v>
      </c>
      <c r="D426" s="1" t="s">
        <v>174</v>
      </c>
      <c r="E426" s="1" t="s">
        <v>111</v>
      </c>
      <c r="F426" s="1" t="s">
        <v>65</v>
      </c>
      <c r="G426" s="1" t="s">
        <v>16</v>
      </c>
      <c r="H426" s="1" t="s">
        <v>164</v>
      </c>
      <c r="I426" s="1" t="s">
        <v>60</v>
      </c>
      <c r="J426" s="1" t="s">
        <v>67</v>
      </c>
      <c r="K426" s="1" t="s">
        <v>105</v>
      </c>
      <c r="L426" s="3">
        <v>46729</v>
      </c>
      <c r="M426" s="3">
        <v>45999</v>
      </c>
      <c r="N426">
        <f>_xlfn.XLOOKUP(Data[[#This Row],[Status]],Compliance_Status[Status from OPMS],Compliance_Status[Status_Key],"")</f>
        <v>4</v>
      </c>
      <c r="O426">
        <f>_xlfn.XLOOKUP(Data[[#This Row],[Status]],Compliance_Status[Status from OPMS],Compliance_Status[Has Course booking],"")</f>
        <v>0</v>
      </c>
      <c r="P426" t="str">
        <f>_xlfn.XLOOKUP(Data[[#This Row],[StatusKey]],Status_Key[Status_Key],Status_Key[Name],"")</f>
        <v>In Date</v>
      </c>
    </row>
    <row r="427" spans="1:16" x14ac:dyDescent="0.25">
      <c r="A427" s="1">
        <v>172</v>
      </c>
      <c r="B427" s="1" t="s">
        <v>172</v>
      </c>
      <c r="C427" s="1" t="s">
        <v>173</v>
      </c>
      <c r="D427" s="1" t="s">
        <v>174</v>
      </c>
      <c r="E427" s="1" t="s">
        <v>112</v>
      </c>
      <c r="F427" s="1" t="s">
        <v>65</v>
      </c>
      <c r="G427" s="1" t="s">
        <v>16</v>
      </c>
      <c r="H427" s="1" t="s">
        <v>164</v>
      </c>
      <c r="I427" s="1" t="s">
        <v>60</v>
      </c>
      <c r="J427" s="1" t="s">
        <v>67</v>
      </c>
      <c r="K427" s="1" t="s">
        <v>105</v>
      </c>
      <c r="L427" s="3">
        <v>46783</v>
      </c>
      <c r="M427" s="3">
        <v>46053</v>
      </c>
      <c r="N427">
        <f>_xlfn.XLOOKUP(Data[[#This Row],[Status]],Compliance_Status[Status from OPMS],Compliance_Status[Status_Key],"")</f>
        <v>4</v>
      </c>
      <c r="O427">
        <f>_xlfn.XLOOKUP(Data[[#This Row],[Status]],Compliance_Status[Status from OPMS],Compliance_Status[Has Course booking],"")</f>
        <v>0</v>
      </c>
      <c r="P427" t="str">
        <f>_xlfn.XLOOKUP(Data[[#This Row],[StatusKey]],Status_Key[Status_Key],Status_Key[Name],"")</f>
        <v>In Date</v>
      </c>
    </row>
    <row r="428" spans="1:16" x14ac:dyDescent="0.25">
      <c r="A428" s="1">
        <v>172</v>
      </c>
      <c r="B428" s="1" t="s">
        <v>172</v>
      </c>
      <c r="C428" s="1" t="s">
        <v>173</v>
      </c>
      <c r="D428" s="1" t="s">
        <v>174</v>
      </c>
      <c r="E428" s="1" t="s">
        <v>113</v>
      </c>
      <c r="F428" s="1" t="s">
        <v>65</v>
      </c>
      <c r="G428" s="1" t="s">
        <v>16</v>
      </c>
      <c r="H428" s="1" t="s">
        <v>164</v>
      </c>
      <c r="I428" s="1" t="s">
        <v>60</v>
      </c>
      <c r="J428" s="1" t="s">
        <v>67</v>
      </c>
      <c r="K428" s="1" t="s">
        <v>105</v>
      </c>
      <c r="L428" s="3">
        <v>46417</v>
      </c>
      <c r="M428" s="3">
        <v>46052</v>
      </c>
      <c r="N428">
        <f>_xlfn.XLOOKUP(Data[[#This Row],[Status]],Compliance_Status[Status from OPMS],Compliance_Status[Status_Key],"")</f>
        <v>4</v>
      </c>
      <c r="O428">
        <f>_xlfn.XLOOKUP(Data[[#This Row],[Status]],Compliance_Status[Status from OPMS],Compliance_Status[Has Course booking],"")</f>
        <v>0</v>
      </c>
      <c r="P428" t="str">
        <f>_xlfn.XLOOKUP(Data[[#This Row],[StatusKey]],Status_Key[Status_Key],Status_Key[Name],"")</f>
        <v>In Date</v>
      </c>
    </row>
    <row r="429" spans="1:16" x14ac:dyDescent="0.25">
      <c r="A429" s="1">
        <v>171</v>
      </c>
      <c r="B429" s="1" t="s">
        <v>175</v>
      </c>
      <c r="C429" s="1" t="s">
        <v>176</v>
      </c>
      <c r="D429" s="1" t="s">
        <v>177</v>
      </c>
      <c r="E429" s="1" t="s">
        <v>163</v>
      </c>
      <c r="F429" s="1" t="s">
        <v>65</v>
      </c>
      <c r="G429" s="1" t="s">
        <v>16</v>
      </c>
      <c r="H429" s="1" t="s">
        <v>164</v>
      </c>
      <c r="I429" s="1" t="s">
        <v>60</v>
      </c>
      <c r="J429" s="1"/>
      <c r="K429" s="1" t="s">
        <v>68</v>
      </c>
      <c r="L429" s="3">
        <v>47879</v>
      </c>
      <c r="M429" s="3">
        <v>46054</v>
      </c>
      <c r="N429">
        <f>_xlfn.XLOOKUP(Data[[#This Row],[Status]],Compliance_Status[Status from OPMS],Compliance_Status[Status_Key],"")</f>
        <v>4</v>
      </c>
      <c r="O429">
        <f>_xlfn.XLOOKUP(Data[[#This Row],[Status]],Compliance_Status[Status from OPMS],Compliance_Status[Has Course booking],"")</f>
        <v>0</v>
      </c>
      <c r="P429" t="str">
        <f>_xlfn.XLOOKUP(Data[[#This Row],[StatusKey]],Status_Key[Status_Key],Status_Key[Name],"")</f>
        <v>In Date</v>
      </c>
    </row>
    <row r="430" spans="1:16" x14ac:dyDescent="0.25">
      <c r="A430" s="1">
        <v>171</v>
      </c>
      <c r="B430" s="1" t="s">
        <v>175</v>
      </c>
      <c r="C430" s="1" t="s">
        <v>176</v>
      </c>
      <c r="D430" s="1" t="s">
        <v>177</v>
      </c>
      <c r="E430" s="1" t="s">
        <v>131</v>
      </c>
      <c r="F430" s="1" t="s">
        <v>72</v>
      </c>
      <c r="G430" s="1" t="s">
        <v>16</v>
      </c>
      <c r="H430" s="1" t="s">
        <v>164</v>
      </c>
      <c r="I430" s="1" t="s">
        <v>60</v>
      </c>
      <c r="J430" s="1" t="s">
        <v>67</v>
      </c>
      <c r="K430" s="1" t="s">
        <v>68</v>
      </c>
      <c r="L430" s="3">
        <v>47222</v>
      </c>
      <c r="M430" s="3">
        <v>45762</v>
      </c>
      <c r="N430">
        <f>_xlfn.XLOOKUP(Data[[#This Row],[Status]],Compliance_Status[Status from OPMS],Compliance_Status[Status_Key],"")</f>
        <v>4</v>
      </c>
      <c r="O430">
        <f>_xlfn.XLOOKUP(Data[[#This Row],[Status]],Compliance_Status[Status from OPMS],Compliance_Status[Has Course booking],"")</f>
        <v>0</v>
      </c>
      <c r="P430" t="str">
        <f>_xlfn.XLOOKUP(Data[[#This Row],[StatusKey]],Status_Key[Status_Key],Status_Key[Name],"")</f>
        <v>In Date</v>
      </c>
    </row>
    <row r="431" spans="1:16" x14ac:dyDescent="0.25">
      <c r="A431" s="1">
        <v>171</v>
      </c>
      <c r="B431" s="1" t="s">
        <v>175</v>
      </c>
      <c r="C431" s="1" t="s">
        <v>176</v>
      </c>
      <c r="D431" s="1" t="s">
        <v>177</v>
      </c>
      <c r="E431" s="1" t="s">
        <v>69</v>
      </c>
      <c r="F431" s="1"/>
      <c r="G431" s="1" t="s">
        <v>16</v>
      </c>
      <c r="H431" s="1" t="s">
        <v>164</v>
      </c>
      <c r="I431" s="1" t="s">
        <v>60</v>
      </c>
      <c r="J431" s="1" t="s">
        <v>67</v>
      </c>
      <c r="K431" s="1" t="s">
        <v>68</v>
      </c>
      <c r="L431" s="3">
        <v>47191</v>
      </c>
      <c r="M431" s="3">
        <v>45366</v>
      </c>
      <c r="N431">
        <f>_xlfn.XLOOKUP(Data[[#This Row],[Status]],Compliance_Status[Status from OPMS],Compliance_Status[Status_Key],"")</f>
        <v>4</v>
      </c>
      <c r="O431">
        <f>_xlfn.XLOOKUP(Data[[#This Row],[Status]],Compliance_Status[Status from OPMS],Compliance_Status[Has Course booking],"")</f>
        <v>0</v>
      </c>
      <c r="P431" t="str">
        <f>_xlfn.XLOOKUP(Data[[#This Row],[StatusKey]],Status_Key[Status_Key],Status_Key[Name],"")</f>
        <v>In Date</v>
      </c>
    </row>
    <row r="432" spans="1:16" x14ac:dyDescent="0.25">
      <c r="A432" s="1">
        <v>171</v>
      </c>
      <c r="B432" s="1" t="s">
        <v>175</v>
      </c>
      <c r="C432" s="1" t="s">
        <v>176</v>
      </c>
      <c r="D432" s="1" t="s">
        <v>177</v>
      </c>
      <c r="E432" s="1" t="s">
        <v>71</v>
      </c>
      <c r="F432" s="1" t="s">
        <v>72</v>
      </c>
      <c r="G432" s="1" t="s">
        <v>16</v>
      </c>
      <c r="H432" s="1" t="s">
        <v>164</v>
      </c>
      <c r="I432" s="1" t="s">
        <v>60</v>
      </c>
      <c r="J432" s="1"/>
      <c r="K432" s="1" t="s">
        <v>68</v>
      </c>
      <c r="L432" s="3">
        <v>47191</v>
      </c>
      <c r="M432" s="3">
        <v>45366</v>
      </c>
      <c r="N432">
        <f>_xlfn.XLOOKUP(Data[[#This Row],[Status]],Compliance_Status[Status from OPMS],Compliance_Status[Status_Key],"")</f>
        <v>4</v>
      </c>
      <c r="O432">
        <f>_xlfn.XLOOKUP(Data[[#This Row],[Status]],Compliance_Status[Status from OPMS],Compliance_Status[Has Course booking],"")</f>
        <v>0</v>
      </c>
      <c r="P432" t="str">
        <f>_xlfn.XLOOKUP(Data[[#This Row],[StatusKey]],Status_Key[Status_Key],Status_Key[Name],"")</f>
        <v>In Date</v>
      </c>
    </row>
    <row r="433" spans="1:16" x14ac:dyDescent="0.25">
      <c r="A433" s="1">
        <v>171</v>
      </c>
      <c r="B433" s="1" t="s">
        <v>175</v>
      </c>
      <c r="C433" s="1" t="s">
        <v>176</v>
      </c>
      <c r="D433" s="1" t="s">
        <v>177</v>
      </c>
      <c r="E433" s="1" t="s">
        <v>73</v>
      </c>
      <c r="F433" s="1" t="s">
        <v>65</v>
      </c>
      <c r="G433" s="1" t="s">
        <v>16</v>
      </c>
      <c r="H433" s="1" t="s">
        <v>164</v>
      </c>
      <c r="I433" s="1" t="s">
        <v>60</v>
      </c>
      <c r="J433" s="1" t="s">
        <v>67</v>
      </c>
      <c r="K433" s="1" t="s">
        <v>68</v>
      </c>
      <c r="L433" s="3">
        <v>46822</v>
      </c>
      <c r="M433" s="3">
        <v>46092</v>
      </c>
      <c r="N433">
        <f>_xlfn.XLOOKUP(Data[[#This Row],[Status]],Compliance_Status[Status from OPMS],Compliance_Status[Status_Key],"")</f>
        <v>4</v>
      </c>
      <c r="O433">
        <f>_xlfn.XLOOKUP(Data[[#This Row],[Status]],Compliance_Status[Status from OPMS],Compliance_Status[Has Course booking],"")</f>
        <v>0</v>
      </c>
      <c r="P433" t="str">
        <f>_xlfn.XLOOKUP(Data[[#This Row],[StatusKey]],Status_Key[Status_Key],Status_Key[Name],"")</f>
        <v>In Date</v>
      </c>
    </row>
    <row r="434" spans="1:16" x14ac:dyDescent="0.25">
      <c r="A434" s="1">
        <v>171</v>
      </c>
      <c r="B434" s="1" t="s">
        <v>175</v>
      </c>
      <c r="C434" s="1" t="s">
        <v>176</v>
      </c>
      <c r="D434" s="1" t="s">
        <v>177</v>
      </c>
      <c r="E434" s="1" t="s">
        <v>74</v>
      </c>
      <c r="F434" s="1" t="s">
        <v>65</v>
      </c>
      <c r="G434" s="1" t="s">
        <v>16</v>
      </c>
      <c r="H434" s="1" t="s">
        <v>164</v>
      </c>
      <c r="I434" s="1" t="s">
        <v>60</v>
      </c>
      <c r="J434" s="1" t="s">
        <v>67</v>
      </c>
      <c r="K434" s="1" t="s">
        <v>68</v>
      </c>
      <c r="L434" s="3">
        <v>46385</v>
      </c>
      <c r="M434" s="3">
        <v>45241</v>
      </c>
      <c r="N434">
        <f>_xlfn.XLOOKUP(Data[[#This Row],[Status]],Compliance_Status[Status from OPMS],Compliance_Status[Status_Key],"")</f>
        <v>4</v>
      </c>
      <c r="O434">
        <f>_xlfn.XLOOKUP(Data[[#This Row],[Status]],Compliance_Status[Status from OPMS],Compliance_Status[Has Course booking],"")</f>
        <v>0</v>
      </c>
      <c r="P434" t="str">
        <f>_xlfn.XLOOKUP(Data[[#This Row],[StatusKey]],Status_Key[Status_Key],Status_Key[Name],"")</f>
        <v>In Date</v>
      </c>
    </row>
    <row r="435" spans="1:16" x14ac:dyDescent="0.25">
      <c r="A435" s="1">
        <v>171</v>
      </c>
      <c r="B435" s="1" t="s">
        <v>175</v>
      </c>
      <c r="C435" s="1" t="s">
        <v>176</v>
      </c>
      <c r="D435" s="1" t="s">
        <v>177</v>
      </c>
      <c r="E435" s="1" t="s">
        <v>75</v>
      </c>
      <c r="F435" s="1" t="s">
        <v>72</v>
      </c>
      <c r="G435" s="1" t="s">
        <v>24</v>
      </c>
      <c r="H435" s="1" t="s">
        <v>164</v>
      </c>
      <c r="I435" s="1" t="s">
        <v>60</v>
      </c>
      <c r="J435" s="1" t="s">
        <v>67</v>
      </c>
      <c r="K435" s="1" t="s">
        <v>68</v>
      </c>
      <c r="L435" s="3">
        <v>46385</v>
      </c>
      <c r="M435" s="3">
        <v>45701</v>
      </c>
      <c r="N435">
        <f>_xlfn.XLOOKUP(Data[[#This Row],[Status]],Compliance_Status[Status from OPMS],Compliance_Status[Status_Key],"")</f>
        <v>3</v>
      </c>
      <c r="O435">
        <f>_xlfn.XLOOKUP(Data[[#This Row],[Status]],Compliance_Status[Status from OPMS],Compliance_Status[Has Course booking],"")</f>
        <v>0</v>
      </c>
      <c r="P435" t="str">
        <f>_xlfn.XLOOKUP(Data[[#This Row],[StatusKey]],Status_Key[Status_Key],Status_Key[Name],"")</f>
        <v>About to expire</v>
      </c>
    </row>
    <row r="436" spans="1:16" x14ac:dyDescent="0.25">
      <c r="A436" s="1">
        <v>171</v>
      </c>
      <c r="B436" s="1" t="s">
        <v>175</v>
      </c>
      <c r="C436" s="1" t="s">
        <v>176</v>
      </c>
      <c r="D436" s="1" t="s">
        <v>177</v>
      </c>
      <c r="E436" s="1" t="s">
        <v>165</v>
      </c>
      <c r="F436" s="1" t="s">
        <v>72</v>
      </c>
      <c r="G436" s="1" t="s">
        <v>16</v>
      </c>
      <c r="H436" s="1" t="s">
        <v>164</v>
      </c>
      <c r="I436" s="1" t="s">
        <v>60</v>
      </c>
      <c r="J436" s="1" t="s">
        <v>67</v>
      </c>
      <c r="K436" s="1" t="s">
        <v>68</v>
      </c>
      <c r="L436" s="3" t="s">
        <v>79</v>
      </c>
      <c r="M436" s="3">
        <v>45344</v>
      </c>
      <c r="N436">
        <f>_xlfn.XLOOKUP(Data[[#This Row],[Status]],Compliance_Status[Status from OPMS],Compliance_Status[Status_Key],"")</f>
        <v>4</v>
      </c>
      <c r="O436">
        <f>_xlfn.XLOOKUP(Data[[#This Row],[Status]],Compliance_Status[Status from OPMS],Compliance_Status[Has Course booking],"")</f>
        <v>0</v>
      </c>
      <c r="P436" t="str">
        <f>_xlfn.XLOOKUP(Data[[#This Row],[StatusKey]],Status_Key[Status_Key],Status_Key[Name],"")</f>
        <v>In Date</v>
      </c>
    </row>
    <row r="437" spans="1:16" x14ac:dyDescent="0.25">
      <c r="A437" s="1">
        <v>171</v>
      </c>
      <c r="B437" s="1" t="s">
        <v>175</v>
      </c>
      <c r="C437" s="1" t="s">
        <v>176</v>
      </c>
      <c r="D437" s="1" t="s">
        <v>177</v>
      </c>
      <c r="E437" s="1" t="s">
        <v>76</v>
      </c>
      <c r="F437" s="1" t="s">
        <v>65</v>
      </c>
      <c r="G437" s="1" t="s">
        <v>16</v>
      </c>
      <c r="H437" s="1" t="s">
        <v>164</v>
      </c>
      <c r="I437" s="1" t="s">
        <v>60</v>
      </c>
      <c r="J437" s="1" t="s">
        <v>67</v>
      </c>
      <c r="K437" s="1" t="s">
        <v>77</v>
      </c>
      <c r="L437" s="3">
        <v>47422</v>
      </c>
      <c r="M437" s="3">
        <v>45961</v>
      </c>
      <c r="N437">
        <f>_xlfn.XLOOKUP(Data[[#This Row],[Status]],Compliance_Status[Status from OPMS],Compliance_Status[Status_Key],"")</f>
        <v>4</v>
      </c>
      <c r="O437">
        <f>_xlfn.XLOOKUP(Data[[#This Row],[Status]],Compliance_Status[Status from OPMS],Compliance_Status[Has Course booking],"")</f>
        <v>0</v>
      </c>
      <c r="P437" t="str">
        <f>_xlfn.XLOOKUP(Data[[#This Row],[StatusKey]],Status_Key[Status_Key],Status_Key[Name],"")</f>
        <v>In Date</v>
      </c>
    </row>
    <row r="438" spans="1:16" x14ac:dyDescent="0.25">
      <c r="A438" s="1">
        <v>171</v>
      </c>
      <c r="B438" s="1" t="s">
        <v>175</v>
      </c>
      <c r="C438" s="1" t="s">
        <v>176</v>
      </c>
      <c r="D438" s="1" t="s">
        <v>177</v>
      </c>
      <c r="E438" s="1" t="s">
        <v>80</v>
      </c>
      <c r="F438" s="1" t="s">
        <v>65</v>
      </c>
      <c r="G438" s="1" t="s">
        <v>16</v>
      </c>
      <c r="H438" s="1" t="s">
        <v>164</v>
      </c>
      <c r="I438" s="1" t="s">
        <v>60</v>
      </c>
      <c r="J438" s="1" t="s">
        <v>67</v>
      </c>
      <c r="K438" s="1" t="s">
        <v>77</v>
      </c>
      <c r="L438" s="3" t="s">
        <v>79</v>
      </c>
      <c r="M438" s="3">
        <v>45392</v>
      </c>
      <c r="N438">
        <f>_xlfn.XLOOKUP(Data[[#This Row],[Status]],Compliance_Status[Status from OPMS],Compliance_Status[Status_Key],"")</f>
        <v>4</v>
      </c>
      <c r="O438">
        <f>_xlfn.XLOOKUP(Data[[#This Row],[Status]],Compliance_Status[Status from OPMS],Compliance_Status[Has Course booking],"")</f>
        <v>0</v>
      </c>
      <c r="P438" t="str">
        <f>_xlfn.XLOOKUP(Data[[#This Row],[StatusKey]],Status_Key[Status_Key],Status_Key[Name],"")</f>
        <v>In Date</v>
      </c>
    </row>
    <row r="439" spans="1:16" x14ac:dyDescent="0.25">
      <c r="A439" s="1">
        <v>171</v>
      </c>
      <c r="B439" s="1" t="s">
        <v>175</v>
      </c>
      <c r="C439" s="1" t="s">
        <v>176</v>
      </c>
      <c r="D439" s="1" t="s">
        <v>177</v>
      </c>
      <c r="E439" s="1" t="s">
        <v>84</v>
      </c>
      <c r="F439" s="1" t="s">
        <v>65</v>
      </c>
      <c r="G439" s="1" t="s">
        <v>16</v>
      </c>
      <c r="H439" s="1" t="s">
        <v>164</v>
      </c>
      <c r="I439" s="1" t="s">
        <v>60</v>
      </c>
      <c r="J439" s="1" t="s">
        <v>67</v>
      </c>
      <c r="K439" s="1" t="s">
        <v>83</v>
      </c>
      <c r="L439" s="3">
        <v>46726</v>
      </c>
      <c r="M439" s="3">
        <v>45996</v>
      </c>
      <c r="N439">
        <f>_xlfn.XLOOKUP(Data[[#This Row],[Status]],Compliance_Status[Status from OPMS],Compliance_Status[Status_Key],"")</f>
        <v>4</v>
      </c>
      <c r="O439">
        <f>_xlfn.XLOOKUP(Data[[#This Row],[Status]],Compliance_Status[Status from OPMS],Compliance_Status[Has Course booking],"")</f>
        <v>0</v>
      </c>
      <c r="P439" t="str">
        <f>_xlfn.XLOOKUP(Data[[#This Row],[StatusKey]],Status_Key[Status_Key],Status_Key[Name],"")</f>
        <v>In Date</v>
      </c>
    </row>
    <row r="440" spans="1:16" x14ac:dyDescent="0.25">
      <c r="A440" s="1">
        <v>171</v>
      </c>
      <c r="B440" s="1" t="s">
        <v>175</v>
      </c>
      <c r="C440" s="1" t="s">
        <v>176</v>
      </c>
      <c r="D440" s="1" t="s">
        <v>177</v>
      </c>
      <c r="E440" s="1" t="s">
        <v>93</v>
      </c>
      <c r="F440" s="1" t="s">
        <v>65</v>
      </c>
      <c r="G440" s="1" t="s">
        <v>16</v>
      </c>
      <c r="H440" s="1" t="s">
        <v>164</v>
      </c>
      <c r="I440" s="1" t="s">
        <v>60</v>
      </c>
      <c r="J440" s="1" t="s">
        <v>67</v>
      </c>
      <c r="K440" s="1" t="s">
        <v>94</v>
      </c>
      <c r="L440" s="3">
        <v>46685</v>
      </c>
      <c r="M440" s="3">
        <v>45955</v>
      </c>
      <c r="N440">
        <f>_xlfn.XLOOKUP(Data[[#This Row],[Status]],Compliance_Status[Status from OPMS],Compliance_Status[Status_Key],"")</f>
        <v>4</v>
      </c>
      <c r="O440">
        <f>_xlfn.XLOOKUP(Data[[#This Row],[Status]],Compliance_Status[Status from OPMS],Compliance_Status[Has Course booking],"")</f>
        <v>0</v>
      </c>
      <c r="P440" t="str">
        <f>_xlfn.XLOOKUP(Data[[#This Row],[StatusKey]],Status_Key[Status_Key],Status_Key[Name],"")</f>
        <v>In Date</v>
      </c>
    </row>
    <row r="441" spans="1:16" x14ac:dyDescent="0.25">
      <c r="A441" s="1">
        <v>171</v>
      </c>
      <c r="B441" s="1" t="s">
        <v>175</v>
      </c>
      <c r="C441" s="1" t="s">
        <v>176</v>
      </c>
      <c r="D441" s="1" t="s">
        <v>177</v>
      </c>
      <c r="E441" s="1" t="s">
        <v>95</v>
      </c>
      <c r="F441" s="1" t="s">
        <v>65</v>
      </c>
      <c r="G441" s="1" t="s">
        <v>16</v>
      </c>
      <c r="H441" s="1" t="s">
        <v>164</v>
      </c>
      <c r="I441" s="1" t="s">
        <v>60</v>
      </c>
      <c r="J441" s="1" t="s">
        <v>67</v>
      </c>
      <c r="K441" s="1" t="s">
        <v>94</v>
      </c>
      <c r="L441" s="3">
        <v>46680</v>
      </c>
      <c r="M441" s="3">
        <v>45950</v>
      </c>
      <c r="N441">
        <f>_xlfn.XLOOKUP(Data[[#This Row],[Status]],Compliance_Status[Status from OPMS],Compliance_Status[Status_Key],"")</f>
        <v>4</v>
      </c>
      <c r="O441">
        <f>_xlfn.XLOOKUP(Data[[#This Row],[Status]],Compliance_Status[Status from OPMS],Compliance_Status[Has Course booking],"")</f>
        <v>0</v>
      </c>
      <c r="P441" t="str">
        <f>_xlfn.XLOOKUP(Data[[#This Row],[StatusKey]],Status_Key[Status_Key],Status_Key[Name],"")</f>
        <v>In Date</v>
      </c>
    </row>
    <row r="442" spans="1:16" x14ac:dyDescent="0.25">
      <c r="A442" s="1">
        <v>171</v>
      </c>
      <c r="B442" s="1" t="s">
        <v>175</v>
      </c>
      <c r="C442" s="1" t="s">
        <v>176</v>
      </c>
      <c r="D442" s="1" t="s">
        <v>177</v>
      </c>
      <c r="E442" s="1" t="s">
        <v>156</v>
      </c>
      <c r="F442" s="1" t="s">
        <v>65</v>
      </c>
      <c r="G442" s="1" t="s">
        <v>18</v>
      </c>
      <c r="H442" s="1" t="s">
        <v>164</v>
      </c>
      <c r="I442" s="1" t="s">
        <v>60</v>
      </c>
      <c r="J442" s="1"/>
      <c r="K442" s="1" t="s">
        <v>125</v>
      </c>
      <c r="L442" s="3"/>
      <c r="M442" s="3"/>
      <c r="N442">
        <f>_xlfn.XLOOKUP(Data[[#This Row],[Status]],Compliance_Status[Status from OPMS],Compliance_Status[Status_Key],"")</f>
        <v>2</v>
      </c>
      <c r="O442">
        <f>_xlfn.XLOOKUP(Data[[#This Row],[Status]],Compliance_Status[Status from OPMS],Compliance_Status[Has Course booking],"")</f>
        <v>0</v>
      </c>
      <c r="P442" t="str">
        <f>_xlfn.XLOOKUP(Data[[#This Row],[StatusKey]],Status_Key[Status_Key],Status_Key[Name],"")</f>
        <v>Outstanding</v>
      </c>
    </row>
    <row r="443" spans="1:16" x14ac:dyDescent="0.25">
      <c r="A443" s="1">
        <v>171</v>
      </c>
      <c r="B443" s="1" t="s">
        <v>175</v>
      </c>
      <c r="C443" s="1" t="s">
        <v>176</v>
      </c>
      <c r="D443" s="1" t="s">
        <v>177</v>
      </c>
      <c r="E443" s="1" t="s">
        <v>124</v>
      </c>
      <c r="F443" s="1" t="s">
        <v>72</v>
      </c>
      <c r="G443" s="1" t="s">
        <v>18</v>
      </c>
      <c r="H443" s="1" t="s">
        <v>164</v>
      </c>
      <c r="I443" s="1" t="s">
        <v>60</v>
      </c>
      <c r="J443" s="1"/>
      <c r="K443" s="1" t="s">
        <v>125</v>
      </c>
      <c r="L443" s="3"/>
      <c r="M443" s="3"/>
      <c r="N443">
        <f>_xlfn.XLOOKUP(Data[[#This Row],[Status]],Compliance_Status[Status from OPMS],Compliance_Status[Status_Key],"")</f>
        <v>2</v>
      </c>
      <c r="O443">
        <f>_xlfn.XLOOKUP(Data[[#This Row],[Status]],Compliance_Status[Status from OPMS],Compliance_Status[Has Course booking],"")</f>
        <v>0</v>
      </c>
      <c r="P443" t="str">
        <f>_xlfn.XLOOKUP(Data[[#This Row],[StatusKey]],Status_Key[Status_Key],Status_Key[Name],"")</f>
        <v>Outstanding</v>
      </c>
    </row>
    <row r="444" spans="1:16" x14ac:dyDescent="0.25">
      <c r="A444" s="1">
        <v>171</v>
      </c>
      <c r="B444" s="1" t="s">
        <v>175</v>
      </c>
      <c r="C444" s="1" t="s">
        <v>176</v>
      </c>
      <c r="D444" s="1" t="s">
        <v>177</v>
      </c>
      <c r="E444" s="1" t="s">
        <v>97</v>
      </c>
      <c r="F444" s="1" t="s">
        <v>65</v>
      </c>
      <c r="G444" s="1" t="s">
        <v>16</v>
      </c>
      <c r="H444" s="1" t="s">
        <v>164</v>
      </c>
      <c r="I444" s="1" t="s">
        <v>60</v>
      </c>
      <c r="J444" s="1" t="s">
        <v>67</v>
      </c>
      <c r="K444" s="1" t="s">
        <v>98</v>
      </c>
      <c r="L444" s="3">
        <v>47974</v>
      </c>
      <c r="M444" s="3">
        <v>46148</v>
      </c>
      <c r="N444">
        <f>_xlfn.XLOOKUP(Data[[#This Row],[Status]],Compliance_Status[Status from OPMS],Compliance_Status[Status_Key],"")</f>
        <v>4</v>
      </c>
      <c r="O444">
        <f>_xlfn.XLOOKUP(Data[[#This Row],[Status]],Compliance_Status[Status from OPMS],Compliance_Status[Has Course booking],"")</f>
        <v>0</v>
      </c>
      <c r="P444" t="str">
        <f>_xlfn.XLOOKUP(Data[[#This Row],[StatusKey]],Status_Key[Status_Key],Status_Key[Name],"")</f>
        <v>In Date</v>
      </c>
    </row>
    <row r="445" spans="1:16" x14ac:dyDescent="0.25">
      <c r="A445" s="1">
        <v>171</v>
      </c>
      <c r="B445" s="1" t="s">
        <v>175</v>
      </c>
      <c r="C445" s="1" t="s">
        <v>176</v>
      </c>
      <c r="D445" s="1" t="s">
        <v>177</v>
      </c>
      <c r="E445" s="1" t="s">
        <v>99</v>
      </c>
      <c r="F445" s="1"/>
      <c r="G445" s="1" t="s">
        <v>16</v>
      </c>
      <c r="H445" s="1" t="s">
        <v>164</v>
      </c>
      <c r="I445" s="1" t="s">
        <v>60</v>
      </c>
      <c r="J445" s="1" t="s">
        <v>67</v>
      </c>
      <c r="K445" s="1" t="s">
        <v>98</v>
      </c>
      <c r="L445" s="3">
        <v>46871</v>
      </c>
      <c r="M445" s="3">
        <v>46140</v>
      </c>
      <c r="N445">
        <f>_xlfn.XLOOKUP(Data[[#This Row],[Status]],Compliance_Status[Status from OPMS],Compliance_Status[Status_Key],"")</f>
        <v>4</v>
      </c>
      <c r="O445">
        <f>_xlfn.XLOOKUP(Data[[#This Row],[Status]],Compliance_Status[Status from OPMS],Compliance_Status[Has Course booking],"")</f>
        <v>0</v>
      </c>
      <c r="P445" t="str">
        <f>_xlfn.XLOOKUP(Data[[#This Row],[StatusKey]],Status_Key[Status_Key],Status_Key[Name],"")</f>
        <v>In Date</v>
      </c>
    </row>
    <row r="446" spans="1:16" x14ac:dyDescent="0.25">
      <c r="A446" s="1">
        <v>171</v>
      </c>
      <c r="B446" s="1" t="s">
        <v>175</v>
      </c>
      <c r="C446" s="1" t="s">
        <v>176</v>
      </c>
      <c r="D446" s="1" t="s">
        <v>177</v>
      </c>
      <c r="E446" s="1" t="s">
        <v>100</v>
      </c>
      <c r="F446" s="1" t="s">
        <v>72</v>
      </c>
      <c r="G446" s="1" t="s">
        <v>16</v>
      </c>
      <c r="H446" s="1" t="s">
        <v>164</v>
      </c>
      <c r="I446" s="1" t="s">
        <v>60</v>
      </c>
      <c r="J446" s="1" t="s">
        <v>67</v>
      </c>
      <c r="K446" s="1" t="s">
        <v>98</v>
      </c>
      <c r="L446" s="3">
        <v>46871</v>
      </c>
      <c r="M446" s="3">
        <v>46140</v>
      </c>
      <c r="N446">
        <f>_xlfn.XLOOKUP(Data[[#This Row],[Status]],Compliance_Status[Status from OPMS],Compliance_Status[Status_Key],"")</f>
        <v>4</v>
      </c>
      <c r="O446">
        <f>_xlfn.XLOOKUP(Data[[#This Row],[Status]],Compliance_Status[Status from OPMS],Compliance_Status[Has Course booking],"")</f>
        <v>0</v>
      </c>
      <c r="P446" t="str">
        <f>_xlfn.XLOOKUP(Data[[#This Row],[StatusKey]],Status_Key[Status_Key],Status_Key[Name],"")</f>
        <v>In Date</v>
      </c>
    </row>
    <row r="447" spans="1:16" x14ac:dyDescent="0.25">
      <c r="A447" s="1">
        <v>171</v>
      </c>
      <c r="B447" s="1" t="s">
        <v>175</v>
      </c>
      <c r="C447" s="1" t="s">
        <v>176</v>
      </c>
      <c r="D447" s="1" t="s">
        <v>177</v>
      </c>
      <c r="E447" s="1" t="s">
        <v>101</v>
      </c>
      <c r="F447" s="1" t="s">
        <v>65</v>
      </c>
      <c r="G447" s="1" t="s">
        <v>16</v>
      </c>
      <c r="H447" s="1" t="s">
        <v>164</v>
      </c>
      <c r="I447" s="1" t="s">
        <v>60</v>
      </c>
      <c r="J447" s="1" t="s">
        <v>67</v>
      </c>
      <c r="K447" s="1" t="s">
        <v>102</v>
      </c>
      <c r="L447" s="3" t="s">
        <v>79</v>
      </c>
      <c r="M447" s="3">
        <v>45431</v>
      </c>
      <c r="N447">
        <f>_xlfn.XLOOKUP(Data[[#This Row],[Status]],Compliance_Status[Status from OPMS],Compliance_Status[Status_Key],"")</f>
        <v>4</v>
      </c>
      <c r="O447">
        <f>_xlfn.XLOOKUP(Data[[#This Row],[Status]],Compliance_Status[Status from OPMS],Compliance_Status[Has Course booking],"")</f>
        <v>0</v>
      </c>
      <c r="P447" t="str">
        <f>_xlfn.XLOOKUP(Data[[#This Row],[StatusKey]],Status_Key[Status_Key],Status_Key[Name],"")</f>
        <v>In Date</v>
      </c>
    </row>
    <row r="448" spans="1:16" x14ac:dyDescent="0.25">
      <c r="A448" s="1">
        <v>171</v>
      </c>
      <c r="B448" s="1" t="s">
        <v>175</v>
      </c>
      <c r="C448" s="1" t="s">
        <v>176</v>
      </c>
      <c r="D448" s="1" t="s">
        <v>177</v>
      </c>
      <c r="E448" s="1" t="s">
        <v>103</v>
      </c>
      <c r="F448" s="1" t="s">
        <v>65</v>
      </c>
      <c r="G448" s="1" t="s">
        <v>16</v>
      </c>
      <c r="H448" s="1" t="s">
        <v>164</v>
      </c>
      <c r="I448" s="1" t="s">
        <v>60</v>
      </c>
      <c r="J448" s="1" t="s">
        <v>67</v>
      </c>
      <c r="K448" s="1" t="s">
        <v>102</v>
      </c>
      <c r="L448" s="3">
        <v>46459</v>
      </c>
      <c r="M448" s="3">
        <v>45729</v>
      </c>
      <c r="N448">
        <f>_xlfn.XLOOKUP(Data[[#This Row],[Status]],Compliance_Status[Status from OPMS],Compliance_Status[Status_Key],"")</f>
        <v>4</v>
      </c>
      <c r="O448">
        <f>_xlfn.XLOOKUP(Data[[#This Row],[Status]],Compliance_Status[Status from OPMS],Compliance_Status[Has Course booking],"")</f>
        <v>0</v>
      </c>
      <c r="P448" t="str">
        <f>_xlfn.XLOOKUP(Data[[#This Row],[StatusKey]],Status_Key[Status_Key],Status_Key[Name],"")</f>
        <v>In Date</v>
      </c>
    </row>
    <row r="449" spans="1:16" x14ac:dyDescent="0.25">
      <c r="A449" s="1">
        <v>171</v>
      </c>
      <c r="B449" s="1" t="s">
        <v>175</v>
      </c>
      <c r="C449" s="1" t="s">
        <v>176</v>
      </c>
      <c r="D449" s="1" t="s">
        <v>177</v>
      </c>
      <c r="E449" s="1" t="s">
        <v>104</v>
      </c>
      <c r="F449" s="1" t="s">
        <v>65</v>
      </c>
      <c r="G449" s="1" t="s">
        <v>16</v>
      </c>
      <c r="H449" s="1" t="s">
        <v>164</v>
      </c>
      <c r="I449" s="1" t="s">
        <v>60</v>
      </c>
      <c r="J449" s="1" t="s">
        <v>67</v>
      </c>
      <c r="K449" s="1" t="s">
        <v>105</v>
      </c>
      <c r="L449" s="3">
        <v>46802</v>
      </c>
      <c r="M449" s="3">
        <v>46072</v>
      </c>
      <c r="N449">
        <f>_xlfn.XLOOKUP(Data[[#This Row],[Status]],Compliance_Status[Status from OPMS],Compliance_Status[Status_Key],"")</f>
        <v>4</v>
      </c>
      <c r="O449">
        <f>_xlfn.XLOOKUP(Data[[#This Row],[Status]],Compliance_Status[Status from OPMS],Compliance_Status[Has Course booking],"")</f>
        <v>0</v>
      </c>
      <c r="P449" t="str">
        <f>_xlfn.XLOOKUP(Data[[#This Row],[StatusKey]],Status_Key[Status_Key],Status_Key[Name],"")</f>
        <v>In Date</v>
      </c>
    </row>
    <row r="450" spans="1:16" x14ac:dyDescent="0.25">
      <c r="A450" s="1">
        <v>171</v>
      </c>
      <c r="B450" s="1" t="s">
        <v>175</v>
      </c>
      <c r="C450" s="1" t="s">
        <v>176</v>
      </c>
      <c r="D450" s="1" t="s">
        <v>177</v>
      </c>
      <c r="E450" s="1" t="s">
        <v>106</v>
      </c>
      <c r="F450" s="1" t="s">
        <v>65</v>
      </c>
      <c r="G450" s="1" t="s">
        <v>16</v>
      </c>
      <c r="H450" s="1" t="s">
        <v>164</v>
      </c>
      <c r="I450" s="1" t="s">
        <v>60</v>
      </c>
      <c r="J450" s="1" t="s">
        <v>67</v>
      </c>
      <c r="K450" s="1" t="s">
        <v>105</v>
      </c>
      <c r="L450" s="3">
        <v>47244</v>
      </c>
      <c r="M450" s="3">
        <v>45418</v>
      </c>
      <c r="N450">
        <f>_xlfn.XLOOKUP(Data[[#This Row],[Status]],Compliance_Status[Status from OPMS],Compliance_Status[Status_Key],"")</f>
        <v>4</v>
      </c>
      <c r="O450">
        <f>_xlfn.XLOOKUP(Data[[#This Row],[Status]],Compliance_Status[Status from OPMS],Compliance_Status[Has Course booking],"")</f>
        <v>0</v>
      </c>
      <c r="P450" t="str">
        <f>_xlfn.XLOOKUP(Data[[#This Row],[StatusKey]],Status_Key[Status_Key],Status_Key[Name],"")</f>
        <v>In Date</v>
      </c>
    </row>
    <row r="451" spans="1:16" x14ac:dyDescent="0.25">
      <c r="A451" s="1">
        <v>171</v>
      </c>
      <c r="B451" s="1" t="s">
        <v>175</v>
      </c>
      <c r="C451" s="1" t="s">
        <v>176</v>
      </c>
      <c r="D451" s="1" t="s">
        <v>177</v>
      </c>
      <c r="E451" s="1" t="s">
        <v>107</v>
      </c>
      <c r="F451" s="1" t="s">
        <v>65</v>
      </c>
      <c r="G451" s="1" t="s">
        <v>16</v>
      </c>
      <c r="H451" s="1" t="s">
        <v>164</v>
      </c>
      <c r="I451" s="1" t="s">
        <v>60</v>
      </c>
      <c r="J451" s="1" t="s">
        <v>67</v>
      </c>
      <c r="K451" s="1" t="s">
        <v>105</v>
      </c>
      <c r="L451" s="3">
        <v>46513</v>
      </c>
      <c r="M451" s="3">
        <v>45418</v>
      </c>
      <c r="N451">
        <f>_xlfn.XLOOKUP(Data[[#This Row],[Status]],Compliance_Status[Status from OPMS],Compliance_Status[Status_Key],"")</f>
        <v>4</v>
      </c>
      <c r="O451">
        <f>_xlfn.XLOOKUP(Data[[#This Row],[Status]],Compliance_Status[Status from OPMS],Compliance_Status[Has Course booking],"")</f>
        <v>0</v>
      </c>
      <c r="P451" t="str">
        <f>_xlfn.XLOOKUP(Data[[#This Row],[StatusKey]],Status_Key[Status_Key],Status_Key[Name],"")</f>
        <v>In Date</v>
      </c>
    </row>
    <row r="452" spans="1:16" x14ac:dyDescent="0.25">
      <c r="A452" s="1">
        <v>171</v>
      </c>
      <c r="B452" s="1" t="s">
        <v>175</v>
      </c>
      <c r="C452" s="1" t="s">
        <v>176</v>
      </c>
      <c r="D452" s="1" t="s">
        <v>177</v>
      </c>
      <c r="E452" s="1" t="s">
        <v>108</v>
      </c>
      <c r="F452" s="1" t="s">
        <v>65</v>
      </c>
      <c r="G452" s="1" t="s">
        <v>16</v>
      </c>
      <c r="H452" s="1" t="s">
        <v>164</v>
      </c>
      <c r="I452" s="1" t="s">
        <v>60</v>
      </c>
      <c r="J452" s="1" t="s">
        <v>67</v>
      </c>
      <c r="K452" s="1" t="s">
        <v>105</v>
      </c>
      <c r="L452" s="3">
        <v>47319</v>
      </c>
      <c r="M452" s="3">
        <v>46223</v>
      </c>
      <c r="N452">
        <f>_xlfn.XLOOKUP(Data[[#This Row],[Status]],Compliance_Status[Status from OPMS],Compliance_Status[Status_Key],"")</f>
        <v>4</v>
      </c>
      <c r="O452">
        <f>_xlfn.XLOOKUP(Data[[#This Row],[Status]],Compliance_Status[Status from OPMS],Compliance_Status[Has Course booking],"")</f>
        <v>0</v>
      </c>
      <c r="P452" t="str">
        <f>_xlfn.XLOOKUP(Data[[#This Row],[StatusKey]],Status_Key[Status_Key],Status_Key[Name],"")</f>
        <v>In Date</v>
      </c>
    </row>
    <row r="453" spans="1:16" x14ac:dyDescent="0.25">
      <c r="A453" s="1">
        <v>171</v>
      </c>
      <c r="B453" s="1" t="s">
        <v>175</v>
      </c>
      <c r="C453" s="1" t="s">
        <v>176</v>
      </c>
      <c r="D453" s="1" t="s">
        <v>177</v>
      </c>
      <c r="E453" s="1" t="s">
        <v>109</v>
      </c>
      <c r="F453" s="1" t="s">
        <v>65</v>
      </c>
      <c r="G453" s="1" t="s">
        <v>16</v>
      </c>
      <c r="H453" s="1" t="s">
        <v>164</v>
      </c>
      <c r="I453" s="1" t="s">
        <v>60</v>
      </c>
      <c r="J453" s="1" t="s">
        <v>67</v>
      </c>
      <c r="K453" s="1" t="s">
        <v>105</v>
      </c>
      <c r="L453" s="3">
        <v>46802</v>
      </c>
      <c r="M453" s="3">
        <v>46072</v>
      </c>
      <c r="N453">
        <f>_xlfn.XLOOKUP(Data[[#This Row],[Status]],Compliance_Status[Status from OPMS],Compliance_Status[Status_Key],"")</f>
        <v>4</v>
      </c>
      <c r="O453">
        <f>_xlfn.XLOOKUP(Data[[#This Row],[Status]],Compliance_Status[Status from OPMS],Compliance_Status[Has Course booking],"")</f>
        <v>0</v>
      </c>
      <c r="P453" t="str">
        <f>_xlfn.XLOOKUP(Data[[#This Row],[StatusKey]],Status_Key[Status_Key],Status_Key[Name],"")</f>
        <v>In Date</v>
      </c>
    </row>
    <row r="454" spans="1:16" x14ac:dyDescent="0.25">
      <c r="A454" s="1">
        <v>171</v>
      </c>
      <c r="B454" s="1" t="s">
        <v>175</v>
      </c>
      <c r="C454" s="1" t="s">
        <v>176</v>
      </c>
      <c r="D454" s="1" t="s">
        <v>177</v>
      </c>
      <c r="E454" s="1" t="s">
        <v>110</v>
      </c>
      <c r="F454" s="1" t="s">
        <v>65</v>
      </c>
      <c r="G454" s="1" t="s">
        <v>16</v>
      </c>
      <c r="H454" s="1" t="s">
        <v>164</v>
      </c>
      <c r="I454" s="1" t="s">
        <v>60</v>
      </c>
      <c r="J454" s="1" t="s">
        <v>67</v>
      </c>
      <c r="K454" s="1" t="s">
        <v>105</v>
      </c>
      <c r="L454" s="3" t="s">
        <v>79</v>
      </c>
      <c r="M454" s="3">
        <v>45418</v>
      </c>
      <c r="N454">
        <f>_xlfn.XLOOKUP(Data[[#This Row],[Status]],Compliance_Status[Status from OPMS],Compliance_Status[Status_Key],"")</f>
        <v>4</v>
      </c>
      <c r="O454">
        <f>_xlfn.XLOOKUP(Data[[#This Row],[Status]],Compliance_Status[Status from OPMS],Compliance_Status[Has Course booking],"")</f>
        <v>0</v>
      </c>
      <c r="P454" t="str">
        <f>_xlfn.XLOOKUP(Data[[#This Row],[StatusKey]],Status_Key[Status_Key],Status_Key[Name],"")</f>
        <v>In Date</v>
      </c>
    </row>
    <row r="455" spans="1:16" x14ac:dyDescent="0.25">
      <c r="A455" s="1">
        <v>171</v>
      </c>
      <c r="B455" s="1" t="s">
        <v>175</v>
      </c>
      <c r="C455" s="1" t="s">
        <v>176</v>
      </c>
      <c r="D455" s="1" t="s">
        <v>177</v>
      </c>
      <c r="E455" s="1" t="s">
        <v>111</v>
      </c>
      <c r="F455" s="1" t="s">
        <v>65</v>
      </c>
      <c r="G455" s="1" t="s">
        <v>16</v>
      </c>
      <c r="H455" s="1" t="s">
        <v>164</v>
      </c>
      <c r="I455" s="1" t="s">
        <v>60</v>
      </c>
      <c r="J455" s="1" t="s">
        <v>67</v>
      </c>
      <c r="K455" s="1" t="s">
        <v>105</v>
      </c>
      <c r="L455" s="3">
        <v>46726</v>
      </c>
      <c r="M455" s="3">
        <v>45996</v>
      </c>
      <c r="N455">
        <f>_xlfn.XLOOKUP(Data[[#This Row],[Status]],Compliance_Status[Status from OPMS],Compliance_Status[Status_Key],"")</f>
        <v>4</v>
      </c>
      <c r="O455">
        <f>_xlfn.XLOOKUP(Data[[#This Row],[Status]],Compliance_Status[Status from OPMS],Compliance_Status[Has Course booking],"")</f>
        <v>0</v>
      </c>
      <c r="P455" t="str">
        <f>_xlfn.XLOOKUP(Data[[#This Row],[StatusKey]],Status_Key[Status_Key],Status_Key[Name],"")</f>
        <v>In Date</v>
      </c>
    </row>
    <row r="456" spans="1:16" x14ac:dyDescent="0.25">
      <c r="A456" s="1">
        <v>171</v>
      </c>
      <c r="B456" s="1" t="s">
        <v>175</v>
      </c>
      <c r="C456" s="1" t="s">
        <v>176</v>
      </c>
      <c r="D456" s="1" t="s">
        <v>177</v>
      </c>
      <c r="E456" s="1" t="s">
        <v>112</v>
      </c>
      <c r="F456" s="1" t="s">
        <v>65</v>
      </c>
      <c r="G456" s="1" t="s">
        <v>16</v>
      </c>
      <c r="H456" s="1" t="s">
        <v>164</v>
      </c>
      <c r="I456" s="1" t="s">
        <v>60</v>
      </c>
      <c r="J456" s="1" t="s">
        <v>67</v>
      </c>
      <c r="K456" s="1" t="s">
        <v>105</v>
      </c>
      <c r="L456" s="3">
        <v>46782</v>
      </c>
      <c r="M456" s="3">
        <v>46052</v>
      </c>
      <c r="N456">
        <f>_xlfn.XLOOKUP(Data[[#This Row],[Status]],Compliance_Status[Status from OPMS],Compliance_Status[Status_Key],"")</f>
        <v>4</v>
      </c>
      <c r="O456">
        <f>_xlfn.XLOOKUP(Data[[#This Row],[Status]],Compliance_Status[Status from OPMS],Compliance_Status[Has Course booking],"")</f>
        <v>0</v>
      </c>
      <c r="P456" t="str">
        <f>_xlfn.XLOOKUP(Data[[#This Row],[StatusKey]],Status_Key[Status_Key],Status_Key[Name],"")</f>
        <v>In Date</v>
      </c>
    </row>
    <row r="457" spans="1:16" x14ac:dyDescent="0.25">
      <c r="A457" s="1">
        <v>171</v>
      </c>
      <c r="B457" s="1" t="s">
        <v>175</v>
      </c>
      <c r="C457" s="1" t="s">
        <v>176</v>
      </c>
      <c r="D457" s="1" t="s">
        <v>177</v>
      </c>
      <c r="E457" s="1" t="s">
        <v>113</v>
      </c>
      <c r="F457" s="1" t="s">
        <v>65</v>
      </c>
      <c r="G457" s="1" t="s">
        <v>16</v>
      </c>
      <c r="H457" s="1" t="s">
        <v>164</v>
      </c>
      <c r="I457" s="1" t="s">
        <v>60</v>
      </c>
      <c r="J457" s="1" t="s">
        <v>67</v>
      </c>
      <c r="K457" s="1" t="s">
        <v>105</v>
      </c>
      <c r="L457" s="3">
        <v>46726</v>
      </c>
      <c r="M457" s="3">
        <v>45996</v>
      </c>
      <c r="N457">
        <f>_xlfn.XLOOKUP(Data[[#This Row],[Status]],Compliance_Status[Status from OPMS],Compliance_Status[Status_Key],"")</f>
        <v>4</v>
      </c>
      <c r="O457">
        <f>_xlfn.XLOOKUP(Data[[#This Row],[Status]],Compliance_Status[Status from OPMS],Compliance_Status[Has Course booking],"")</f>
        <v>0</v>
      </c>
      <c r="P457" t="str">
        <f>_xlfn.XLOOKUP(Data[[#This Row],[StatusKey]],Status_Key[Status_Key],Status_Key[Name],"")</f>
        <v>In Date</v>
      </c>
    </row>
    <row r="458" spans="1:16" x14ac:dyDescent="0.25">
      <c r="A458" s="1">
        <v>174</v>
      </c>
      <c r="B458" s="1" t="s">
        <v>178</v>
      </c>
      <c r="C458" s="1" t="s">
        <v>179</v>
      </c>
      <c r="D458" s="1" t="s">
        <v>180</v>
      </c>
      <c r="E458" s="1" t="s">
        <v>163</v>
      </c>
      <c r="F458" s="1" t="s">
        <v>65</v>
      </c>
      <c r="G458" s="1" t="s">
        <v>16</v>
      </c>
      <c r="H458" s="1" t="s">
        <v>164</v>
      </c>
      <c r="I458" s="1" t="s">
        <v>60</v>
      </c>
      <c r="J458" s="1"/>
      <c r="K458" s="1" t="s">
        <v>68</v>
      </c>
      <c r="L458" s="3">
        <v>47838</v>
      </c>
      <c r="M458" s="3">
        <v>46013</v>
      </c>
      <c r="N458">
        <f>_xlfn.XLOOKUP(Data[[#This Row],[Status]],Compliance_Status[Status from OPMS],Compliance_Status[Status_Key],"")</f>
        <v>4</v>
      </c>
      <c r="O458">
        <f>_xlfn.XLOOKUP(Data[[#This Row],[Status]],Compliance_Status[Status from OPMS],Compliance_Status[Has Course booking],"")</f>
        <v>0</v>
      </c>
      <c r="P458" t="str">
        <f>_xlfn.XLOOKUP(Data[[#This Row],[StatusKey]],Status_Key[Status_Key],Status_Key[Name],"")</f>
        <v>In Date</v>
      </c>
    </row>
    <row r="459" spans="1:16" x14ac:dyDescent="0.25">
      <c r="A459" s="1">
        <v>174</v>
      </c>
      <c r="B459" s="1" t="s">
        <v>178</v>
      </c>
      <c r="C459" s="1" t="s">
        <v>179</v>
      </c>
      <c r="D459" s="1" t="s">
        <v>180</v>
      </c>
      <c r="E459" s="1" t="s">
        <v>131</v>
      </c>
      <c r="F459" s="1" t="s">
        <v>72</v>
      </c>
      <c r="G459" s="1" t="s">
        <v>16</v>
      </c>
      <c r="H459" s="1" t="s">
        <v>164</v>
      </c>
      <c r="I459" s="1" t="s">
        <v>60</v>
      </c>
      <c r="J459" s="1" t="s">
        <v>67</v>
      </c>
      <c r="K459" s="1" t="s">
        <v>68</v>
      </c>
      <c r="L459" s="3">
        <v>47245</v>
      </c>
      <c r="M459" s="3">
        <v>45420</v>
      </c>
      <c r="N459">
        <f>_xlfn.XLOOKUP(Data[[#This Row],[Status]],Compliance_Status[Status from OPMS],Compliance_Status[Status_Key],"")</f>
        <v>4</v>
      </c>
      <c r="O459">
        <f>_xlfn.XLOOKUP(Data[[#This Row],[Status]],Compliance_Status[Status from OPMS],Compliance_Status[Has Course booking],"")</f>
        <v>0</v>
      </c>
      <c r="P459" t="str">
        <f>_xlfn.XLOOKUP(Data[[#This Row],[StatusKey]],Status_Key[Status_Key],Status_Key[Name],"")</f>
        <v>In Date</v>
      </c>
    </row>
    <row r="460" spans="1:16" x14ac:dyDescent="0.25">
      <c r="A460" s="1">
        <v>174</v>
      </c>
      <c r="B460" s="1" t="s">
        <v>178</v>
      </c>
      <c r="C460" s="1" t="s">
        <v>179</v>
      </c>
      <c r="D460" s="1" t="s">
        <v>180</v>
      </c>
      <c r="E460" s="1" t="s">
        <v>71</v>
      </c>
      <c r="F460" s="1" t="s">
        <v>72</v>
      </c>
      <c r="G460" s="1" t="s">
        <v>18</v>
      </c>
      <c r="H460" s="1" t="s">
        <v>164</v>
      </c>
      <c r="I460" s="1" t="s">
        <v>60</v>
      </c>
      <c r="J460" s="1"/>
      <c r="K460" s="1" t="s">
        <v>68</v>
      </c>
      <c r="L460" s="3"/>
      <c r="M460" s="3"/>
      <c r="N460">
        <f>_xlfn.XLOOKUP(Data[[#This Row],[Status]],Compliance_Status[Status from OPMS],Compliance_Status[Status_Key],"")</f>
        <v>2</v>
      </c>
      <c r="O460">
        <f>_xlfn.XLOOKUP(Data[[#This Row],[Status]],Compliance_Status[Status from OPMS],Compliance_Status[Has Course booking],"")</f>
        <v>0</v>
      </c>
      <c r="P460" t="str">
        <f>_xlfn.XLOOKUP(Data[[#This Row],[StatusKey]],Status_Key[Status_Key],Status_Key[Name],"")</f>
        <v>Outstanding</v>
      </c>
    </row>
    <row r="461" spans="1:16" x14ac:dyDescent="0.25">
      <c r="A461" s="1">
        <v>174</v>
      </c>
      <c r="B461" s="1" t="s">
        <v>178</v>
      </c>
      <c r="C461" s="1" t="s">
        <v>179</v>
      </c>
      <c r="D461" s="1" t="s">
        <v>180</v>
      </c>
      <c r="E461" s="1" t="s">
        <v>73</v>
      </c>
      <c r="F461" s="1" t="s">
        <v>65</v>
      </c>
      <c r="G461" s="1" t="s">
        <v>16</v>
      </c>
      <c r="H461" s="1" t="s">
        <v>164</v>
      </c>
      <c r="I461" s="1" t="s">
        <v>60</v>
      </c>
      <c r="J461" s="1" t="s">
        <v>67</v>
      </c>
      <c r="K461" s="1" t="s">
        <v>68</v>
      </c>
      <c r="L461" s="3">
        <v>46821</v>
      </c>
      <c r="M461" s="3">
        <v>46091</v>
      </c>
      <c r="N461">
        <f>_xlfn.XLOOKUP(Data[[#This Row],[Status]],Compliance_Status[Status from OPMS],Compliance_Status[Status_Key],"")</f>
        <v>4</v>
      </c>
      <c r="O461">
        <f>_xlfn.XLOOKUP(Data[[#This Row],[Status]],Compliance_Status[Status from OPMS],Compliance_Status[Has Course booking],"")</f>
        <v>0</v>
      </c>
      <c r="P461" t="str">
        <f>_xlfn.XLOOKUP(Data[[#This Row],[StatusKey]],Status_Key[Status_Key],Status_Key[Name],"")</f>
        <v>In Date</v>
      </c>
    </row>
    <row r="462" spans="1:16" x14ac:dyDescent="0.25">
      <c r="A462" s="1">
        <v>174</v>
      </c>
      <c r="B462" s="1" t="s">
        <v>178</v>
      </c>
      <c r="C462" s="1" t="s">
        <v>179</v>
      </c>
      <c r="D462" s="1" t="s">
        <v>180</v>
      </c>
      <c r="E462" s="1" t="s">
        <v>74</v>
      </c>
      <c r="F462" s="1" t="s">
        <v>65</v>
      </c>
      <c r="G462" s="1" t="s">
        <v>16</v>
      </c>
      <c r="H462" s="1" t="s">
        <v>164</v>
      </c>
      <c r="I462" s="1" t="s">
        <v>60</v>
      </c>
      <c r="J462" s="1" t="s">
        <v>67</v>
      </c>
      <c r="K462" s="1" t="s">
        <v>68</v>
      </c>
      <c r="L462" s="3">
        <v>46485</v>
      </c>
      <c r="M462" s="3">
        <v>45390</v>
      </c>
      <c r="N462">
        <f>_xlfn.XLOOKUP(Data[[#This Row],[Status]],Compliance_Status[Status from OPMS],Compliance_Status[Status_Key],"")</f>
        <v>4</v>
      </c>
      <c r="O462">
        <f>_xlfn.XLOOKUP(Data[[#This Row],[Status]],Compliance_Status[Status from OPMS],Compliance_Status[Has Course booking],"")</f>
        <v>0</v>
      </c>
      <c r="P462" t="str">
        <f>_xlfn.XLOOKUP(Data[[#This Row],[StatusKey]],Status_Key[Status_Key],Status_Key[Name],"")</f>
        <v>In Date</v>
      </c>
    </row>
    <row r="463" spans="1:16" x14ac:dyDescent="0.25">
      <c r="A463" s="1">
        <v>174</v>
      </c>
      <c r="B463" s="1" t="s">
        <v>178</v>
      </c>
      <c r="C463" s="1" t="s">
        <v>179</v>
      </c>
      <c r="D463" s="1" t="s">
        <v>180</v>
      </c>
      <c r="E463" s="1" t="s">
        <v>75</v>
      </c>
      <c r="F463" s="1" t="s">
        <v>72</v>
      </c>
      <c r="G463" s="1" t="s">
        <v>18</v>
      </c>
      <c r="H463" s="1" t="s">
        <v>164</v>
      </c>
      <c r="I463" s="1" t="s">
        <v>60</v>
      </c>
      <c r="J463" s="1"/>
      <c r="K463" s="1" t="s">
        <v>68</v>
      </c>
      <c r="L463" s="3"/>
      <c r="M463" s="3"/>
      <c r="N463">
        <f>_xlfn.XLOOKUP(Data[[#This Row],[Status]],Compliance_Status[Status from OPMS],Compliance_Status[Status_Key],"")</f>
        <v>2</v>
      </c>
      <c r="O463">
        <f>_xlfn.XLOOKUP(Data[[#This Row],[Status]],Compliance_Status[Status from OPMS],Compliance_Status[Has Course booking],"")</f>
        <v>0</v>
      </c>
      <c r="P463" t="str">
        <f>_xlfn.XLOOKUP(Data[[#This Row],[StatusKey]],Status_Key[Status_Key],Status_Key[Name],"")</f>
        <v>Outstanding</v>
      </c>
    </row>
    <row r="464" spans="1:16" x14ac:dyDescent="0.25">
      <c r="A464" s="1">
        <v>174</v>
      </c>
      <c r="B464" s="1" t="s">
        <v>178</v>
      </c>
      <c r="C464" s="1" t="s">
        <v>179</v>
      </c>
      <c r="D464" s="1" t="s">
        <v>180</v>
      </c>
      <c r="E464" s="1" t="s">
        <v>165</v>
      </c>
      <c r="F464" s="1" t="s">
        <v>72</v>
      </c>
      <c r="G464" s="1" t="s">
        <v>18</v>
      </c>
      <c r="H464" s="1" t="s">
        <v>164</v>
      </c>
      <c r="I464" s="1" t="s">
        <v>60</v>
      </c>
      <c r="J464" s="1"/>
      <c r="K464" s="1" t="s">
        <v>68</v>
      </c>
      <c r="L464" s="3"/>
      <c r="M464" s="3"/>
      <c r="N464">
        <f>_xlfn.XLOOKUP(Data[[#This Row],[Status]],Compliance_Status[Status from OPMS],Compliance_Status[Status_Key],"")</f>
        <v>2</v>
      </c>
      <c r="O464">
        <f>_xlfn.XLOOKUP(Data[[#This Row],[Status]],Compliance_Status[Status from OPMS],Compliance_Status[Has Course booking],"")</f>
        <v>0</v>
      </c>
      <c r="P464" t="str">
        <f>_xlfn.XLOOKUP(Data[[#This Row],[StatusKey]],Status_Key[Status_Key],Status_Key[Name],"")</f>
        <v>Outstanding</v>
      </c>
    </row>
    <row r="465" spans="1:16" x14ac:dyDescent="0.25">
      <c r="A465" s="1">
        <v>174</v>
      </c>
      <c r="B465" s="1" t="s">
        <v>178</v>
      </c>
      <c r="C465" s="1" t="s">
        <v>179</v>
      </c>
      <c r="D465" s="1" t="s">
        <v>180</v>
      </c>
      <c r="E465" s="1" t="s">
        <v>76</v>
      </c>
      <c r="F465" s="1" t="s">
        <v>65</v>
      </c>
      <c r="G465" s="1" t="s">
        <v>16</v>
      </c>
      <c r="H465" s="1" t="s">
        <v>164</v>
      </c>
      <c r="I465" s="1" t="s">
        <v>60</v>
      </c>
      <c r="J465" s="1" t="s">
        <v>67</v>
      </c>
      <c r="K465" s="1" t="s">
        <v>77</v>
      </c>
      <c r="L465" s="3">
        <v>47573</v>
      </c>
      <c r="M465" s="3">
        <v>46112</v>
      </c>
      <c r="N465">
        <f>_xlfn.XLOOKUP(Data[[#This Row],[Status]],Compliance_Status[Status from OPMS],Compliance_Status[Status_Key],"")</f>
        <v>4</v>
      </c>
      <c r="O465">
        <f>_xlfn.XLOOKUP(Data[[#This Row],[Status]],Compliance_Status[Status from OPMS],Compliance_Status[Has Course booking],"")</f>
        <v>0</v>
      </c>
      <c r="P465" t="str">
        <f>_xlfn.XLOOKUP(Data[[#This Row],[StatusKey]],Status_Key[Status_Key],Status_Key[Name],"")</f>
        <v>In Date</v>
      </c>
    </row>
    <row r="466" spans="1:16" x14ac:dyDescent="0.25">
      <c r="A466" s="1">
        <v>174</v>
      </c>
      <c r="B466" s="1" t="s">
        <v>178</v>
      </c>
      <c r="C466" s="1" t="s">
        <v>179</v>
      </c>
      <c r="D466" s="1" t="s">
        <v>180</v>
      </c>
      <c r="E466" s="1" t="s">
        <v>80</v>
      </c>
      <c r="F466" s="1" t="s">
        <v>65</v>
      </c>
      <c r="G466" s="1" t="s">
        <v>16</v>
      </c>
      <c r="H466" s="1" t="s">
        <v>164</v>
      </c>
      <c r="I466" s="1" t="s">
        <v>60</v>
      </c>
      <c r="J466" s="1" t="s">
        <v>67</v>
      </c>
      <c r="K466" s="1" t="s">
        <v>77</v>
      </c>
      <c r="L466" s="3" t="s">
        <v>79</v>
      </c>
      <c r="M466" s="3">
        <v>45395</v>
      </c>
      <c r="N466">
        <f>_xlfn.XLOOKUP(Data[[#This Row],[Status]],Compliance_Status[Status from OPMS],Compliance_Status[Status_Key],"")</f>
        <v>4</v>
      </c>
      <c r="O466">
        <f>_xlfn.XLOOKUP(Data[[#This Row],[Status]],Compliance_Status[Status from OPMS],Compliance_Status[Has Course booking],"")</f>
        <v>0</v>
      </c>
      <c r="P466" t="str">
        <f>_xlfn.XLOOKUP(Data[[#This Row],[StatusKey]],Status_Key[Status_Key],Status_Key[Name],"")</f>
        <v>In Date</v>
      </c>
    </row>
    <row r="467" spans="1:16" x14ac:dyDescent="0.25">
      <c r="A467" s="1">
        <v>174</v>
      </c>
      <c r="B467" s="1" t="s">
        <v>178</v>
      </c>
      <c r="C467" s="1" t="s">
        <v>179</v>
      </c>
      <c r="D467" s="1" t="s">
        <v>180</v>
      </c>
      <c r="E467" s="1" t="s">
        <v>84</v>
      </c>
      <c r="F467" s="1" t="s">
        <v>65</v>
      </c>
      <c r="G467" s="1" t="s">
        <v>16</v>
      </c>
      <c r="H467" s="1" t="s">
        <v>164</v>
      </c>
      <c r="I467" s="1" t="s">
        <v>60</v>
      </c>
      <c r="J467" s="1" t="s">
        <v>67</v>
      </c>
      <c r="K467" s="1" t="s">
        <v>83</v>
      </c>
      <c r="L467" s="3">
        <v>46727</v>
      </c>
      <c r="M467" s="3">
        <v>45997</v>
      </c>
      <c r="N467">
        <f>_xlfn.XLOOKUP(Data[[#This Row],[Status]],Compliance_Status[Status from OPMS],Compliance_Status[Status_Key],"")</f>
        <v>4</v>
      </c>
      <c r="O467">
        <f>_xlfn.XLOOKUP(Data[[#This Row],[Status]],Compliance_Status[Status from OPMS],Compliance_Status[Has Course booking],"")</f>
        <v>0</v>
      </c>
      <c r="P467" t="str">
        <f>_xlfn.XLOOKUP(Data[[#This Row],[StatusKey]],Status_Key[Status_Key],Status_Key[Name],"")</f>
        <v>In Date</v>
      </c>
    </row>
    <row r="468" spans="1:16" x14ac:dyDescent="0.25">
      <c r="A468" s="1">
        <v>174</v>
      </c>
      <c r="B468" s="1" t="s">
        <v>178</v>
      </c>
      <c r="C468" s="1" t="s">
        <v>179</v>
      </c>
      <c r="D468" s="1" t="s">
        <v>180</v>
      </c>
      <c r="E468" s="1" t="s">
        <v>93</v>
      </c>
      <c r="F468" s="1" t="s">
        <v>65</v>
      </c>
      <c r="G468" s="1" t="s">
        <v>16</v>
      </c>
      <c r="H468" s="1" t="s">
        <v>164</v>
      </c>
      <c r="I468" s="1" t="s">
        <v>60</v>
      </c>
      <c r="J468" s="1" t="s">
        <v>67</v>
      </c>
      <c r="K468" s="1" t="s">
        <v>94</v>
      </c>
      <c r="L468" s="3">
        <v>46638</v>
      </c>
      <c r="M468" s="3">
        <v>45908</v>
      </c>
      <c r="N468">
        <f>_xlfn.XLOOKUP(Data[[#This Row],[Status]],Compliance_Status[Status from OPMS],Compliance_Status[Status_Key],"")</f>
        <v>4</v>
      </c>
      <c r="O468">
        <f>_xlfn.XLOOKUP(Data[[#This Row],[Status]],Compliance_Status[Status from OPMS],Compliance_Status[Has Course booking],"")</f>
        <v>0</v>
      </c>
      <c r="P468" t="str">
        <f>_xlfn.XLOOKUP(Data[[#This Row],[StatusKey]],Status_Key[Status_Key],Status_Key[Name],"")</f>
        <v>In Date</v>
      </c>
    </row>
    <row r="469" spans="1:16" x14ac:dyDescent="0.25">
      <c r="A469" s="1">
        <v>174</v>
      </c>
      <c r="B469" s="1" t="s">
        <v>178</v>
      </c>
      <c r="C469" s="1" t="s">
        <v>179</v>
      </c>
      <c r="D469" s="1" t="s">
        <v>180</v>
      </c>
      <c r="E469" s="1" t="s">
        <v>95</v>
      </c>
      <c r="F469" s="1" t="s">
        <v>65</v>
      </c>
      <c r="G469" s="1" t="s">
        <v>16</v>
      </c>
      <c r="H469" s="1" t="s">
        <v>164</v>
      </c>
      <c r="I469" s="1" t="s">
        <v>60</v>
      </c>
      <c r="J469" s="1" t="s">
        <v>67</v>
      </c>
      <c r="K469" s="1" t="s">
        <v>94</v>
      </c>
      <c r="L469" s="3">
        <v>46630</v>
      </c>
      <c r="M469" s="3">
        <v>45900</v>
      </c>
      <c r="N469">
        <f>_xlfn.XLOOKUP(Data[[#This Row],[Status]],Compliance_Status[Status from OPMS],Compliance_Status[Status_Key],"")</f>
        <v>4</v>
      </c>
      <c r="O469">
        <f>_xlfn.XLOOKUP(Data[[#This Row],[Status]],Compliance_Status[Status from OPMS],Compliance_Status[Has Course booking],"")</f>
        <v>0</v>
      </c>
      <c r="P469" t="str">
        <f>_xlfn.XLOOKUP(Data[[#This Row],[StatusKey]],Status_Key[Status_Key],Status_Key[Name],"")</f>
        <v>In Date</v>
      </c>
    </row>
    <row r="470" spans="1:16" x14ac:dyDescent="0.25">
      <c r="A470" s="1">
        <v>174</v>
      </c>
      <c r="B470" s="1" t="s">
        <v>178</v>
      </c>
      <c r="C470" s="1" t="s">
        <v>179</v>
      </c>
      <c r="D470" s="1" t="s">
        <v>180</v>
      </c>
      <c r="E470" s="1" t="s">
        <v>156</v>
      </c>
      <c r="F470" s="1" t="s">
        <v>65</v>
      </c>
      <c r="G470" s="1" t="s">
        <v>16</v>
      </c>
      <c r="H470" s="1" t="s">
        <v>164</v>
      </c>
      <c r="I470" s="1" t="s">
        <v>60</v>
      </c>
      <c r="J470" s="1" t="s">
        <v>67</v>
      </c>
      <c r="K470" s="1" t="s">
        <v>125</v>
      </c>
      <c r="L470" s="3">
        <v>47912</v>
      </c>
      <c r="M470" s="3">
        <v>46087</v>
      </c>
      <c r="N470">
        <f>_xlfn.XLOOKUP(Data[[#This Row],[Status]],Compliance_Status[Status from OPMS],Compliance_Status[Status_Key],"")</f>
        <v>4</v>
      </c>
      <c r="O470">
        <f>_xlfn.XLOOKUP(Data[[#This Row],[Status]],Compliance_Status[Status from OPMS],Compliance_Status[Has Course booking],"")</f>
        <v>0</v>
      </c>
      <c r="P470" t="str">
        <f>_xlfn.XLOOKUP(Data[[#This Row],[StatusKey]],Status_Key[Status_Key],Status_Key[Name],"")</f>
        <v>In Date</v>
      </c>
    </row>
    <row r="471" spans="1:16" x14ac:dyDescent="0.25">
      <c r="A471" s="1">
        <v>174</v>
      </c>
      <c r="B471" s="1" t="s">
        <v>178</v>
      </c>
      <c r="C471" s="1" t="s">
        <v>179</v>
      </c>
      <c r="D471" s="1" t="s">
        <v>180</v>
      </c>
      <c r="E471" s="1" t="s">
        <v>124</v>
      </c>
      <c r="F471" s="1" t="s">
        <v>72</v>
      </c>
      <c r="G471" s="1" t="s">
        <v>18</v>
      </c>
      <c r="H471" s="1" t="s">
        <v>164</v>
      </c>
      <c r="I471" s="1" t="s">
        <v>60</v>
      </c>
      <c r="J471" s="1"/>
      <c r="K471" s="1" t="s">
        <v>125</v>
      </c>
      <c r="L471" s="3"/>
      <c r="M471" s="3"/>
      <c r="N471">
        <f>_xlfn.XLOOKUP(Data[[#This Row],[Status]],Compliance_Status[Status from OPMS],Compliance_Status[Status_Key],"")</f>
        <v>2</v>
      </c>
      <c r="O471">
        <f>_xlfn.XLOOKUP(Data[[#This Row],[Status]],Compliance_Status[Status from OPMS],Compliance_Status[Has Course booking],"")</f>
        <v>0</v>
      </c>
      <c r="P471" t="str">
        <f>_xlfn.XLOOKUP(Data[[#This Row],[StatusKey]],Status_Key[Status_Key],Status_Key[Name],"")</f>
        <v>Outstanding</v>
      </c>
    </row>
    <row r="472" spans="1:16" x14ac:dyDescent="0.25">
      <c r="A472" s="1">
        <v>174</v>
      </c>
      <c r="B472" s="1" t="s">
        <v>178</v>
      </c>
      <c r="C472" s="1" t="s">
        <v>179</v>
      </c>
      <c r="D472" s="1" t="s">
        <v>180</v>
      </c>
      <c r="E472" s="1" t="s">
        <v>97</v>
      </c>
      <c r="F472" s="1" t="s">
        <v>65</v>
      </c>
      <c r="G472" s="1" t="s">
        <v>16</v>
      </c>
      <c r="H472" s="1" t="s">
        <v>164</v>
      </c>
      <c r="I472" s="1" t="s">
        <v>60</v>
      </c>
      <c r="J472" s="1" t="s">
        <v>67</v>
      </c>
      <c r="K472" s="1" t="s">
        <v>98</v>
      </c>
      <c r="L472" s="3">
        <v>47247</v>
      </c>
      <c r="M472" s="3">
        <v>45421</v>
      </c>
      <c r="N472">
        <f>_xlfn.XLOOKUP(Data[[#This Row],[Status]],Compliance_Status[Status from OPMS],Compliance_Status[Status_Key],"")</f>
        <v>4</v>
      </c>
      <c r="O472">
        <f>_xlfn.XLOOKUP(Data[[#This Row],[Status]],Compliance_Status[Status from OPMS],Compliance_Status[Has Course booking],"")</f>
        <v>0</v>
      </c>
      <c r="P472" t="str">
        <f>_xlfn.XLOOKUP(Data[[#This Row],[StatusKey]],Status_Key[Status_Key],Status_Key[Name],"")</f>
        <v>In Date</v>
      </c>
    </row>
    <row r="473" spans="1:16" x14ac:dyDescent="0.25">
      <c r="A473" s="1">
        <v>174</v>
      </c>
      <c r="B473" s="1" t="s">
        <v>178</v>
      </c>
      <c r="C473" s="1" t="s">
        <v>179</v>
      </c>
      <c r="D473" s="1" t="s">
        <v>180</v>
      </c>
      <c r="E473" s="1" t="s">
        <v>100</v>
      </c>
      <c r="F473" s="1" t="s">
        <v>72</v>
      </c>
      <c r="G473" s="1" t="s">
        <v>18</v>
      </c>
      <c r="H473" s="1" t="s">
        <v>164</v>
      </c>
      <c r="I473" s="1" t="s">
        <v>60</v>
      </c>
      <c r="J473" s="1"/>
      <c r="K473" s="1" t="s">
        <v>98</v>
      </c>
      <c r="L473" s="3"/>
      <c r="M473" s="3"/>
      <c r="N473">
        <f>_xlfn.XLOOKUP(Data[[#This Row],[Status]],Compliance_Status[Status from OPMS],Compliance_Status[Status_Key],"")</f>
        <v>2</v>
      </c>
      <c r="O473">
        <f>_xlfn.XLOOKUP(Data[[#This Row],[Status]],Compliance_Status[Status from OPMS],Compliance_Status[Has Course booking],"")</f>
        <v>0</v>
      </c>
      <c r="P473" t="str">
        <f>_xlfn.XLOOKUP(Data[[#This Row],[StatusKey]],Status_Key[Status_Key],Status_Key[Name],"")</f>
        <v>Outstanding</v>
      </c>
    </row>
    <row r="474" spans="1:16" x14ac:dyDescent="0.25">
      <c r="A474" s="1">
        <v>174</v>
      </c>
      <c r="B474" s="1" t="s">
        <v>178</v>
      </c>
      <c r="C474" s="1" t="s">
        <v>179</v>
      </c>
      <c r="D474" s="1" t="s">
        <v>180</v>
      </c>
      <c r="E474" s="1" t="s">
        <v>101</v>
      </c>
      <c r="F474" s="1" t="s">
        <v>65</v>
      </c>
      <c r="G474" s="1" t="s">
        <v>16</v>
      </c>
      <c r="H474" s="1" t="s">
        <v>164</v>
      </c>
      <c r="I474" s="1" t="s">
        <v>60</v>
      </c>
      <c r="J474" s="1" t="s">
        <v>67</v>
      </c>
      <c r="K474" s="1" t="s">
        <v>102</v>
      </c>
      <c r="L474" s="3" t="s">
        <v>79</v>
      </c>
      <c r="M474" s="3">
        <v>45432</v>
      </c>
      <c r="N474">
        <f>_xlfn.XLOOKUP(Data[[#This Row],[Status]],Compliance_Status[Status from OPMS],Compliance_Status[Status_Key],"")</f>
        <v>4</v>
      </c>
      <c r="O474">
        <f>_xlfn.XLOOKUP(Data[[#This Row],[Status]],Compliance_Status[Status from OPMS],Compliance_Status[Has Course booking],"")</f>
        <v>0</v>
      </c>
      <c r="P474" t="str">
        <f>_xlfn.XLOOKUP(Data[[#This Row],[StatusKey]],Status_Key[Status_Key],Status_Key[Name],"")</f>
        <v>In Date</v>
      </c>
    </row>
    <row r="475" spans="1:16" x14ac:dyDescent="0.25">
      <c r="A475" s="1">
        <v>174</v>
      </c>
      <c r="B475" s="1" t="s">
        <v>178</v>
      </c>
      <c r="C475" s="1" t="s">
        <v>179</v>
      </c>
      <c r="D475" s="1" t="s">
        <v>180</v>
      </c>
      <c r="E475" s="1" t="s">
        <v>103</v>
      </c>
      <c r="F475" s="1" t="s">
        <v>65</v>
      </c>
      <c r="G475" s="1" t="s">
        <v>16</v>
      </c>
      <c r="H475" s="1" t="s">
        <v>164</v>
      </c>
      <c r="I475" s="1" t="s">
        <v>60</v>
      </c>
      <c r="J475" s="1" t="s">
        <v>67</v>
      </c>
      <c r="K475" s="1" t="s">
        <v>102</v>
      </c>
      <c r="L475" s="3">
        <v>46455</v>
      </c>
      <c r="M475" s="3">
        <v>45725</v>
      </c>
      <c r="N475">
        <f>_xlfn.XLOOKUP(Data[[#This Row],[Status]],Compliance_Status[Status from OPMS],Compliance_Status[Status_Key],"")</f>
        <v>4</v>
      </c>
      <c r="O475">
        <f>_xlfn.XLOOKUP(Data[[#This Row],[Status]],Compliance_Status[Status from OPMS],Compliance_Status[Has Course booking],"")</f>
        <v>0</v>
      </c>
      <c r="P475" t="str">
        <f>_xlfn.XLOOKUP(Data[[#This Row],[StatusKey]],Status_Key[Status_Key],Status_Key[Name],"")</f>
        <v>In Date</v>
      </c>
    </row>
    <row r="476" spans="1:16" x14ac:dyDescent="0.25">
      <c r="A476" s="1">
        <v>174</v>
      </c>
      <c r="B476" s="1" t="s">
        <v>178</v>
      </c>
      <c r="C476" s="1" t="s">
        <v>179</v>
      </c>
      <c r="D476" s="1" t="s">
        <v>180</v>
      </c>
      <c r="E476" s="1" t="s">
        <v>104</v>
      </c>
      <c r="F476" s="1" t="s">
        <v>65</v>
      </c>
      <c r="G476" s="1" t="s">
        <v>16</v>
      </c>
      <c r="H476" s="1" t="s">
        <v>164</v>
      </c>
      <c r="I476" s="1" t="s">
        <v>60</v>
      </c>
      <c r="J476" s="1" t="s">
        <v>67</v>
      </c>
      <c r="K476" s="1" t="s">
        <v>105</v>
      </c>
      <c r="L476" s="3">
        <v>46753</v>
      </c>
      <c r="M476" s="3">
        <v>46023</v>
      </c>
      <c r="N476">
        <f>_xlfn.XLOOKUP(Data[[#This Row],[Status]],Compliance_Status[Status from OPMS],Compliance_Status[Status_Key],"")</f>
        <v>4</v>
      </c>
      <c r="O476">
        <f>_xlfn.XLOOKUP(Data[[#This Row],[Status]],Compliance_Status[Status from OPMS],Compliance_Status[Has Course booking],"")</f>
        <v>0</v>
      </c>
      <c r="P476" t="str">
        <f>_xlfn.XLOOKUP(Data[[#This Row],[StatusKey]],Status_Key[Status_Key],Status_Key[Name],"")</f>
        <v>In Date</v>
      </c>
    </row>
    <row r="477" spans="1:16" x14ac:dyDescent="0.25">
      <c r="A477" s="1">
        <v>174</v>
      </c>
      <c r="B477" s="1" t="s">
        <v>178</v>
      </c>
      <c r="C477" s="1" t="s">
        <v>179</v>
      </c>
      <c r="D477" s="1" t="s">
        <v>180</v>
      </c>
      <c r="E477" s="1" t="s">
        <v>106</v>
      </c>
      <c r="F477" s="1" t="s">
        <v>65</v>
      </c>
      <c r="G477" s="1" t="s">
        <v>16</v>
      </c>
      <c r="H477" s="1" t="s">
        <v>164</v>
      </c>
      <c r="I477" s="1" t="s">
        <v>60</v>
      </c>
      <c r="J477" s="1" t="s">
        <v>67</v>
      </c>
      <c r="K477" s="1" t="s">
        <v>105</v>
      </c>
      <c r="L477" s="3">
        <v>47247</v>
      </c>
      <c r="M477" s="3">
        <v>45421</v>
      </c>
      <c r="N477">
        <f>_xlfn.XLOOKUP(Data[[#This Row],[Status]],Compliance_Status[Status from OPMS],Compliance_Status[Status_Key],"")</f>
        <v>4</v>
      </c>
      <c r="O477">
        <f>_xlfn.XLOOKUP(Data[[#This Row],[Status]],Compliance_Status[Status from OPMS],Compliance_Status[Has Course booking],"")</f>
        <v>0</v>
      </c>
      <c r="P477" t="str">
        <f>_xlfn.XLOOKUP(Data[[#This Row],[StatusKey]],Status_Key[Status_Key],Status_Key[Name],"")</f>
        <v>In Date</v>
      </c>
    </row>
    <row r="478" spans="1:16" x14ac:dyDescent="0.25">
      <c r="A478" s="1">
        <v>174</v>
      </c>
      <c r="B478" s="1" t="s">
        <v>178</v>
      </c>
      <c r="C478" s="1" t="s">
        <v>179</v>
      </c>
      <c r="D478" s="1" t="s">
        <v>180</v>
      </c>
      <c r="E478" s="1" t="s">
        <v>107</v>
      </c>
      <c r="F478" s="1" t="s">
        <v>65</v>
      </c>
      <c r="G478" s="1" t="s">
        <v>16</v>
      </c>
      <c r="H478" s="1" t="s">
        <v>164</v>
      </c>
      <c r="I478" s="1" t="s">
        <v>60</v>
      </c>
      <c r="J478" s="1" t="s">
        <v>67</v>
      </c>
      <c r="K478" s="1" t="s">
        <v>105</v>
      </c>
      <c r="L478" s="3">
        <v>46516</v>
      </c>
      <c r="M478" s="3">
        <v>45421</v>
      </c>
      <c r="N478">
        <f>_xlfn.XLOOKUP(Data[[#This Row],[Status]],Compliance_Status[Status from OPMS],Compliance_Status[Status_Key],"")</f>
        <v>4</v>
      </c>
      <c r="O478">
        <f>_xlfn.XLOOKUP(Data[[#This Row],[Status]],Compliance_Status[Status from OPMS],Compliance_Status[Has Course booking],"")</f>
        <v>0</v>
      </c>
      <c r="P478" t="str">
        <f>_xlfn.XLOOKUP(Data[[#This Row],[StatusKey]],Status_Key[Status_Key],Status_Key[Name],"")</f>
        <v>In Date</v>
      </c>
    </row>
    <row r="479" spans="1:16" x14ac:dyDescent="0.25">
      <c r="A479" s="1">
        <v>174</v>
      </c>
      <c r="B479" s="1" t="s">
        <v>178</v>
      </c>
      <c r="C479" s="1" t="s">
        <v>179</v>
      </c>
      <c r="D479" s="1" t="s">
        <v>180</v>
      </c>
      <c r="E479" s="1" t="s">
        <v>108</v>
      </c>
      <c r="F479" s="1" t="s">
        <v>65</v>
      </c>
      <c r="G479" s="1" t="s">
        <v>16</v>
      </c>
      <c r="H479" s="1" t="s">
        <v>164</v>
      </c>
      <c r="I479" s="1" t="s">
        <v>60</v>
      </c>
      <c r="J479" s="1" t="s">
        <v>67</v>
      </c>
      <c r="K479" s="1" t="s">
        <v>105</v>
      </c>
      <c r="L479" s="3">
        <v>47317</v>
      </c>
      <c r="M479" s="3">
        <v>46222</v>
      </c>
      <c r="N479">
        <f>_xlfn.XLOOKUP(Data[[#This Row],[Status]],Compliance_Status[Status from OPMS],Compliance_Status[Status_Key],"")</f>
        <v>4</v>
      </c>
      <c r="O479">
        <f>_xlfn.XLOOKUP(Data[[#This Row],[Status]],Compliance_Status[Status from OPMS],Compliance_Status[Has Course booking],"")</f>
        <v>0</v>
      </c>
      <c r="P479" t="str">
        <f>_xlfn.XLOOKUP(Data[[#This Row],[StatusKey]],Status_Key[Status_Key],Status_Key[Name],"")</f>
        <v>In Date</v>
      </c>
    </row>
    <row r="480" spans="1:16" x14ac:dyDescent="0.25">
      <c r="A480" s="1">
        <v>174</v>
      </c>
      <c r="B480" s="1" t="s">
        <v>178</v>
      </c>
      <c r="C480" s="1" t="s">
        <v>179</v>
      </c>
      <c r="D480" s="1" t="s">
        <v>180</v>
      </c>
      <c r="E480" s="1" t="s">
        <v>109</v>
      </c>
      <c r="F480" s="1" t="s">
        <v>65</v>
      </c>
      <c r="G480" s="1" t="s">
        <v>16</v>
      </c>
      <c r="H480" s="1" t="s">
        <v>164</v>
      </c>
      <c r="I480" s="1" t="s">
        <v>60</v>
      </c>
      <c r="J480" s="1" t="s">
        <v>67</v>
      </c>
      <c r="K480" s="1" t="s">
        <v>105</v>
      </c>
      <c r="L480" s="3">
        <v>46783</v>
      </c>
      <c r="M480" s="3">
        <v>46053</v>
      </c>
      <c r="N480">
        <f>_xlfn.XLOOKUP(Data[[#This Row],[Status]],Compliance_Status[Status from OPMS],Compliance_Status[Status_Key],"")</f>
        <v>4</v>
      </c>
      <c r="O480">
        <f>_xlfn.XLOOKUP(Data[[#This Row],[Status]],Compliance_Status[Status from OPMS],Compliance_Status[Has Course booking],"")</f>
        <v>0</v>
      </c>
      <c r="P480" t="str">
        <f>_xlfn.XLOOKUP(Data[[#This Row],[StatusKey]],Status_Key[Status_Key],Status_Key[Name],"")</f>
        <v>In Date</v>
      </c>
    </row>
    <row r="481" spans="1:16" x14ac:dyDescent="0.25">
      <c r="A481" s="1">
        <v>174</v>
      </c>
      <c r="B481" s="1" t="s">
        <v>178</v>
      </c>
      <c r="C481" s="1" t="s">
        <v>179</v>
      </c>
      <c r="D481" s="1" t="s">
        <v>180</v>
      </c>
      <c r="E481" s="1" t="s">
        <v>110</v>
      </c>
      <c r="F481" s="1" t="s">
        <v>65</v>
      </c>
      <c r="G481" s="1" t="s">
        <v>16</v>
      </c>
      <c r="H481" s="1" t="s">
        <v>164</v>
      </c>
      <c r="I481" s="1" t="s">
        <v>60</v>
      </c>
      <c r="J481" s="1" t="s">
        <v>67</v>
      </c>
      <c r="K481" s="1" t="s">
        <v>105</v>
      </c>
      <c r="L481" s="3" t="s">
        <v>79</v>
      </c>
      <c r="M481" s="3">
        <v>45421</v>
      </c>
      <c r="N481">
        <f>_xlfn.XLOOKUP(Data[[#This Row],[Status]],Compliance_Status[Status from OPMS],Compliance_Status[Status_Key],"")</f>
        <v>4</v>
      </c>
      <c r="O481">
        <f>_xlfn.XLOOKUP(Data[[#This Row],[Status]],Compliance_Status[Status from OPMS],Compliance_Status[Has Course booking],"")</f>
        <v>0</v>
      </c>
      <c r="P481" t="str">
        <f>_xlfn.XLOOKUP(Data[[#This Row],[StatusKey]],Status_Key[Status_Key],Status_Key[Name],"")</f>
        <v>In Date</v>
      </c>
    </row>
    <row r="482" spans="1:16" x14ac:dyDescent="0.25">
      <c r="A482" s="1">
        <v>174</v>
      </c>
      <c r="B482" s="1" t="s">
        <v>178</v>
      </c>
      <c r="C482" s="1" t="s">
        <v>179</v>
      </c>
      <c r="D482" s="1" t="s">
        <v>180</v>
      </c>
      <c r="E482" s="1" t="s">
        <v>111</v>
      </c>
      <c r="F482" s="1" t="s">
        <v>65</v>
      </c>
      <c r="G482" s="1" t="s">
        <v>16</v>
      </c>
      <c r="H482" s="1" t="s">
        <v>164</v>
      </c>
      <c r="I482" s="1" t="s">
        <v>60</v>
      </c>
      <c r="J482" s="1" t="s">
        <v>67</v>
      </c>
      <c r="K482" s="1" t="s">
        <v>105</v>
      </c>
      <c r="L482" s="3">
        <v>46727</v>
      </c>
      <c r="M482" s="3">
        <v>45997</v>
      </c>
      <c r="N482">
        <f>_xlfn.XLOOKUP(Data[[#This Row],[Status]],Compliance_Status[Status from OPMS],Compliance_Status[Status_Key],"")</f>
        <v>4</v>
      </c>
      <c r="O482">
        <f>_xlfn.XLOOKUP(Data[[#This Row],[Status]],Compliance_Status[Status from OPMS],Compliance_Status[Has Course booking],"")</f>
        <v>0</v>
      </c>
      <c r="P482" t="str">
        <f>_xlfn.XLOOKUP(Data[[#This Row],[StatusKey]],Status_Key[Status_Key],Status_Key[Name],"")</f>
        <v>In Date</v>
      </c>
    </row>
    <row r="483" spans="1:16" x14ac:dyDescent="0.25">
      <c r="A483" s="1">
        <v>174</v>
      </c>
      <c r="B483" s="1" t="s">
        <v>178</v>
      </c>
      <c r="C483" s="1" t="s">
        <v>179</v>
      </c>
      <c r="D483" s="1" t="s">
        <v>180</v>
      </c>
      <c r="E483" s="1" t="s">
        <v>112</v>
      </c>
      <c r="F483" s="1" t="s">
        <v>65</v>
      </c>
      <c r="G483" s="1" t="s">
        <v>16</v>
      </c>
      <c r="H483" s="1" t="s">
        <v>164</v>
      </c>
      <c r="I483" s="1" t="s">
        <v>60</v>
      </c>
      <c r="J483" s="1" t="s">
        <v>67</v>
      </c>
      <c r="K483" s="1" t="s">
        <v>105</v>
      </c>
      <c r="L483" s="3">
        <v>46771</v>
      </c>
      <c r="M483" s="3">
        <v>46041</v>
      </c>
      <c r="N483">
        <f>_xlfn.XLOOKUP(Data[[#This Row],[Status]],Compliance_Status[Status from OPMS],Compliance_Status[Status_Key],"")</f>
        <v>4</v>
      </c>
      <c r="O483">
        <f>_xlfn.XLOOKUP(Data[[#This Row],[Status]],Compliance_Status[Status from OPMS],Compliance_Status[Has Course booking],"")</f>
        <v>0</v>
      </c>
      <c r="P483" t="str">
        <f>_xlfn.XLOOKUP(Data[[#This Row],[StatusKey]],Status_Key[Status_Key],Status_Key[Name],"")</f>
        <v>In Date</v>
      </c>
    </row>
    <row r="484" spans="1:16" x14ac:dyDescent="0.25">
      <c r="A484" s="1">
        <v>174</v>
      </c>
      <c r="B484" s="1" t="s">
        <v>178</v>
      </c>
      <c r="C484" s="1" t="s">
        <v>179</v>
      </c>
      <c r="D484" s="1" t="s">
        <v>180</v>
      </c>
      <c r="E484" s="1" t="s">
        <v>113</v>
      </c>
      <c r="F484" s="1" t="s">
        <v>65</v>
      </c>
      <c r="G484" s="1" t="s">
        <v>16</v>
      </c>
      <c r="H484" s="1" t="s">
        <v>164</v>
      </c>
      <c r="I484" s="1" t="s">
        <v>60</v>
      </c>
      <c r="J484" s="1" t="s">
        <v>67</v>
      </c>
      <c r="K484" s="1" t="s">
        <v>105</v>
      </c>
      <c r="L484" s="3">
        <v>46771</v>
      </c>
      <c r="M484" s="3">
        <v>46041</v>
      </c>
      <c r="N484">
        <f>_xlfn.XLOOKUP(Data[[#This Row],[Status]],Compliance_Status[Status from OPMS],Compliance_Status[Status_Key],"")</f>
        <v>4</v>
      </c>
      <c r="O484">
        <f>_xlfn.XLOOKUP(Data[[#This Row],[Status]],Compliance_Status[Status from OPMS],Compliance_Status[Has Course booking],"")</f>
        <v>0</v>
      </c>
      <c r="P484" t="str">
        <f>_xlfn.XLOOKUP(Data[[#This Row],[StatusKey]],Status_Key[Status_Key],Status_Key[Name],"")</f>
        <v>In Date</v>
      </c>
    </row>
    <row r="485" spans="1:16" x14ac:dyDescent="0.25">
      <c r="A485" s="1">
        <v>244</v>
      </c>
      <c r="B485" s="1" t="s">
        <v>181</v>
      </c>
      <c r="C485" s="1" t="s">
        <v>182</v>
      </c>
      <c r="D485" s="1" t="s">
        <v>183</v>
      </c>
      <c r="E485" s="1" t="s">
        <v>184</v>
      </c>
      <c r="F485" s="1" t="s">
        <v>65</v>
      </c>
      <c r="G485" s="1" t="s">
        <v>16</v>
      </c>
      <c r="H485" s="1" t="s">
        <v>185</v>
      </c>
      <c r="I485" s="1" t="s">
        <v>60</v>
      </c>
      <c r="J485" s="1" t="s">
        <v>67</v>
      </c>
      <c r="K485" s="1" t="s">
        <v>68</v>
      </c>
      <c r="L485" s="3">
        <v>47202</v>
      </c>
      <c r="M485" s="3">
        <v>45377</v>
      </c>
      <c r="N485">
        <f>_xlfn.XLOOKUP(Data[[#This Row],[Status]],Compliance_Status[Status from OPMS],Compliance_Status[Status_Key],"")</f>
        <v>4</v>
      </c>
      <c r="O485">
        <f>_xlfn.XLOOKUP(Data[[#This Row],[Status]],Compliance_Status[Status from OPMS],Compliance_Status[Has Course booking],"")</f>
        <v>0</v>
      </c>
      <c r="P485" t="str">
        <f>_xlfn.XLOOKUP(Data[[#This Row],[StatusKey]],Status_Key[Status_Key],Status_Key[Name],"")</f>
        <v>In Date</v>
      </c>
    </row>
    <row r="486" spans="1:16" x14ac:dyDescent="0.25">
      <c r="A486" s="1">
        <v>244</v>
      </c>
      <c r="B486" s="1" t="s">
        <v>181</v>
      </c>
      <c r="C486" s="1" t="s">
        <v>182</v>
      </c>
      <c r="D486" s="1" t="s">
        <v>183</v>
      </c>
      <c r="E486" s="1" t="s">
        <v>131</v>
      </c>
      <c r="F486" s="1" t="s">
        <v>65</v>
      </c>
      <c r="G486" s="1" t="s">
        <v>16</v>
      </c>
      <c r="H486" s="1" t="s">
        <v>185</v>
      </c>
      <c r="I486" s="1" t="s">
        <v>60</v>
      </c>
      <c r="J486" s="1" t="s">
        <v>67</v>
      </c>
      <c r="K486" s="1" t="s">
        <v>68</v>
      </c>
      <c r="L486" s="3">
        <v>47202</v>
      </c>
      <c r="M486" s="3">
        <v>45377</v>
      </c>
      <c r="N486">
        <f>_xlfn.XLOOKUP(Data[[#This Row],[Status]],Compliance_Status[Status from OPMS],Compliance_Status[Status_Key],"")</f>
        <v>4</v>
      </c>
      <c r="O486">
        <f>_xlfn.XLOOKUP(Data[[#This Row],[Status]],Compliance_Status[Status from OPMS],Compliance_Status[Has Course booking],"")</f>
        <v>0</v>
      </c>
      <c r="P486" t="str">
        <f>_xlfn.XLOOKUP(Data[[#This Row],[StatusKey]],Status_Key[Status_Key],Status_Key[Name],"")</f>
        <v>In Date</v>
      </c>
    </row>
    <row r="487" spans="1:16" x14ac:dyDescent="0.25">
      <c r="A487" s="1">
        <v>244</v>
      </c>
      <c r="B487" s="1" t="s">
        <v>181</v>
      </c>
      <c r="C487" s="1" t="s">
        <v>182</v>
      </c>
      <c r="D487" s="1" t="s">
        <v>183</v>
      </c>
      <c r="E487" s="1" t="s">
        <v>71</v>
      </c>
      <c r="F487" s="1" t="s">
        <v>72</v>
      </c>
      <c r="G487" s="1" t="s">
        <v>18</v>
      </c>
      <c r="H487" s="1" t="s">
        <v>185</v>
      </c>
      <c r="I487" s="1" t="s">
        <v>60</v>
      </c>
      <c r="J487" s="1"/>
      <c r="K487" s="1" t="s">
        <v>68</v>
      </c>
      <c r="L487" s="3"/>
      <c r="M487" s="3"/>
      <c r="N487">
        <f>_xlfn.XLOOKUP(Data[[#This Row],[Status]],Compliance_Status[Status from OPMS],Compliance_Status[Status_Key],"")</f>
        <v>2</v>
      </c>
      <c r="O487">
        <f>_xlfn.XLOOKUP(Data[[#This Row],[Status]],Compliance_Status[Status from OPMS],Compliance_Status[Has Course booking],"")</f>
        <v>0</v>
      </c>
      <c r="P487" t="str">
        <f>_xlfn.XLOOKUP(Data[[#This Row],[StatusKey]],Status_Key[Status_Key],Status_Key[Name],"")</f>
        <v>Outstanding</v>
      </c>
    </row>
    <row r="488" spans="1:16" x14ac:dyDescent="0.25">
      <c r="A488" s="1">
        <v>244</v>
      </c>
      <c r="B488" s="1" t="s">
        <v>181</v>
      </c>
      <c r="C488" s="1" t="s">
        <v>182</v>
      </c>
      <c r="D488" s="1" t="s">
        <v>183</v>
      </c>
      <c r="E488" s="1" t="s">
        <v>73</v>
      </c>
      <c r="F488" s="1" t="s">
        <v>65</v>
      </c>
      <c r="G488" s="1" t="s">
        <v>16</v>
      </c>
      <c r="H488" s="1" t="s">
        <v>185</v>
      </c>
      <c r="I488" s="1" t="s">
        <v>60</v>
      </c>
      <c r="J488" s="1" t="s">
        <v>67</v>
      </c>
      <c r="K488" s="1" t="s">
        <v>68</v>
      </c>
      <c r="L488" s="3">
        <v>46779</v>
      </c>
      <c r="M488" s="3">
        <v>46049</v>
      </c>
      <c r="N488">
        <f>_xlfn.XLOOKUP(Data[[#This Row],[Status]],Compliance_Status[Status from OPMS],Compliance_Status[Status_Key],"")</f>
        <v>4</v>
      </c>
      <c r="O488">
        <f>_xlfn.XLOOKUP(Data[[#This Row],[Status]],Compliance_Status[Status from OPMS],Compliance_Status[Has Course booking],"")</f>
        <v>0</v>
      </c>
      <c r="P488" t="str">
        <f>_xlfn.XLOOKUP(Data[[#This Row],[StatusKey]],Status_Key[Status_Key],Status_Key[Name],"")</f>
        <v>In Date</v>
      </c>
    </row>
    <row r="489" spans="1:16" x14ac:dyDescent="0.25">
      <c r="A489" s="1">
        <v>244</v>
      </c>
      <c r="B489" s="1" t="s">
        <v>181</v>
      </c>
      <c r="C489" s="1" t="s">
        <v>182</v>
      </c>
      <c r="D489" s="1" t="s">
        <v>183</v>
      </c>
      <c r="E489" s="1" t="s">
        <v>74</v>
      </c>
      <c r="F489" s="1" t="s">
        <v>65</v>
      </c>
      <c r="G489" s="1" t="s">
        <v>16</v>
      </c>
      <c r="H489" s="1" t="s">
        <v>185</v>
      </c>
      <c r="I489" s="1" t="s">
        <v>60</v>
      </c>
      <c r="J489" s="1" t="s">
        <v>67</v>
      </c>
      <c r="K489" s="1" t="s">
        <v>68</v>
      </c>
      <c r="L489" s="3">
        <v>46385</v>
      </c>
      <c r="M489" s="3">
        <v>45078</v>
      </c>
      <c r="N489">
        <f>_xlfn.XLOOKUP(Data[[#This Row],[Status]],Compliance_Status[Status from OPMS],Compliance_Status[Status_Key],"")</f>
        <v>4</v>
      </c>
      <c r="O489">
        <f>_xlfn.XLOOKUP(Data[[#This Row],[Status]],Compliance_Status[Status from OPMS],Compliance_Status[Has Course booking],"")</f>
        <v>0</v>
      </c>
      <c r="P489" t="str">
        <f>_xlfn.XLOOKUP(Data[[#This Row],[StatusKey]],Status_Key[Status_Key],Status_Key[Name],"")</f>
        <v>In Date</v>
      </c>
    </row>
    <row r="490" spans="1:16" x14ac:dyDescent="0.25">
      <c r="A490" s="1">
        <v>244</v>
      </c>
      <c r="B490" s="1" t="s">
        <v>181</v>
      </c>
      <c r="C490" s="1" t="s">
        <v>182</v>
      </c>
      <c r="D490" s="1" t="s">
        <v>183</v>
      </c>
      <c r="E490" s="1" t="s">
        <v>75</v>
      </c>
      <c r="F490" s="1" t="s">
        <v>72</v>
      </c>
      <c r="G490" s="1" t="s">
        <v>18</v>
      </c>
      <c r="H490" s="1" t="s">
        <v>185</v>
      </c>
      <c r="I490" s="1" t="s">
        <v>60</v>
      </c>
      <c r="J490" s="1"/>
      <c r="K490" s="1" t="s">
        <v>68</v>
      </c>
      <c r="L490" s="3"/>
      <c r="M490" s="3"/>
      <c r="N490">
        <f>_xlfn.XLOOKUP(Data[[#This Row],[Status]],Compliance_Status[Status from OPMS],Compliance_Status[Status_Key],"")</f>
        <v>2</v>
      </c>
      <c r="O490">
        <f>_xlfn.XLOOKUP(Data[[#This Row],[Status]],Compliance_Status[Status from OPMS],Compliance_Status[Has Course booking],"")</f>
        <v>0</v>
      </c>
      <c r="P490" t="str">
        <f>_xlfn.XLOOKUP(Data[[#This Row],[StatusKey]],Status_Key[Status_Key],Status_Key[Name],"")</f>
        <v>Outstanding</v>
      </c>
    </row>
    <row r="491" spans="1:16" x14ac:dyDescent="0.25">
      <c r="A491" s="1">
        <v>244</v>
      </c>
      <c r="B491" s="1" t="s">
        <v>181</v>
      </c>
      <c r="C491" s="1" t="s">
        <v>182</v>
      </c>
      <c r="D491" s="1" t="s">
        <v>183</v>
      </c>
      <c r="E491" s="1" t="s">
        <v>76</v>
      </c>
      <c r="F491" s="1" t="s">
        <v>65</v>
      </c>
      <c r="G491" s="1" t="s">
        <v>16</v>
      </c>
      <c r="H491" s="1" t="s">
        <v>185</v>
      </c>
      <c r="I491" s="1" t="s">
        <v>60</v>
      </c>
      <c r="J491" s="1" t="s">
        <v>67</v>
      </c>
      <c r="K491" s="1" t="s">
        <v>77</v>
      </c>
      <c r="L491" s="3">
        <v>46387</v>
      </c>
      <c r="M491" s="3">
        <v>44926</v>
      </c>
      <c r="N491">
        <f>_xlfn.XLOOKUP(Data[[#This Row],[Status]],Compliance_Status[Status from OPMS],Compliance_Status[Status_Key],"")</f>
        <v>4</v>
      </c>
      <c r="O491">
        <f>_xlfn.XLOOKUP(Data[[#This Row],[Status]],Compliance_Status[Status from OPMS],Compliance_Status[Has Course booking],"")</f>
        <v>0</v>
      </c>
      <c r="P491" t="str">
        <f>_xlfn.XLOOKUP(Data[[#This Row],[StatusKey]],Status_Key[Status_Key],Status_Key[Name],"")</f>
        <v>In Date</v>
      </c>
    </row>
    <row r="492" spans="1:16" x14ac:dyDescent="0.25">
      <c r="A492" s="1">
        <v>244</v>
      </c>
      <c r="B492" s="1" t="s">
        <v>181</v>
      </c>
      <c r="C492" s="1" t="s">
        <v>182</v>
      </c>
      <c r="D492" s="1" t="s">
        <v>183</v>
      </c>
      <c r="E492" s="1" t="s">
        <v>80</v>
      </c>
      <c r="F492" s="1"/>
      <c r="G492" s="1" t="s">
        <v>16</v>
      </c>
      <c r="H492" s="1" t="s">
        <v>185</v>
      </c>
      <c r="I492" s="1" t="s">
        <v>60</v>
      </c>
      <c r="J492" s="1" t="s">
        <v>67</v>
      </c>
      <c r="K492" s="1" t="s">
        <v>77</v>
      </c>
      <c r="L492" s="3" t="s">
        <v>79</v>
      </c>
      <c r="M492" s="3">
        <v>46046</v>
      </c>
      <c r="N492">
        <f>_xlfn.XLOOKUP(Data[[#This Row],[Status]],Compliance_Status[Status from OPMS],Compliance_Status[Status_Key],"")</f>
        <v>4</v>
      </c>
      <c r="O492">
        <f>_xlfn.XLOOKUP(Data[[#This Row],[Status]],Compliance_Status[Status from OPMS],Compliance_Status[Has Course booking],"")</f>
        <v>0</v>
      </c>
      <c r="P492" t="str">
        <f>_xlfn.XLOOKUP(Data[[#This Row],[StatusKey]],Status_Key[Status_Key],Status_Key[Name],"")</f>
        <v>In Date</v>
      </c>
    </row>
    <row r="493" spans="1:16" x14ac:dyDescent="0.25">
      <c r="A493" s="1">
        <v>244</v>
      </c>
      <c r="B493" s="1" t="s">
        <v>181</v>
      </c>
      <c r="C493" s="1" t="s">
        <v>182</v>
      </c>
      <c r="D493" s="1" t="s">
        <v>183</v>
      </c>
      <c r="E493" s="1" t="s">
        <v>93</v>
      </c>
      <c r="F493" s="1"/>
      <c r="G493" s="1" t="s">
        <v>16</v>
      </c>
      <c r="H493" s="1" t="s">
        <v>185</v>
      </c>
      <c r="I493" s="1" t="s">
        <v>60</v>
      </c>
      <c r="J493" s="1" t="s">
        <v>67</v>
      </c>
      <c r="K493" s="1" t="s">
        <v>94</v>
      </c>
      <c r="L493" s="3">
        <v>46707</v>
      </c>
      <c r="M493" s="3">
        <v>45977</v>
      </c>
      <c r="N493">
        <f>_xlfn.XLOOKUP(Data[[#This Row],[Status]],Compliance_Status[Status from OPMS],Compliance_Status[Status_Key],"")</f>
        <v>4</v>
      </c>
      <c r="O493">
        <f>_xlfn.XLOOKUP(Data[[#This Row],[Status]],Compliance_Status[Status from OPMS],Compliance_Status[Has Course booking],"")</f>
        <v>0</v>
      </c>
      <c r="P493" t="str">
        <f>_xlfn.XLOOKUP(Data[[#This Row],[StatusKey]],Status_Key[Status_Key],Status_Key[Name],"")</f>
        <v>In Date</v>
      </c>
    </row>
    <row r="494" spans="1:16" x14ac:dyDescent="0.25">
      <c r="A494" s="1">
        <v>244</v>
      </c>
      <c r="B494" s="1" t="s">
        <v>181</v>
      </c>
      <c r="C494" s="1" t="s">
        <v>182</v>
      </c>
      <c r="D494" s="1" t="s">
        <v>183</v>
      </c>
      <c r="E494" s="1" t="s">
        <v>95</v>
      </c>
      <c r="F494" s="1"/>
      <c r="G494" s="1" t="s">
        <v>16</v>
      </c>
      <c r="H494" s="1" t="s">
        <v>185</v>
      </c>
      <c r="I494" s="1" t="s">
        <v>60</v>
      </c>
      <c r="J494" s="1" t="s">
        <v>67</v>
      </c>
      <c r="K494" s="1" t="s">
        <v>94</v>
      </c>
      <c r="L494" s="3">
        <v>46707</v>
      </c>
      <c r="M494" s="3">
        <v>45977</v>
      </c>
      <c r="N494">
        <f>_xlfn.XLOOKUP(Data[[#This Row],[Status]],Compliance_Status[Status from OPMS],Compliance_Status[Status_Key],"")</f>
        <v>4</v>
      </c>
      <c r="O494">
        <f>_xlfn.XLOOKUP(Data[[#This Row],[Status]],Compliance_Status[Status from OPMS],Compliance_Status[Has Course booking],"")</f>
        <v>0</v>
      </c>
      <c r="P494" t="str">
        <f>_xlfn.XLOOKUP(Data[[#This Row],[StatusKey]],Status_Key[Status_Key],Status_Key[Name],"")</f>
        <v>In Date</v>
      </c>
    </row>
    <row r="495" spans="1:16" x14ac:dyDescent="0.25">
      <c r="A495" s="1">
        <v>244</v>
      </c>
      <c r="B495" s="1" t="s">
        <v>181</v>
      </c>
      <c r="C495" s="1" t="s">
        <v>182</v>
      </c>
      <c r="D495" s="1" t="s">
        <v>183</v>
      </c>
      <c r="E495" s="1" t="s">
        <v>97</v>
      </c>
      <c r="F495" s="1" t="s">
        <v>65</v>
      </c>
      <c r="G495" s="1" t="s">
        <v>16</v>
      </c>
      <c r="H495" s="1" t="s">
        <v>185</v>
      </c>
      <c r="I495" s="1" t="s">
        <v>60</v>
      </c>
      <c r="J495" s="1" t="s">
        <v>67</v>
      </c>
      <c r="K495" s="1" t="s">
        <v>98</v>
      </c>
      <c r="L495" s="3">
        <v>47802</v>
      </c>
      <c r="M495" s="3">
        <v>45976</v>
      </c>
      <c r="N495">
        <f>_xlfn.XLOOKUP(Data[[#This Row],[Status]],Compliance_Status[Status from OPMS],Compliance_Status[Status_Key],"")</f>
        <v>4</v>
      </c>
      <c r="O495">
        <f>_xlfn.XLOOKUP(Data[[#This Row],[Status]],Compliance_Status[Status from OPMS],Compliance_Status[Has Course booking],"")</f>
        <v>0</v>
      </c>
      <c r="P495" t="str">
        <f>_xlfn.XLOOKUP(Data[[#This Row],[StatusKey]],Status_Key[Status_Key],Status_Key[Name],"")</f>
        <v>In Date</v>
      </c>
    </row>
    <row r="496" spans="1:16" x14ac:dyDescent="0.25">
      <c r="A496" s="1">
        <v>244</v>
      </c>
      <c r="B496" s="1" t="s">
        <v>181</v>
      </c>
      <c r="C496" s="1" t="s">
        <v>182</v>
      </c>
      <c r="D496" s="1" t="s">
        <v>183</v>
      </c>
      <c r="E496" s="1" t="s">
        <v>101</v>
      </c>
      <c r="F496" s="1" t="s">
        <v>65</v>
      </c>
      <c r="G496" s="1" t="s">
        <v>16</v>
      </c>
      <c r="H496" s="1" t="s">
        <v>185</v>
      </c>
      <c r="I496" s="1" t="s">
        <v>60</v>
      </c>
      <c r="J496" s="1" t="s">
        <v>67</v>
      </c>
      <c r="K496" s="1" t="s">
        <v>102</v>
      </c>
      <c r="L496" s="3" t="s">
        <v>79</v>
      </c>
      <c r="M496" s="3">
        <v>46050</v>
      </c>
      <c r="N496">
        <f>_xlfn.XLOOKUP(Data[[#This Row],[Status]],Compliance_Status[Status from OPMS],Compliance_Status[Status_Key],"")</f>
        <v>4</v>
      </c>
      <c r="O496">
        <f>_xlfn.XLOOKUP(Data[[#This Row],[Status]],Compliance_Status[Status from OPMS],Compliance_Status[Has Course booking],"")</f>
        <v>0</v>
      </c>
      <c r="P496" t="str">
        <f>_xlfn.XLOOKUP(Data[[#This Row],[StatusKey]],Status_Key[Status_Key],Status_Key[Name],"")</f>
        <v>In Date</v>
      </c>
    </row>
    <row r="497" spans="1:16" x14ac:dyDescent="0.25">
      <c r="A497" s="1">
        <v>244</v>
      </c>
      <c r="B497" s="1" t="s">
        <v>181</v>
      </c>
      <c r="C497" s="1" t="s">
        <v>182</v>
      </c>
      <c r="D497" s="1" t="s">
        <v>183</v>
      </c>
      <c r="E497" s="1" t="s">
        <v>103</v>
      </c>
      <c r="F497" s="1" t="s">
        <v>65</v>
      </c>
      <c r="G497" s="1" t="s">
        <v>16</v>
      </c>
      <c r="H497" s="1" t="s">
        <v>185</v>
      </c>
      <c r="I497" s="1" t="s">
        <v>60</v>
      </c>
      <c r="J497" s="1" t="s">
        <v>67</v>
      </c>
      <c r="K497" s="1" t="s">
        <v>102</v>
      </c>
      <c r="L497" s="3">
        <v>46769</v>
      </c>
      <c r="M497" s="3">
        <v>46039</v>
      </c>
      <c r="N497">
        <f>_xlfn.XLOOKUP(Data[[#This Row],[Status]],Compliance_Status[Status from OPMS],Compliance_Status[Status_Key],"")</f>
        <v>4</v>
      </c>
      <c r="O497">
        <f>_xlfn.XLOOKUP(Data[[#This Row],[Status]],Compliance_Status[Status from OPMS],Compliance_Status[Has Course booking],"")</f>
        <v>0</v>
      </c>
      <c r="P497" t="str">
        <f>_xlfn.XLOOKUP(Data[[#This Row],[StatusKey]],Status_Key[Status_Key],Status_Key[Name],"")</f>
        <v>In Date</v>
      </c>
    </row>
    <row r="498" spans="1:16" x14ac:dyDescent="0.25">
      <c r="A498" s="1">
        <v>244</v>
      </c>
      <c r="B498" s="1" t="s">
        <v>181</v>
      </c>
      <c r="C498" s="1" t="s">
        <v>182</v>
      </c>
      <c r="D498" s="1" t="s">
        <v>183</v>
      </c>
      <c r="E498" s="1" t="s">
        <v>104</v>
      </c>
      <c r="F498" s="1" t="s">
        <v>65</v>
      </c>
      <c r="G498" s="1" t="s">
        <v>16</v>
      </c>
      <c r="H498" s="1" t="s">
        <v>185</v>
      </c>
      <c r="I498" s="1" t="s">
        <v>60</v>
      </c>
      <c r="J498" s="1" t="s">
        <v>67</v>
      </c>
      <c r="K498" s="1" t="s">
        <v>105</v>
      </c>
      <c r="L498" s="3">
        <v>46705</v>
      </c>
      <c r="M498" s="3">
        <v>45975</v>
      </c>
      <c r="N498">
        <f>_xlfn.XLOOKUP(Data[[#This Row],[Status]],Compliance_Status[Status from OPMS],Compliance_Status[Status_Key],"")</f>
        <v>4</v>
      </c>
      <c r="O498">
        <f>_xlfn.XLOOKUP(Data[[#This Row],[Status]],Compliance_Status[Status from OPMS],Compliance_Status[Has Course booking],"")</f>
        <v>0</v>
      </c>
      <c r="P498" t="str">
        <f>_xlfn.XLOOKUP(Data[[#This Row],[StatusKey]],Status_Key[Status_Key],Status_Key[Name],"")</f>
        <v>In Date</v>
      </c>
    </row>
    <row r="499" spans="1:16" x14ac:dyDescent="0.25">
      <c r="A499" s="1">
        <v>244</v>
      </c>
      <c r="B499" s="1" t="s">
        <v>181</v>
      </c>
      <c r="C499" s="1" t="s">
        <v>182</v>
      </c>
      <c r="D499" s="1" t="s">
        <v>183</v>
      </c>
      <c r="E499" s="1" t="s">
        <v>106</v>
      </c>
      <c r="F499" s="1" t="s">
        <v>65</v>
      </c>
      <c r="G499" s="1" t="s">
        <v>16</v>
      </c>
      <c r="H499" s="1" t="s">
        <v>185</v>
      </c>
      <c r="I499" s="1" t="s">
        <v>60</v>
      </c>
      <c r="J499" s="1" t="s">
        <v>67</v>
      </c>
      <c r="K499" s="1" t="s">
        <v>105</v>
      </c>
      <c r="L499" s="3">
        <v>47802</v>
      </c>
      <c r="M499" s="3">
        <v>45976</v>
      </c>
      <c r="N499">
        <f>_xlfn.XLOOKUP(Data[[#This Row],[Status]],Compliance_Status[Status from OPMS],Compliance_Status[Status_Key],"")</f>
        <v>4</v>
      </c>
      <c r="O499">
        <f>_xlfn.XLOOKUP(Data[[#This Row],[Status]],Compliance_Status[Status from OPMS],Compliance_Status[Has Course booking],"")</f>
        <v>0</v>
      </c>
      <c r="P499" t="str">
        <f>_xlfn.XLOOKUP(Data[[#This Row],[StatusKey]],Status_Key[Status_Key],Status_Key[Name],"")</f>
        <v>In Date</v>
      </c>
    </row>
    <row r="500" spans="1:16" x14ac:dyDescent="0.25">
      <c r="A500" s="1">
        <v>244</v>
      </c>
      <c r="B500" s="1" t="s">
        <v>181</v>
      </c>
      <c r="C500" s="1" t="s">
        <v>182</v>
      </c>
      <c r="D500" s="1" t="s">
        <v>183</v>
      </c>
      <c r="E500" s="1" t="s">
        <v>107</v>
      </c>
      <c r="F500" s="1" t="s">
        <v>65</v>
      </c>
      <c r="G500" s="1" t="s">
        <v>16</v>
      </c>
      <c r="H500" s="1" t="s">
        <v>185</v>
      </c>
      <c r="I500" s="1" t="s">
        <v>60</v>
      </c>
      <c r="J500" s="1" t="s">
        <v>67</v>
      </c>
      <c r="K500" s="1" t="s">
        <v>105</v>
      </c>
      <c r="L500" s="3">
        <v>47071</v>
      </c>
      <c r="M500" s="3">
        <v>45976</v>
      </c>
      <c r="N500">
        <f>_xlfn.XLOOKUP(Data[[#This Row],[Status]],Compliance_Status[Status from OPMS],Compliance_Status[Status_Key],"")</f>
        <v>4</v>
      </c>
      <c r="O500">
        <f>_xlfn.XLOOKUP(Data[[#This Row],[Status]],Compliance_Status[Status from OPMS],Compliance_Status[Has Course booking],"")</f>
        <v>0</v>
      </c>
      <c r="P500" t="str">
        <f>_xlfn.XLOOKUP(Data[[#This Row],[StatusKey]],Status_Key[Status_Key],Status_Key[Name],"")</f>
        <v>In Date</v>
      </c>
    </row>
    <row r="501" spans="1:16" x14ac:dyDescent="0.25">
      <c r="A501" s="1">
        <v>244</v>
      </c>
      <c r="B501" s="1" t="s">
        <v>181</v>
      </c>
      <c r="C501" s="1" t="s">
        <v>182</v>
      </c>
      <c r="D501" s="1" t="s">
        <v>183</v>
      </c>
      <c r="E501" s="1" t="s">
        <v>108</v>
      </c>
      <c r="F501" s="1" t="s">
        <v>65</v>
      </c>
      <c r="G501" s="1" t="s">
        <v>16</v>
      </c>
      <c r="H501" s="1" t="s">
        <v>185</v>
      </c>
      <c r="I501" s="1" t="s">
        <v>60</v>
      </c>
      <c r="J501" s="1" t="s">
        <v>67</v>
      </c>
      <c r="K501" s="1" t="s">
        <v>105</v>
      </c>
      <c r="L501" s="3">
        <v>47328</v>
      </c>
      <c r="M501" s="3">
        <v>46232</v>
      </c>
      <c r="N501">
        <f>_xlfn.XLOOKUP(Data[[#This Row],[Status]],Compliance_Status[Status from OPMS],Compliance_Status[Status_Key],"")</f>
        <v>4</v>
      </c>
      <c r="O501">
        <f>_xlfn.XLOOKUP(Data[[#This Row],[Status]],Compliance_Status[Status from OPMS],Compliance_Status[Has Course booking],"")</f>
        <v>0</v>
      </c>
      <c r="P501" t="str">
        <f>_xlfn.XLOOKUP(Data[[#This Row],[StatusKey]],Status_Key[Status_Key],Status_Key[Name],"")</f>
        <v>In Date</v>
      </c>
    </row>
    <row r="502" spans="1:16" x14ac:dyDescent="0.25">
      <c r="A502" s="1">
        <v>244</v>
      </c>
      <c r="B502" s="1" t="s">
        <v>181</v>
      </c>
      <c r="C502" s="1" t="s">
        <v>182</v>
      </c>
      <c r="D502" s="1" t="s">
        <v>183</v>
      </c>
      <c r="E502" s="1" t="s">
        <v>109</v>
      </c>
      <c r="F502" s="1" t="s">
        <v>65</v>
      </c>
      <c r="G502" s="1" t="s">
        <v>16</v>
      </c>
      <c r="H502" s="1" t="s">
        <v>185</v>
      </c>
      <c r="I502" s="1" t="s">
        <v>60</v>
      </c>
      <c r="J502" s="1" t="s">
        <v>67</v>
      </c>
      <c r="K502" s="1" t="s">
        <v>105</v>
      </c>
      <c r="L502" s="3">
        <v>46705</v>
      </c>
      <c r="M502" s="3">
        <v>45975</v>
      </c>
      <c r="N502">
        <f>_xlfn.XLOOKUP(Data[[#This Row],[Status]],Compliance_Status[Status from OPMS],Compliance_Status[Status_Key],"")</f>
        <v>4</v>
      </c>
      <c r="O502">
        <f>_xlfn.XLOOKUP(Data[[#This Row],[Status]],Compliance_Status[Status from OPMS],Compliance_Status[Has Course booking],"")</f>
        <v>0</v>
      </c>
      <c r="P502" t="str">
        <f>_xlfn.XLOOKUP(Data[[#This Row],[StatusKey]],Status_Key[Status_Key],Status_Key[Name],"")</f>
        <v>In Date</v>
      </c>
    </row>
    <row r="503" spans="1:16" x14ac:dyDescent="0.25">
      <c r="A503" s="1">
        <v>244</v>
      </c>
      <c r="B503" s="1" t="s">
        <v>181</v>
      </c>
      <c r="C503" s="1" t="s">
        <v>182</v>
      </c>
      <c r="D503" s="1" t="s">
        <v>183</v>
      </c>
      <c r="E503" s="1" t="s">
        <v>110</v>
      </c>
      <c r="F503" s="1" t="s">
        <v>65</v>
      </c>
      <c r="G503" s="1" t="s">
        <v>16</v>
      </c>
      <c r="H503" s="1" t="s">
        <v>185</v>
      </c>
      <c r="I503" s="1" t="s">
        <v>60</v>
      </c>
      <c r="J503" s="1" t="s">
        <v>67</v>
      </c>
      <c r="K503" s="1" t="s">
        <v>105</v>
      </c>
      <c r="L503" s="3" t="s">
        <v>79</v>
      </c>
      <c r="M503" s="3">
        <v>45977</v>
      </c>
      <c r="N503">
        <f>_xlfn.XLOOKUP(Data[[#This Row],[Status]],Compliance_Status[Status from OPMS],Compliance_Status[Status_Key],"")</f>
        <v>4</v>
      </c>
      <c r="O503">
        <f>_xlfn.XLOOKUP(Data[[#This Row],[Status]],Compliance_Status[Status from OPMS],Compliance_Status[Has Course booking],"")</f>
        <v>0</v>
      </c>
      <c r="P503" t="str">
        <f>_xlfn.XLOOKUP(Data[[#This Row],[StatusKey]],Status_Key[Status_Key],Status_Key[Name],"")</f>
        <v>In Date</v>
      </c>
    </row>
    <row r="504" spans="1:16" x14ac:dyDescent="0.25">
      <c r="A504" s="1">
        <v>244</v>
      </c>
      <c r="B504" s="1" t="s">
        <v>181</v>
      </c>
      <c r="C504" s="1" t="s">
        <v>182</v>
      </c>
      <c r="D504" s="1" t="s">
        <v>183</v>
      </c>
      <c r="E504" s="1" t="s">
        <v>111</v>
      </c>
      <c r="F504" s="1" t="s">
        <v>65</v>
      </c>
      <c r="G504" s="1" t="s">
        <v>16</v>
      </c>
      <c r="H504" s="1" t="s">
        <v>185</v>
      </c>
      <c r="I504" s="1" t="s">
        <v>60</v>
      </c>
      <c r="J504" s="1" t="s">
        <v>67</v>
      </c>
      <c r="K504" s="1" t="s">
        <v>105</v>
      </c>
      <c r="L504" s="3">
        <v>46768</v>
      </c>
      <c r="M504" s="3">
        <v>46038</v>
      </c>
      <c r="N504">
        <f>_xlfn.XLOOKUP(Data[[#This Row],[Status]],Compliance_Status[Status from OPMS],Compliance_Status[Status_Key],"")</f>
        <v>4</v>
      </c>
      <c r="O504">
        <f>_xlfn.XLOOKUP(Data[[#This Row],[Status]],Compliance_Status[Status from OPMS],Compliance_Status[Has Course booking],"")</f>
        <v>0</v>
      </c>
      <c r="P504" t="str">
        <f>_xlfn.XLOOKUP(Data[[#This Row],[StatusKey]],Status_Key[Status_Key],Status_Key[Name],"")</f>
        <v>In Date</v>
      </c>
    </row>
    <row r="505" spans="1:16" x14ac:dyDescent="0.25">
      <c r="A505" s="1">
        <v>244</v>
      </c>
      <c r="B505" s="1" t="s">
        <v>181</v>
      </c>
      <c r="C505" s="1" t="s">
        <v>182</v>
      </c>
      <c r="D505" s="1" t="s">
        <v>183</v>
      </c>
      <c r="E505" s="1" t="s">
        <v>112</v>
      </c>
      <c r="F505" s="1" t="s">
        <v>65</v>
      </c>
      <c r="G505" s="1" t="s">
        <v>16</v>
      </c>
      <c r="H505" s="1" t="s">
        <v>185</v>
      </c>
      <c r="I505" s="1" t="s">
        <v>60</v>
      </c>
      <c r="J505" s="1" t="s">
        <v>67</v>
      </c>
      <c r="K505" s="1" t="s">
        <v>105</v>
      </c>
      <c r="L505" s="3">
        <v>46706</v>
      </c>
      <c r="M505" s="3">
        <v>45976</v>
      </c>
      <c r="N505">
        <f>_xlfn.XLOOKUP(Data[[#This Row],[Status]],Compliance_Status[Status from OPMS],Compliance_Status[Status_Key],"")</f>
        <v>4</v>
      </c>
      <c r="O505">
        <f>_xlfn.XLOOKUP(Data[[#This Row],[Status]],Compliance_Status[Status from OPMS],Compliance_Status[Has Course booking],"")</f>
        <v>0</v>
      </c>
      <c r="P505" t="str">
        <f>_xlfn.XLOOKUP(Data[[#This Row],[StatusKey]],Status_Key[Status_Key],Status_Key[Name],"")</f>
        <v>In Date</v>
      </c>
    </row>
    <row r="506" spans="1:16" x14ac:dyDescent="0.25">
      <c r="A506" s="1">
        <v>244</v>
      </c>
      <c r="B506" s="1" t="s">
        <v>181</v>
      </c>
      <c r="C506" s="1" t="s">
        <v>182</v>
      </c>
      <c r="D506" s="1" t="s">
        <v>183</v>
      </c>
      <c r="E506" s="1" t="s">
        <v>113</v>
      </c>
      <c r="F506" s="1" t="s">
        <v>65</v>
      </c>
      <c r="G506" s="1" t="s">
        <v>16</v>
      </c>
      <c r="H506" s="1" t="s">
        <v>185</v>
      </c>
      <c r="I506" s="1" t="s">
        <v>60</v>
      </c>
      <c r="J506" s="1" t="s">
        <v>67</v>
      </c>
      <c r="K506" s="1" t="s">
        <v>105</v>
      </c>
      <c r="L506" s="3">
        <v>46768</v>
      </c>
      <c r="M506" s="3">
        <v>46038</v>
      </c>
      <c r="N506">
        <f>_xlfn.XLOOKUP(Data[[#This Row],[Status]],Compliance_Status[Status from OPMS],Compliance_Status[Status_Key],"")</f>
        <v>4</v>
      </c>
      <c r="O506">
        <f>_xlfn.XLOOKUP(Data[[#This Row],[Status]],Compliance_Status[Status from OPMS],Compliance_Status[Has Course booking],"")</f>
        <v>0</v>
      </c>
      <c r="P506" t="str">
        <f>_xlfn.XLOOKUP(Data[[#This Row],[StatusKey]],Status_Key[Status_Key],Status_Key[Name],"")</f>
        <v>In Date</v>
      </c>
    </row>
    <row r="507" spans="1:16" x14ac:dyDescent="0.25">
      <c r="A507" s="1">
        <v>150</v>
      </c>
      <c r="B507" s="1" t="s">
        <v>186</v>
      </c>
      <c r="C507" s="1" t="s">
        <v>187</v>
      </c>
      <c r="D507" s="1" t="s">
        <v>188</v>
      </c>
      <c r="E507" s="1" t="s">
        <v>64</v>
      </c>
      <c r="F507" s="1" t="s">
        <v>65</v>
      </c>
      <c r="G507" s="1" t="s">
        <v>16</v>
      </c>
      <c r="H507" s="1" t="s">
        <v>66</v>
      </c>
      <c r="I507" s="1" t="s">
        <v>60</v>
      </c>
      <c r="J507" s="1" t="s">
        <v>67</v>
      </c>
      <c r="K507" s="1" t="s">
        <v>68</v>
      </c>
      <c r="L507" s="3">
        <v>47994</v>
      </c>
      <c r="M507" s="3">
        <v>46169</v>
      </c>
      <c r="N507">
        <f>_xlfn.XLOOKUP(Data[[#This Row],[Status]],Compliance_Status[Status from OPMS],Compliance_Status[Status_Key],"")</f>
        <v>4</v>
      </c>
      <c r="O507">
        <f>_xlfn.XLOOKUP(Data[[#This Row],[Status]],Compliance_Status[Status from OPMS],Compliance_Status[Has Course booking],"")</f>
        <v>0</v>
      </c>
      <c r="P507" t="str">
        <f>_xlfn.XLOOKUP(Data[[#This Row],[StatusKey]],Status_Key[Status_Key],Status_Key[Name],"")</f>
        <v>In Date</v>
      </c>
    </row>
    <row r="508" spans="1:16" x14ac:dyDescent="0.25">
      <c r="A508" s="1">
        <v>150</v>
      </c>
      <c r="B508" s="1" t="s">
        <v>186</v>
      </c>
      <c r="C508" s="1" t="s">
        <v>187</v>
      </c>
      <c r="D508" s="1" t="s">
        <v>188</v>
      </c>
      <c r="E508" s="1" t="s">
        <v>69</v>
      </c>
      <c r="F508" s="1" t="s">
        <v>65</v>
      </c>
      <c r="G508" s="1" t="s">
        <v>16</v>
      </c>
      <c r="H508" s="1" t="s">
        <v>66</v>
      </c>
      <c r="I508" s="1" t="s">
        <v>60</v>
      </c>
      <c r="J508" s="1" t="s">
        <v>67</v>
      </c>
      <c r="K508" s="1" t="s">
        <v>68</v>
      </c>
      <c r="L508" s="3">
        <v>47994</v>
      </c>
      <c r="M508" s="3">
        <v>46169</v>
      </c>
      <c r="N508">
        <f>_xlfn.XLOOKUP(Data[[#This Row],[Status]],Compliance_Status[Status from OPMS],Compliance_Status[Status_Key],"")</f>
        <v>4</v>
      </c>
      <c r="O508">
        <f>_xlfn.XLOOKUP(Data[[#This Row],[Status]],Compliance_Status[Status from OPMS],Compliance_Status[Has Course booking],"")</f>
        <v>0</v>
      </c>
      <c r="P508" t="str">
        <f>_xlfn.XLOOKUP(Data[[#This Row],[StatusKey]],Status_Key[Status_Key],Status_Key[Name],"")</f>
        <v>In Date</v>
      </c>
    </row>
    <row r="509" spans="1:16" x14ac:dyDescent="0.25">
      <c r="A509" s="1">
        <v>150</v>
      </c>
      <c r="B509" s="1" t="s">
        <v>186</v>
      </c>
      <c r="C509" s="1" t="s">
        <v>187</v>
      </c>
      <c r="D509" s="1" t="s">
        <v>188</v>
      </c>
      <c r="E509" s="1" t="s">
        <v>70</v>
      </c>
      <c r="F509" s="1" t="s">
        <v>65</v>
      </c>
      <c r="G509" s="1" t="s">
        <v>16</v>
      </c>
      <c r="H509" s="1" t="s">
        <v>66</v>
      </c>
      <c r="I509" s="1" t="s">
        <v>60</v>
      </c>
      <c r="J509" s="1" t="s">
        <v>67</v>
      </c>
      <c r="K509" s="1" t="s">
        <v>68</v>
      </c>
      <c r="L509" s="3">
        <v>47398</v>
      </c>
      <c r="M509" s="3">
        <v>45510</v>
      </c>
      <c r="N509">
        <f>_xlfn.XLOOKUP(Data[[#This Row],[Status]],Compliance_Status[Status from OPMS],Compliance_Status[Status_Key],"")</f>
        <v>4</v>
      </c>
      <c r="O509">
        <f>_xlfn.XLOOKUP(Data[[#This Row],[Status]],Compliance_Status[Status from OPMS],Compliance_Status[Has Course booking],"")</f>
        <v>0</v>
      </c>
      <c r="P509" t="str">
        <f>_xlfn.XLOOKUP(Data[[#This Row],[StatusKey]],Status_Key[Status_Key],Status_Key[Name],"")</f>
        <v>In Date</v>
      </c>
    </row>
    <row r="510" spans="1:16" x14ac:dyDescent="0.25">
      <c r="A510" s="1">
        <v>150</v>
      </c>
      <c r="B510" s="1" t="s">
        <v>186</v>
      </c>
      <c r="C510" s="1" t="s">
        <v>187</v>
      </c>
      <c r="D510" s="1" t="s">
        <v>188</v>
      </c>
      <c r="E510" s="1" t="s">
        <v>71</v>
      </c>
      <c r="F510" s="1" t="s">
        <v>72</v>
      </c>
      <c r="G510" s="1" t="s">
        <v>16</v>
      </c>
      <c r="H510" s="1" t="s">
        <v>66</v>
      </c>
      <c r="I510" s="1" t="s">
        <v>60</v>
      </c>
      <c r="J510" s="1"/>
      <c r="K510" s="1" t="s">
        <v>68</v>
      </c>
      <c r="L510" s="3">
        <v>47287</v>
      </c>
      <c r="M510" s="3">
        <v>45461</v>
      </c>
      <c r="N510">
        <f>_xlfn.XLOOKUP(Data[[#This Row],[Status]],Compliance_Status[Status from OPMS],Compliance_Status[Status_Key],"")</f>
        <v>4</v>
      </c>
      <c r="O510">
        <f>_xlfn.XLOOKUP(Data[[#This Row],[Status]],Compliance_Status[Status from OPMS],Compliance_Status[Has Course booking],"")</f>
        <v>0</v>
      </c>
      <c r="P510" t="str">
        <f>_xlfn.XLOOKUP(Data[[#This Row],[StatusKey]],Status_Key[Status_Key],Status_Key[Name],"")</f>
        <v>In Date</v>
      </c>
    </row>
    <row r="511" spans="1:16" x14ac:dyDescent="0.25">
      <c r="A511" s="1">
        <v>150</v>
      </c>
      <c r="B511" s="1" t="s">
        <v>186</v>
      </c>
      <c r="C511" s="1" t="s">
        <v>187</v>
      </c>
      <c r="D511" s="1" t="s">
        <v>188</v>
      </c>
      <c r="E511" s="1" t="s">
        <v>73</v>
      </c>
      <c r="F511" s="1" t="s">
        <v>65</v>
      </c>
      <c r="G511" s="1" t="s">
        <v>16</v>
      </c>
      <c r="H511" s="1" t="s">
        <v>66</v>
      </c>
      <c r="I511" s="1" t="s">
        <v>60</v>
      </c>
      <c r="J511" s="1" t="s">
        <v>67</v>
      </c>
      <c r="K511" s="1" t="s">
        <v>68</v>
      </c>
      <c r="L511" s="3">
        <v>46785</v>
      </c>
      <c r="M511" s="3">
        <v>46055</v>
      </c>
      <c r="N511">
        <f>_xlfn.XLOOKUP(Data[[#This Row],[Status]],Compliance_Status[Status from OPMS],Compliance_Status[Status_Key],"")</f>
        <v>4</v>
      </c>
      <c r="O511">
        <f>_xlfn.XLOOKUP(Data[[#This Row],[Status]],Compliance_Status[Status from OPMS],Compliance_Status[Has Course booking],"")</f>
        <v>0</v>
      </c>
      <c r="P511" t="str">
        <f>_xlfn.XLOOKUP(Data[[#This Row],[StatusKey]],Status_Key[Status_Key],Status_Key[Name],"")</f>
        <v>In Date</v>
      </c>
    </row>
    <row r="512" spans="1:16" x14ac:dyDescent="0.25">
      <c r="A512" s="1">
        <v>150</v>
      </c>
      <c r="B512" s="1" t="s">
        <v>186</v>
      </c>
      <c r="C512" s="1" t="s">
        <v>187</v>
      </c>
      <c r="D512" s="1" t="s">
        <v>188</v>
      </c>
      <c r="E512" s="1" t="s">
        <v>74</v>
      </c>
      <c r="F512" s="1" t="s">
        <v>65</v>
      </c>
      <c r="G512" s="1" t="s">
        <v>16</v>
      </c>
      <c r="H512" s="1" t="s">
        <v>66</v>
      </c>
      <c r="I512" s="1" t="s">
        <v>60</v>
      </c>
      <c r="J512" s="1" t="s">
        <v>67</v>
      </c>
      <c r="K512" s="1" t="s">
        <v>68</v>
      </c>
      <c r="L512" s="3">
        <v>46811</v>
      </c>
      <c r="M512" s="3">
        <v>45716</v>
      </c>
      <c r="N512">
        <f>_xlfn.XLOOKUP(Data[[#This Row],[Status]],Compliance_Status[Status from OPMS],Compliance_Status[Status_Key],"")</f>
        <v>4</v>
      </c>
      <c r="O512">
        <f>_xlfn.XLOOKUP(Data[[#This Row],[Status]],Compliance_Status[Status from OPMS],Compliance_Status[Has Course booking],"")</f>
        <v>0</v>
      </c>
      <c r="P512" t="str">
        <f>_xlfn.XLOOKUP(Data[[#This Row],[StatusKey]],Status_Key[Status_Key],Status_Key[Name],"")</f>
        <v>In Date</v>
      </c>
    </row>
    <row r="513" spans="1:16" x14ac:dyDescent="0.25">
      <c r="A513" s="1">
        <v>150</v>
      </c>
      <c r="B513" s="1" t="s">
        <v>186</v>
      </c>
      <c r="C513" s="1" t="s">
        <v>187</v>
      </c>
      <c r="D513" s="1" t="s">
        <v>188</v>
      </c>
      <c r="E513" s="1" t="s">
        <v>75</v>
      </c>
      <c r="F513" s="1" t="s">
        <v>72</v>
      </c>
      <c r="G513" s="1" t="s">
        <v>18</v>
      </c>
      <c r="H513" s="1" t="s">
        <v>66</v>
      </c>
      <c r="I513" s="1" t="s">
        <v>60</v>
      </c>
      <c r="J513" s="1"/>
      <c r="K513" s="1" t="s">
        <v>68</v>
      </c>
      <c r="L513" s="3"/>
      <c r="M513" s="3"/>
      <c r="N513">
        <f>_xlfn.XLOOKUP(Data[[#This Row],[Status]],Compliance_Status[Status from OPMS],Compliance_Status[Status_Key],"")</f>
        <v>2</v>
      </c>
      <c r="O513">
        <f>_xlfn.XLOOKUP(Data[[#This Row],[Status]],Compliance_Status[Status from OPMS],Compliance_Status[Has Course booking],"")</f>
        <v>0</v>
      </c>
      <c r="P513" t="str">
        <f>_xlfn.XLOOKUP(Data[[#This Row],[StatusKey]],Status_Key[Status_Key],Status_Key[Name],"")</f>
        <v>Outstanding</v>
      </c>
    </row>
    <row r="514" spans="1:16" x14ac:dyDescent="0.25">
      <c r="A514" s="1">
        <v>150</v>
      </c>
      <c r="B514" s="1" t="s">
        <v>186</v>
      </c>
      <c r="C514" s="1" t="s">
        <v>187</v>
      </c>
      <c r="D514" s="1" t="s">
        <v>188</v>
      </c>
      <c r="E514" s="1" t="s">
        <v>76</v>
      </c>
      <c r="F514" s="1" t="s">
        <v>65</v>
      </c>
      <c r="G514" s="1" t="s">
        <v>16</v>
      </c>
      <c r="H514" s="1" t="s">
        <v>66</v>
      </c>
      <c r="I514" s="1" t="s">
        <v>60</v>
      </c>
      <c r="J514" s="1" t="s">
        <v>67</v>
      </c>
      <c r="K514" s="1" t="s">
        <v>77</v>
      </c>
      <c r="L514" s="3">
        <v>46446</v>
      </c>
      <c r="M514" s="3">
        <v>44985</v>
      </c>
      <c r="N514">
        <f>_xlfn.XLOOKUP(Data[[#This Row],[Status]],Compliance_Status[Status from OPMS],Compliance_Status[Status_Key],"")</f>
        <v>4</v>
      </c>
      <c r="O514">
        <f>_xlfn.XLOOKUP(Data[[#This Row],[Status]],Compliance_Status[Status from OPMS],Compliance_Status[Has Course booking],"")</f>
        <v>0</v>
      </c>
      <c r="P514" t="str">
        <f>_xlfn.XLOOKUP(Data[[#This Row],[StatusKey]],Status_Key[Status_Key],Status_Key[Name],"")</f>
        <v>In Date</v>
      </c>
    </row>
    <row r="515" spans="1:16" x14ac:dyDescent="0.25">
      <c r="A515" s="1">
        <v>150</v>
      </c>
      <c r="B515" s="1" t="s">
        <v>186</v>
      </c>
      <c r="C515" s="1" t="s">
        <v>187</v>
      </c>
      <c r="D515" s="1" t="s">
        <v>188</v>
      </c>
      <c r="E515" s="1" t="s">
        <v>78</v>
      </c>
      <c r="F515" s="1" t="s">
        <v>65</v>
      </c>
      <c r="G515" s="1" t="s">
        <v>16</v>
      </c>
      <c r="H515" s="1" t="s">
        <v>66</v>
      </c>
      <c r="I515" s="1" t="s">
        <v>60</v>
      </c>
      <c r="J515" s="1" t="s">
        <v>67</v>
      </c>
      <c r="K515" s="1" t="s">
        <v>77</v>
      </c>
      <c r="L515" s="3" t="s">
        <v>79</v>
      </c>
      <c r="M515" s="3">
        <v>44871</v>
      </c>
      <c r="N515">
        <f>_xlfn.XLOOKUP(Data[[#This Row],[Status]],Compliance_Status[Status from OPMS],Compliance_Status[Status_Key],"")</f>
        <v>4</v>
      </c>
      <c r="O515">
        <f>_xlfn.XLOOKUP(Data[[#This Row],[Status]],Compliance_Status[Status from OPMS],Compliance_Status[Has Course booking],"")</f>
        <v>0</v>
      </c>
      <c r="P515" t="str">
        <f>_xlfn.XLOOKUP(Data[[#This Row],[StatusKey]],Status_Key[Status_Key],Status_Key[Name],"")</f>
        <v>In Date</v>
      </c>
    </row>
    <row r="516" spans="1:16" x14ac:dyDescent="0.25">
      <c r="A516" s="1">
        <v>150</v>
      </c>
      <c r="B516" s="1" t="s">
        <v>186</v>
      </c>
      <c r="C516" s="1" t="s">
        <v>187</v>
      </c>
      <c r="D516" s="1" t="s">
        <v>188</v>
      </c>
      <c r="E516" s="1" t="s">
        <v>80</v>
      </c>
      <c r="F516" s="1" t="s">
        <v>65</v>
      </c>
      <c r="G516" s="1" t="s">
        <v>16</v>
      </c>
      <c r="H516" s="1" t="s">
        <v>66</v>
      </c>
      <c r="I516" s="1" t="s">
        <v>60</v>
      </c>
      <c r="J516" s="1" t="s">
        <v>67</v>
      </c>
      <c r="K516" s="1" t="s">
        <v>77</v>
      </c>
      <c r="L516" s="3" t="s">
        <v>79</v>
      </c>
      <c r="M516" s="3">
        <v>45757</v>
      </c>
      <c r="N516">
        <f>_xlfn.XLOOKUP(Data[[#This Row],[Status]],Compliance_Status[Status from OPMS],Compliance_Status[Status_Key],"")</f>
        <v>4</v>
      </c>
      <c r="O516">
        <f>_xlfn.XLOOKUP(Data[[#This Row],[Status]],Compliance_Status[Status from OPMS],Compliance_Status[Has Course booking],"")</f>
        <v>0</v>
      </c>
      <c r="P516" t="str">
        <f>_xlfn.XLOOKUP(Data[[#This Row],[StatusKey]],Status_Key[Status_Key],Status_Key[Name],"")</f>
        <v>In Date</v>
      </c>
    </row>
    <row r="517" spans="1:16" x14ac:dyDescent="0.25">
      <c r="A517" s="1">
        <v>150</v>
      </c>
      <c r="B517" s="1" t="s">
        <v>186</v>
      </c>
      <c r="C517" s="1" t="s">
        <v>187</v>
      </c>
      <c r="D517" s="1" t="s">
        <v>188</v>
      </c>
      <c r="E517" s="1" t="s">
        <v>81</v>
      </c>
      <c r="F517" s="1" t="s">
        <v>65</v>
      </c>
      <c r="G517" s="1" t="s">
        <v>16</v>
      </c>
      <c r="H517" s="1" t="s">
        <v>66</v>
      </c>
      <c r="I517" s="1" t="s">
        <v>60</v>
      </c>
      <c r="J517" s="1" t="s">
        <v>67</v>
      </c>
      <c r="K517" s="1" t="s">
        <v>77</v>
      </c>
      <c r="L517" s="3">
        <v>46758</v>
      </c>
      <c r="M517" s="3">
        <v>46028</v>
      </c>
      <c r="N517">
        <f>_xlfn.XLOOKUP(Data[[#This Row],[Status]],Compliance_Status[Status from OPMS],Compliance_Status[Status_Key],"")</f>
        <v>4</v>
      </c>
      <c r="O517">
        <f>_xlfn.XLOOKUP(Data[[#This Row],[Status]],Compliance_Status[Status from OPMS],Compliance_Status[Has Course booking],"")</f>
        <v>0</v>
      </c>
      <c r="P517" t="str">
        <f>_xlfn.XLOOKUP(Data[[#This Row],[StatusKey]],Status_Key[Status_Key],Status_Key[Name],"")</f>
        <v>In Date</v>
      </c>
    </row>
    <row r="518" spans="1:16" x14ac:dyDescent="0.25">
      <c r="A518" s="1">
        <v>150</v>
      </c>
      <c r="B518" s="1" t="s">
        <v>186</v>
      </c>
      <c r="C518" s="1" t="s">
        <v>187</v>
      </c>
      <c r="D518" s="1" t="s">
        <v>188</v>
      </c>
      <c r="E518" s="1" t="s">
        <v>82</v>
      </c>
      <c r="F518" s="1" t="s">
        <v>65</v>
      </c>
      <c r="G518" s="1" t="s">
        <v>16</v>
      </c>
      <c r="H518" s="1" t="s">
        <v>66</v>
      </c>
      <c r="I518" s="1" t="s">
        <v>60</v>
      </c>
      <c r="J518" s="1" t="s">
        <v>67</v>
      </c>
      <c r="K518" s="1" t="s">
        <v>83</v>
      </c>
      <c r="L518" s="3">
        <v>46757</v>
      </c>
      <c r="M518" s="3">
        <v>46027</v>
      </c>
      <c r="N518">
        <f>_xlfn.XLOOKUP(Data[[#This Row],[Status]],Compliance_Status[Status from OPMS],Compliance_Status[Status_Key],"")</f>
        <v>4</v>
      </c>
      <c r="O518">
        <f>_xlfn.XLOOKUP(Data[[#This Row],[Status]],Compliance_Status[Status from OPMS],Compliance_Status[Has Course booking],"")</f>
        <v>0</v>
      </c>
      <c r="P518" t="str">
        <f>_xlfn.XLOOKUP(Data[[#This Row],[StatusKey]],Status_Key[Status_Key],Status_Key[Name],"")</f>
        <v>In Date</v>
      </c>
    </row>
    <row r="519" spans="1:16" x14ac:dyDescent="0.25">
      <c r="A519" s="1">
        <v>150</v>
      </c>
      <c r="B519" s="1" t="s">
        <v>186</v>
      </c>
      <c r="C519" s="1" t="s">
        <v>187</v>
      </c>
      <c r="D519" s="1" t="s">
        <v>188</v>
      </c>
      <c r="E519" s="1" t="s">
        <v>84</v>
      </c>
      <c r="F519" s="1" t="s">
        <v>65</v>
      </c>
      <c r="G519" s="1" t="s">
        <v>16</v>
      </c>
      <c r="H519" s="1" t="s">
        <v>66</v>
      </c>
      <c r="I519" s="1" t="s">
        <v>60</v>
      </c>
      <c r="J519" s="1" t="s">
        <v>67</v>
      </c>
      <c r="K519" s="1" t="s">
        <v>83</v>
      </c>
      <c r="L519" s="3">
        <v>46722</v>
      </c>
      <c r="M519" s="3">
        <v>45992</v>
      </c>
      <c r="N519">
        <f>_xlfn.XLOOKUP(Data[[#This Row],[Status]],Compliance_Status[Status from OPMS],Compliance_Status[Status_Key],"")</f>
        <v>4</v>
      </c>
      <c r="O519">
        <f>_xlfn.XLOOKUP(Data[[#This Row],[Status]],Compliance_Status[Status from OPMS],Compliance_Status[Has Course booking],"")</f>
        <v>0</v>
      </c>
      <c r="P519" t="str">
        <f>_xlfn.XLOOKUP(Data[[#This Row],[StatusKey]],Status_Key[Status_Key],Status_Key[Name],"")</f>
        <v>In Date</v>
      </c>
    </row>
    <row r="520" spans="1:16" x14ac:dyDescent="0.25">
      <c r="A520" s="1">
        <v>150</v>
      </c>
      <c r="B520" s="1" t="s">
        <v>186</v>
      </c>
      <c r="C520" s="1" t="s">
        <v>187</v>
      </c>
      <c r="D520" s="1" t="s">
        <v>188</v>
      </c>
      <c r="E520" s="1" t="s">
        <v>85</v>
      </c>
      <c r="F520" s="1" t="s">
        <v>65</v>
      </c>
      <c r="G520" s="1" t="s">
        <v>16</v>
      </c>
      <c r="H520" s="1" t="s">
        <v>66</v>
      </c>
      <c r="I520" s="1" t="s">
        <v>60</v>
      </c>
      <c r="J520" s="1" t="s">
        <v>67</v>
      </c>
      <c r="K520" s="1" t="s">
        <v>86</v>
      </c>
      <c r="L520" s="3" t="s">
        <v>79</v>
      </c>
      <c r="M520" s="3">
        <v>45721</v>
      </c>
      <c r="N520">
        <f>_xlfn.XLOOKUP(Data[[#This Row],[Status]],Compliance_Status[Status from OPMS],Compliance_Status[Status_Key],"")</f>
        <v>4</v>
      </c>
      <c r="O520">
        <f>_xlfn.XLOOKUP(Data[[#This Row],[Status]],Compliance_Status[Status from OPMS],Compliance_Status[Has Course booking],"")</f>
        <v>0</v>
      </c>
      <c r="P520" t="str">
        <f>_xlfn.XLOOKUP(Data[[#This Row],[StatusKey]],Status_Key[Status_Key],Status_Key[Name],"")</f>
        <v>In Date</v>
      </c>
    </row>
    <row r="521" spans="1:16" x14ac:dyDescent="0.25">
      <c r="A521" s="1">
        <v>150</v>
      </c>
      <c r="B521" s="1" t="s">
        <v>186</v>
      </c>
      <c r="C521" s="1" t="s">
        <v>187</v>
      </c>
      <c r="D521" s="1" t="s">
        <v>188</v>
      </c>
      <c r="E521" s="1" t="s">
        <v>87</v>
      </c>
      <c r="F521" s="1" t="s">
        <v>65</v>
      </c>
      <c r="G521" s="1" t="s">
        <v>16</v>
      </c>
      <c r="H521" s="1" t="s">
        <v>66</v>
      </c>
      <c r="I521" s="1" t="s">
        <v>60</v>
      </c>
      <c r="J521" s="1" t="s">
        <v>67</v>
      </c>
      <c r="K521" s="1" t="s">
        <v>86</v>
      </c>
      <c r="L521" s="3" t="s">
        <v>79</v>
      </c>
      <c r="M521" s="3">
        <v>45726</v>
      </c>
      <c r="N521">
        <f>_xlfn.XLOOKUP(Data[[#This Row],[Status]],Compliance_Status[Status from OPMS],Compliance_Status[Status_Key],"")</f>
        <v>4</v>
      </c>
      <c r="O521">
        <f>_xlfn.XLOOKUP(Data[[#This Row],[Status]],Compliance_Status[Status from OPMS],Compliance_Status[Has Course booking],"")</f>
        <v>0</v>
      </c>
      <c r="P521" t="str">
        <f>_xlfn.XLOOKUP(Data[[#This Row],[StatusKey]],Status_Key[Status_Key],Status_Key[Name],"")</f>
        <v>In Date</v>
      </c>
    </row>
    <row r="522" spans="1:16" x14ac:dyDescent="0.25">
      <c r="A522" s="1">
        <v>150</v>
      </c>
      <c r="B522" s="1" t="s">
        <v>186</v>
      </c>
      <c r="C522" s="1" t="s">
        <v>187</v>
      </c>
      <c r="D522" s="1" t="s">
        <v>188</v>
      </c>
      <c r="E522" s="1" t="s">
        <v>88</v>
      </c>
      <c r="F522" s="1" t="s">
        <v>65</v>
      </c>
      <c r="G522" s="1" t="s">
        <v>16</v>
      </c>
      <c r="H522" s="1" t="s">
        <v>66</v>
      </c>
      <c r="I522" s="1" t="s">
        <v>60</v>
      </c>
      <c r="J522" s="1" t="s">
        <v>67</v>
      </c>
      <c r="K522" s="1" t="s">
        <v>86</v>
      </c>
      <c r="L522" s="3" t="s">
        <v>79</v>
      </c>
      <c r="M522" s="3">
        <v>45732</v>
      </c>
      <c r="N522">
        <f>_xlfn.XLOOKUP(Data[[#This Row],[Status]],Compliance_Status[Status from OPMS],Compliance_Status[Status_Key],"")</f>
        <v>4</v>
      </c>
      <c r="O522">
        <f>_xlfn.XLOOKUP(Data[[#This Row],[Status]],Compliance_Status[Status from OPMS],Compliance_Status[Has Course booking],"")</f>
        <v>0</v>
      </c>
      <c r="P522" t="str">
        <f>_xlfn.XLOOKUP(Data[[#This Row],[StatusKey]],Status_Key[Status_Key],Status_Key[Name],"")</f>
        <v>In Date</v>
      </c>
    </row>
    <row r="523" spans="1:16" x14ac:dyDescent="0.25">
      <c r="A523" s="1">
        <v>150</v>
      </c>
      <c r="B523" s="1" t="s">
        <v>186</v>
      </c>
      <c r="C523" s="1" t="s">
        <v>187</v>
      </c>
      <c r="D523" s="1" t="s">
        <v>188</v>
      </c>
      <c r="E523" s="1" t="s">
        <v>89</v>
      </c>
      <c r="F523" s="1" t="s">
        <v>65</v>
      </c>
      <c r="G523" s="1" t="s">
        <v>16</v>
      </c>
      <c r="H523" s="1" t="s">
        <v>66</v>
      </c>
      <c r="I523" s="1" t="s">
        <v>60</v>
      </c>
      <c r="J523" s="1" t="s">
        <v>67</v>
      </c>
      <c r="K523" s="1" t="s">
        <v>86</v>
      </c>
      <c r="L523" s="3" t="s">
        <v>79</v>
      </c>
      <c r="M523" s="3">
        <v>45757</v>
      </c>
      <c r="N523">
        <f>_xlfn.XLOOKUP(Data[[#This Row],[Status]],Compliance_Status[Status from OPMS],Compliance_Status[Status_Key],"")</f>
        <v>4</v>
      </c>
      <c r="O523">
        <f>_xlfn.XLOOKUP(Data[[#This Row],[Status]],Compliance_Status[Status from OPMS],Compliance_Status[Has Course booking],"")</f>
        <v>0</v>
      </c>
      <c r="P523" t="str">
        <f>_xlfn.XLOOKUP(Data[[#This Row],[StatusKey]],Status_Key[Status_Key],Status_Key[Name],"")</f>
        <v>In Date</v>
      </c>
    </row>
    <row r="524" spans="1:16" x14ac:dyDescent="0.25">
      <c r="A524" s="1">
        <v>150</v>
      </c>
      <c r="B524" s="1" t="s">
        <v>186</v>
      </c>
      <c r="C524" s="1" t="s">
        <v>187</v>
      </c>
      <c r="D524" s="1" t="s">
        <v>188</v>
      </c>
      <c r="E524" s="1" t="s">
        <v>90</v>
      </c>
      <c r="F524" s="1" t="s">
        <v>65</v>
      </c>
      <c r="G524" s="1" t="s">
        <v>16</v>
      </c>
      <c r="H524" s="1" t="s">
        <v>66</v>
      </c>
      <c r="I524" s="1" t="s">
        <v>60</v>
      </c>
      <c r="J524" s="1" t="s">
        <v>67</v>
      </c>
      <c r="K524" s="1" t="s">
        <v>86</v>
      </c>
      <c r="L524" s="3" t="s">
        <v>79</v>
      </c>
      <c r="M524" s="3">
        <v>45757</v>
      </c>
      <c r="N524">
        <f>_xlfn.XLOOKUP(Data[[#This Row],[Status]],Compliance_Status[Status from OPMS],Compliance_Status[Status_Key],"")</f>
        <v>4</v>
      </c>
      <c r="O524">
        <f>_xlfn.XLOOKUP(Data[[#This Row],[Status]],Compliance_Status[Status from OPMS],Compliance_Status[Has Course booking],"")</f>
        <v>0</v>
      </c>
      <c r="P524" t="str">
        <f>_xlfn.XLOOKUP(Data[[#This Row],[StatusKey]],Status_Key[Status_Key],Status_Key[Name],"")</f>
        <v>In Date</v>
      </c>
    </row>
    <row r="525" spans="1:16" x14ac:dyDescent="0.25">
      <c r="A525" s="1">
        <v>150</v>
      </c>
      <c r="B525" s="1" t="s">
        <v>186</v>
      </c>
      <c r="C525" s="1" t="s">
        <v>187</v>
      </c>
      <c r="D525" s="1" t="s">
        <v>188</v>
      </c>
      <c r="E525" s="1" t="s">
        <v>91</v>
      </c>
      <c r="F525" s="1" t="s">
        <v>65</v>
      </c>
      <c r="G525" s="1" t="s">
        <v>16</v>
      </c>
      <c r="H525" s="1" t="s">
        <v>66</v>
      </c>
      <c r="I525" s="1" t="s">
        <v>60</v>
      </c>
      <c r="J525" s="1" t="s">
        <v>67</v>
      </c>
      <c r="K525" s="1" t="s">
        <v>86</v>
      </c>
      <c r="L525" s="3" t="s">
        <v>79</v>
      </c>
      <c r="M525" s="3">
        <v>45980</v>
      </c>
      <c r="N525">
        <f>_xlfn.XLOOKUP(Data[[#This Row],[Status]],Compliance_Status[Status from OPMS],Compliance_Status[Status_Key],"")</f>
        <v>4</v>
      </c>
      <c r="O525">
        <f>_xlfn.XLOOKUP(Data[[#This Row],[Status]],Compliance_Status[Status from OPMS],Compliance_Status[Has Course booking],"")</f>
        <v>0</v>
      </c>
      <c r="P525" t="str">
        <f>_xlfn.XLOOKUP(Data[[#This Row],[StatusKey]],Status_Key[Status_Key],Status_Key[Name],"")</f>
        <v>In Date</v>
      </c>
    </row>
    <row r="526" spans="1:16" x14ac:dyDescent="0.25">
      <c r="A526" s="1">
        <v>150</v>
      </c>
      <c r="B526" s="1" t="s">
        <v>186</v>
      </c>
      <c r="C526" s="1" t="s">
        <v>187</v>
      </c>
      <c r="D526" s="1" t="s">
        <v>188</v>
      </c>
      <c r="E526" s="1" t="s">
        <v>92</v>
      </c>
      <c r="F526" s="1" t="s">
        <v>65</v>
      </c>
      <c r="G526" s="1" t="s">
        <v>16</v>
      </c>
      <c r="H526" s="1" t="s">
        <v>66</v>
      </c>
      <c r="I526" s="1" t="s">
        <v>60</v>
      </c>
      <c r="J526" s="1" t="s">
        <v>67</v>
      </c>
      <c r="K526" s="1" t="s">
        <v>86</v>
      </c>
      <c r="L526" s="3">
        <v>46487</v>
      </c>
      <c r="M526" s="3">
        <v>45757</v>
      </c>
      <c r="N526">
        <f>_xlfn.XLOOKUP(Data[[#This Row],[Status]],Compliance_Status[Status from OPMS],Compliance_Status[Status_Key],"")</f>
        <v>4</v>
      </c>
      <c r="O526">
        <f>_xlfn.XLOOKUP(Data[[#This Row],[Status]],Compliance_Status[Status from OPMS],Compliance_Status[Has Course booking],"")</f>
        <v>0</v>
      </c>
      <c r="P526" t="str">
        <f>_xlfn.XLOOKUP(Data[[#This Row],[StatusKey]],Status_Key[Status_Key],Status_Key[Name],"")</f>
        <v>In Date</v>
      </c>
    </row>
    <row r="527" spans="1:16" x14ac:dyDescent="0.25">
      <c r="A527" s="1">
        <v>150</v>
      </c>
      <c r="B527" s="1" t="s">
        <v>186</v>
      </c>
      <c r="C527" s="1" t="s">
        <v>187</v>
      </c>
      <c r="D527" s="1" t="s">
        <v>188</v>
      </c>
      <c r="E527" s="1" t="s">
        <v>93</v>
      </c>
      <c r="F527" s="1" t="s">
        <v>65</v>
      </c>
      <c r="G527" s="1" t="s">
        <v>16</v>
      </c>
      <c r="H527" s="1" t="s">
        <v>66</v>
      </c>
      <c r="I527" s="1" t="s">
        <v>60</v>
      </c>
      <c r="J527" s="1" t="s">
        <v>67</v>
      </c>
      <c r="K527" s="1" t="s">
        <v>94</v>
      </c>
      <c r="L527" s="3">
        <v>46666</v>
      </c>
      <c r="M527" s="3">
        <v>45936</v>
      </c>
      <c r="N527">
        <f>_xlfn.XLOOKUP(Data[[#This Row],[Status]],Compliance_Status[Status from OPMS],Compliance_Status[Status_Key],"")</f>
        <v>4</v>
      </c>
      <c r="O527">
        <f>_xlfn.XLOOKUP(Data[[#This Row],[Status]],Compliance_Status[Status from OPMS],Compliance_Status[Has Course booking],"")</f>
        <v>0</v>
      </c>
      <c r="P527" t="str">
        <f>_xlfn.XLOOKUP(Data[[#This Row],[StatusKey]],Status_Key[Status_Key],Status_Key[Name],"")</f>
        <v>In Date</v>
      </c>
    </row>
    <row r="528" spans="1:16" x14ac:dyDescent="0.25">
      <c r="A528" s="1">
        <v>150</v>
      </c>
      <c r="B528" s="1" t="s">
        <v>186</v>
      </c>
      <c r="C528" s="1" t="s">
        <v>187</v>
      </c>
      <c r="D528" s="1" t="s">
        <v>188</v>
      </c>
      <c r="E528" s="1" t="s">
        <v>95</v>
      </c>
      <c r="F528" s="1" t="s">
        <v>65</v>
      </c>
      <c r="G528" s="1" t="s">
        <v>16</v>
      </c>
      <c r="H528" s="1" t="s">
        <v>66</v>
      </c>
      <c r="I528" s="1" t="s">
        <v>60</v>
      </c>
      <c r="J528" s="1" t="s">
        <v>67</v>
      </c>
      <c r="K528" s="1" t="s">
        <v>94</v>
      </c>
      <c r="L528" s="3">
        <v>46644</v>
      </c>
      <c r="M528" s="3">
        <v>45914</v>
      </c>
      <c r="N528">
        <f>_xlfn.XLOOKUP(Data[[#This Row],[Status]],Compliance_Status[Status from OPMS],Compliance_Status[Status_Key],"")</f>
        <v>4</v>
      </c>
      <c r="O528">
        <f>_xlfn.XLOOKUP(Data[[#This Row],[Status]],Compliance_Status[Status from OPMS],Compliance_Status[Has Course booking],"")</f>
        <v>0</v>
      </c>
      <c r="P528" t="str">
        <f>_xlfn.XLOOKUP(Data[[#This Row],[StatusKey]],Status_Key[Status_Key],Status_Key[Name],"")</f>
        <v>In Date</v>
      </c>
    </row>
    <row r="529" spans="1:16" x14ac:dyDescent="0.25">
      <c r="A529" s="1">
        <v>150</v>
      </c>
      <c r="B529" s="1" t="s">
        <v>186</v>
      </c>
      <c r="C529" s="1" t="s">
        <v>187</v>
      </c>
      <c r="D529" s="1" t="s">
        <v>188</v>
      </c>
      <c r="E529" s="1" t="s">
        <v>96</v>
      </c>
      <c r="F529" s="1" t="s">
        <v>65</v>
      </c>
      <c r="G529" s="1" t="s">
        <v>16</v>
      </c>
      <c r="H529" s="1" t="s">
        <v>66</v>
      </c>
      <c r="I529" s="1" t="s">
        <v>60</v>
      </c>
      <c r="J529" s="1" t="s">
        <v>67</v>
      </c>
      <c r="K529" s="1" t="s">
        <v>94</v>
      </c>
      <c r="L529" s="3" t="s">
        <v>79</v>
      </c>
      <c r="M529" s="3">
        <v>46050</v>
      </c>
      <c r="N529">
        <f>_xlfn.XLOOKUP(Data[[#This Row],[Status]],Compliance_Status[Status from OPMS],Compliance_Status[Status_Key],"")</f>
        <v>4</v>
      </c>
      <c r="O529">
        <f>_xlfn.XLOOKUP(Data[[#This Row],[Status]],Compliance_Status[Status from OPMS],Compliance_Status[Has Course booking],"")</f>
        <v>0</v>
      </c>
      <c r="P529" t="str">
        <f>_xlfn.XLOOKUP(Data[[#This Row],[StatusKey]],Status_Key[Status_Key],Status_Key[Name],"")</f>
        <v>In Date</v>
      </c>
    </row>
    <row r="530" spans="1:16" x14ac:dyDescent="0.25">
      <c r="A530" s="1">
        <v>150</v>
      </c>
      <c r="B530" s="1" t="s">
        <v>186</v>
      </c>
      <c r="C530" s="1" t="s">
        <v>187</v>
      </c>
      <c r="D530" s="1" t="s">
        <v>188</v>
      </c>
      <c r="E530" s="1" t="s">
        <v>97</v>
      </c>
      <c r="F530" s="1" t="s">
        <v>65</v>
      </c>
      <c r="G530" s="1" t="s">
        <v>16</v>
      </c>
      <c r="H530" s="1" t="s">
        <v>66</v>
      </c>
      <c r="I530" s="1" t="s">
        <v>60</v>
      </c>
      <c r="J530" s="1" t="s">
        <v>67</v>
      </c>
      <c r="K530" s="1" t="s">
        <v>98</v>
      </c>
      <c r="L530" s="3">
        <v>47521</v>
      </c>
      <c r="M530" s="3">
        <v>45695</v>
      </c>
      <c r="N530">
        <f>_xlfn.XLOOKUP(Data[[#This Row],[Status]],Compliance_Status[Status from OPMS],Compliance_Status[Status_Key],"")</f>
        <v>4</v>
      </c>
      <c r="O530">
        <f>_xlfn.XLOOKUP(Data[[#This Row],[Status]],Compliance_Status[Status from OPMS],Compliance_Status[Has Course booking],"")</f>
        <v>0</v>
      </c>
      <c r="P530" t="str">
        <f>_xlfn.XLOOKUP(Data[[#This Row],[StatusKey]],Status_Key[Status_Key],Status_Key[Name],"")</f>
        <v>In Date</v>
      </c>
    </row>
    <row r="531" spans="1:16" x14ac:dyDescent="0.25">
      <c r="A531" s="1">
        <v>150</v>
      </c>
      <c r="B531" s="1" t="s">
        <v>186</v>
      </c>
      <c r="C531" s="1" t="s">
        <v>187</v>
      </c>
      <c r="D531" s="1" t="s">
        <v>188</v>
      </c>
      <c r="E531" s="1" t="s">
        <v>99</v>
      </c>
      <c r="F531" s="1" t="s">
        <v>65</v>
      </c>
      <c r="G531" s="1" t="s">
        <v>16</v>
      </c>
      <c r="H531" s="1" t="s">
        <v>66</v>
      </c>
      <c r="I531" s="1" t="s">
        <v>60</v>
      </c>
      <c r="J531" s="1" t="s">
        <v>67</v>
      </c>
      <c r="K531" s="1" t="s">
        <v>98</v>
      </c>
      <c r="L531" s="3">
        <v>46860</v>
      </c>
      <c r="M531" s="3">
        <v>46129</v>
      </c>
      <c r="N531">
        <f>_xlfn.XLOOKUP(Data[[#This Row],[Status]],Compliance_Status[Status from OPMS],Compliance_Status[Status_Key],"")</f>
        <v>4</v>
      </c>
      <c r="O531">
        <f>_xlfn.XLOOKUP(Data[[#This Row],[Status]],Compliance_Status[Status from OPMS],Compliance_Status[Has Course booking],"")</f>
        <v>0</v>
      </c>
      <c r="P531" t="str">
        <f>_xlfn.XLOOKUP(Data[[#This Row],[StatusKey]],Status_Key[Status_Key],Status_Key[Name],"")</f>
        <v>In Date</v>
      </c>
    </row>
    <row r="532" spans="1:16" x14ac:dyDescent="0.25">
      <c r="A532" s="1">
        <v>150</v>
      </c>
      <c r="B532" s="1" t="s">
        <v>186</v>
      </c>
      <c r="C532" s="1" t="s">
        <v>187</v>
      </c>
      <c r="D532" s="1" t="s">
        <v>188</v>
      </c>
      <c r="E532" s="1" t="s">
        <v>100</v>
      </c>
      <c r="F532" s="1" t="s">
        <v>65</v>
      </c>
      <c r="G532" s="1" t="s">
        <v>16</v>
      </c>
      <c r="H532" s="1" t="s">
        <v>66</v>
      </c>
      <c r="I532" s="1" t="s">
        <v>60</v>
      </c>
      <c r="J532" s="1" t="s">
        <v>67</v>
      </c>
      <c r="K532" s="1" t="s">
        <v>98</v>
      </c>
      <c r="L532" s="3">
        <v>46860</v>
      </c>
      <c r="M532" s="3">
        <v>46129</v>
      </c>
      <c r="N532">
        <f>_xlfn.XLOOKUP(Data[[#This Row],[Status]],Compliance_Status[Status from OPMS],Compliance_Status[Status_Key],"")</f>
        <v>4</v>
      </c>
      <c r="O532">
        <f>_xlfn.XLOOKUP(Data[[#This Row],[Status]],Compliance_Status[Status from OPMS],Compliance_Status[Has Course booking],"")</f>
        <v>0</v>
      </c>
      <c r="P532" t="str">
        <f>_xlfn.XLOOKUP(Data[[#This Row],[StatusKey]],Status_Key[Status_Key],Status_Key[Name],"")</f>
        <v>In Date</v>
      </c>
    </row>
    <row r="533" spans="1:16" x14ac:dyDescent="0.25">
      <c r="A533" s="1">
        <v>150</v>
      </c>
      <c r="B533" s="1" t="s">
        <v>186</v>
      </c>
      <c r="C533" s="1" t="s">
        <v>187</v>
      </c>
      <c r="D533" s="1" t="s">
        <v>188</v>
      </c>
      <c r="E533" s="1" t="s">
        <v>101</v>
      </c>
      <c r="F533" s="1" t="s">
        <v>65</v>
      </c>
      <c r="G533" s="1" t="s">
        <v>16</v>
      </c>
      <c r="H533" s="1" t="s">
        <v>66</v>
      </c>
      <c r="I533" s="1" t="s">
        <v>60</v>
      </c>
      <c r="J533" s="1" t="s">
        <v>67</v>
      </c>
      <c r="K533" s="1" t="s">
        <v>102</v>
      </c>
      <c r="L533" s="3" t="s">
        <v>79</v>
      </c>
      <c r="M533" s="3">
        <v>45744</v>
      </c>
      <c r="N533">
        <f>_xlfn.XLOOKUP(Data[[#This Row],[Status]],Compliance_Status[Status from OPMS],Compliance_Status[Status_Key],"")</f>
        <v>4</v>
      </c>
      <c r="O533">
        <f>_xlfn.XLOOKUP(Data[[#This Row],[Status]],Compliance_Status[Status from OPMS],Compliance_Status[Has Course booking],"")</f>
        <v>0</v>
      </c>
      <c r="P533" t="str">
        <f>_xlfn.XLOOKUP(Data[[#This Row],[StatusKey]],Status_Key[Status_Key],Status_Key[Name],"")</f>
        <v>In Date</v>
      </c>
    </row>
    <row r="534" spans="1:16" x14ac:dyDescent="0.25">
      <c r="A534" s="1">
        <v>150</v>
      </c>
      <c r="B534" s="1" t="s">
        <v>186</v>
      </c>
      <c r="C534" s="1" t="s">
        <v>187</v>
      </c>
      <c r="D534" s="1" t="s">
        <v>188</v>
      </c>
      <c r="E534" s="1" t="s">
        <v>103</v>
      </c>
      <c r="F534" s="1" t="s">
        <v>65</v>
      </c>
      <c r="G534" s="1" t="s">
        <v>16</v>
      </c>
      <c r="H534" s="1" t="s">
        <v>66</v>
      </c>
      <c r="I534" s="1" t="s">
        <v>60</v>
      </c>
      <c r="J534" s="1" t="s">
        <v>67</v>
      </c>
      <c r="K534" s="1" t="s">
        <v>102</v>
      </c>
      <c r="L534" s="3">
        <v>46464</v>
      </c>
      <c r="M534" s="3">
        <v>45734</v>
      </c>
      <c r="N534">
        <f>_xlfn.XLOOKUP(Data[[#This Row],[Status]],Compliance_Status[Status from OPMS],Compliance_Status[Status_Key],"")</f>
        <v>4</v>
      </c>
      <c r="O534">
        <f>_xlfn.XLOOKUP(Data[[#This Row],[Status]],Compliance_Status[Status from OPMS],Compliance_Status[Has Course booking],"")</f>
        <v>0</v>
      </c>
      <c r="P534" t="str">
        <f>_xlfn.XLOOKUP(Data[[#This Row],[StatusKey]],Status_Key[Status_Key],Status_Key[Name],"")</f>
        <v>In Date</v>
      </c>
    </row>
    <row r="535" spans="1:16" x14ac:dyDescent="0.25">
      <c r="A535" s="1">
        <v>150</v>
      </c>
      <c r="B535" s="1" t="s">
        <v>186</v>
      </c>
      <c r="C535" s="1" t="s">
        <v>187</v>
      </c>
      <c r="D535" s="1" t="s">
        <v>188</v>
      </c>
      <c r="E535" s="1" t="s">
        <v>104</v>
      </c>
      <c r="F535" s="1" t="s">
        <v>65</v>
      </c>
      <c r="G535" s="1" t="s">
        <v>16</v>
      </c>
      <c r="H535" s="1" t="s">
        <v>66</v>
      </c>
      <c r="I535" s="1" t="s">
        <v>60</v>
      </c>
      <c r="J535" s="1" t="s">
        <v>67</v>
      </c>
      <c r="K535" s="1" t="s">
        <v>105</v>
      </c>
      <c r="L535" s="3">
        <v>46755</v>
      </c>
      <c r="M535" s="3">
        <v>46025</v>
      </c>
      <c r="N535">
        <f>_xlfn.XLOOKUP(Data[[#This Row],[Status]],Compliance_Status[Status from OPMS],Compliance_Status[Status_Key],"")</f>
        <v>4</v>
      </c>
      <c r="O535">
        <f>_xlfn.XLOOKUP(Data[[#This Row],[Status]],Compliance_Status[Status from OPMS],Compliance_Status[Has Course booking],"")</f>
        <v>0</v>
      </c>
      <c r="P535" t="str">
        <f>_xlfn.XLOOKUP(Data[[#This Row],[StatusKey]],Status_Key[Status_Key],Status_Key[Name],"")</f>
        <v>In Date</v>
      </c>
    </row>
    <row r="536" spans="1:16" x14ac:dyDescent="0.25">
      <c r="A536" s="1">
        <v>150</v>
      </c>
      <c r="B536" s="1" t="s">
        <v>186</v>
      </c>
      <c r="C536" s="1" t="s">
        <v>187</v>
      </c>
      <c r="D536" s="1" t="s">
        <v>188</v>
      </c>
      <c r="E536" s="1" t="s">
        <v>106</v>
      </c>
      <c r="F536" s="1" t="s">
        <v>65</v>
      </c>
      <c r="G536" s="1" t="s">
        <v>16</v>
      </c>
      <c r="H536" s="1" t="s">
        <v>66</v>
      </c>
      <c r="I536" s="1" t="s">
        <v>60</v>
      </c>
      <c r="J536" s="1" t="s">
        <v>67</v>
      </c>
      <c r="K536" s="1" t="s">
        <v>105</v>
      </c>
      <c r="L536" s="3">
        <v>47521</v>
      </c>
      <c r="M536" s="3">
        <v>45695</v>
      </c>
      <c r="N536">
        <f>_xlfn.XLOOKUP(Data[[#This Row],[Status]],Compliance_Status[Status from OPMS],Compliance_Status[Status_Key],"")</f>
        <v>4</v>
      </c>
      <c r="O536">
        <f>_xlfn.XLOOKUP(Data[[#This Row],[Status]],Compliance_Status[Status from OPMS],Compliance_Status[Has Course booking],"")</f>
        <v>0</v>
      </c>
      <c r="P536" t="str">
        <f>_xlfn.XLOOKUP(Data[[#This Row],[StatusKey]],Status_Key[Status_Key],Status_Key[Name],"")</f>
        <v>In Date</v>
      </c>
    </row>
    <row r="537" spans="1:16" x14ac:dyDescent="0.25">
      <c r="A537" s="1">
        <v>150</v>
      </c>
      <c r="B537" s="1" t="s">
        <v>186</v>
      </c>
      <c r="C537" s="1" t="s">
        <v>187</v>
      </c>
      <c r="D537" s="1" t="s">
        <v>188</v>
      </c>
      <c r="E537" s="1" t="s">
        <v>107</v>
      </c>
      <c r="F537" s="1" t="s">
        <v>65</v>
      </c>
      <c r="G537" s="1" t="s">
        <v>16</v>
      </c>
      <c r="H537" s="1" t="s">
        <v>66</v>
      </c>
      <c r="I537" s="1" t="s">
        <v>60</v>
      </c>
      <c r="J537" s="1" t="s">
        <v>67</v>
      </c>
      <c r="K537" s="1" t="s">
        <v>105</v>
      </c>
      <c r="L537" s="3">
        <v>46789</v>
      </c>
      <c r="M537" s="3">
        <v>45694</v>
      </c>
      <c r="N537">
        <f>_xlfn.XLOOKUP(Data[[#This Row],[Status]],Compliance_Status[Status from OPMS],Compliance_Status[Status_Key],"")</f>
        <v>4</v>
      </c>
      <c r="O537">
        <f>_xlfn.XLOOKUP(Data[[#This Row],[Status]],Compliance_Status[Status from OPMS],Compliance_Status[Has Course booking],"")</f>
        <v>0</v>
      </c>
      <c r="P537" t="str">
        <f>_xlfn.XLOOKUP(Data[[#This Row],[StatusKey]],Status_Key[Status_Key],Status_Key[Name],"")</f>
        <v>In Date</v>
      </c>
    </row>
    <row r="538" spans="1:16" x14ac:dyDescent="0.25">
      <c r="A538" s="1">
        <v>150</v>
      </c>
      <c r="B538" s="1" t="s">
        <v>186</v>
      </c>
      <c r="C538" s="1" t="s">
        <v>187</v>
      </c>
      <c r="D538" s="1" t="s">
        <v>188</v>
      </c>
      <c r="E538" s="1" t="s">
        <v>108</v>
      </c>
      <c r="F538" s="1" t="s">
        <v>65</v>
      </c>
      <c r="G538" s="1" t="s">
        <v>16</v>
      </c>
      <c r="H538" s="1" t="s">
        <v>66</v>
      </c>
      <c r="I538" s="1" t="s">
        <v>60</v>
      </c>
      <c r="J538" s="1" t="s">
        <v>67</v>
      </c>
      <c r="K538" s="1" t="s">
        <v>105</v>
      </c>
      <c r="L538" s="3">
        <v>47313</v>
      </c>
      <c r="M538" s="3">
        <v>46217</v>
      </c>
      <c r="N538">
        <f>_xlfn.XLOOKUP(Data[[#This Row],[Status]],Compliance_Status[Status from OPMS],Compliance_Status[Status_Key],"")</f>
        <v>4</v>
      </c>
      <c r="O538">
        <f>_xlfn.XLOOKUP(Data[[#This Row],[Status]],Compliance_Status[Status from OPMS],Compliance_Status[Has Course booking],"")</f>
        <v>0</v>
      </c>
      <c r="P538" t="str">
        <f>_xlfn.XLOOKUP(Data[[#This Row],[StatusKey]],Status_Key[Status_Key],Status_Key[Name],"")</f>
        <v>In Date</v>
      </c>
    </row>
    <row r="539" spans="1:16" x14ac:dyDescent="0.25">
      <c r="A539" s="1">
        <v>150</v>
      </c>
      <c r="B539" s="1" t="s">
        <v>186</v>
      </c>
      <c r="C539" s="1" t="s">
        <v>187</v>
      </c>
      <c r="D539" s="1" t="s">
        <v>188</v>
      </c>
      <c r="E539" s="1" t="s">
        <v>109</v>
      </c>
      <c r="F539" s="1" t="s">
        <v>65</v>
      </c>
      <c r="G539" s="1" t="s">
        <v>16</v>
      </c>
      <c r="H539" s="1" t="s">
        <v>66</v>
      </c>
      <c r="I539" s="1" t="s">
        <v>60</v>
      </c>
      <c r="J539" s="1" t="s">
        <v>67</v>
      </c>
      <c r="K539" s="1" t="s">
        <v>105</v>
      </c>
      <c r="L539" s="3">
        <v>46755</v>
      </c>
      <c r="M539" s="3">
        <v>46025</v>
      </c>
      <c r="N539">
        <f>_xlfn.XLOOKUP(Data[[#This Row],[Status]],Compliance_Status[Status from OPMS],Compliance_Status[Status_Key],"")</f>
        <v>4</v>
      </c>
      <c r="O539">
        <f>_xlfn.XLOOKUP(Data[[#This Row],[Status]],Compliance_Status[Status from OPMS],Compliance_Status[Has Course booking],"")</f>
        <v>0</v>
      </c>
      <c r="P539" t="str">
        <f>_xlfn.XLOOKUP(Data[[#This Row],[StatusKey]],Status_Key[Status_Key],Status_Key[Name],"")</f>
        <v>In Date</v>
      </c>
    </row>
    <row r="540" spans="1:16" x14ac:dyDescent="0.25">
      <c r="A540" s="1">
        <v>150</v>
      </c>
      <c r="B540" s="1" t="s">
        <v>186</v>
      </c>
      <c r="C540" s="1" t="s">
        <v>187</v>
      </c>
      <c r="D540" s="1" t="s">
        <v>188</v>
      </c>
      <c r="E540" s="1" t="s">
        <v>110</v>
      </c>
      <c r="F540" s="1" t="s">
        <v>65</v>
      </c>
      <c r="G540" s="1" t="s">
        <v>16</v>
      </c>
      <c r="H540" s="1" t="s">
        <v>66</v>
      </c>
      <c r="I540" s="1" t="s">
        <v>60</v>
      </c>
      <c r="J540" s="1" t="s">
        <v>67</v>
      </c>
      <c r="K540" s="1" t="s">
        <v>105</v>
      </c>
      <c r="L540" s="3" t="s">
        <v>79</v>
      </c>
      <c r="M540" s="3">
        <v>45695</v>
      </c>
      <c r="N540">
        <f>_xlfn.XLOOKUP(Data[[#This Row],[Status]],Compliance_Status[Status from OPMS],Compliance_Status[Status_Key],"")</f>
        <v>4</v>
      </c>
      <c r="O540">
        <f>_xlfn.XLOOKUP(Data[[#This Row],[Status]],Compliance_Status[Status from OPMS],Compliance_Status[Has Course booking],"")</f>
        <v>0</v>
      </c>
      <c r="P540" t="str">
        <f>_xlfn.XLOOKUP(Data[[#This Row],[StatusKey]],Status_Key[Status_Key],Status_Key[Name],"")</f>
        <v>In Date</v>
      </c>
    </row>
    <row r="541" spans="1:16" x14ac:dyDescent="0.25">
      <c r="A541" s="1">
        <v>150</v>
      </c>
      <c r="B541" s="1" t="s">
        <v>186</v>
      </c>
      <c r="C541" s="1" t="s">
        <v>187</v>
      </c>
      <c r="D541" s="1" t="s">
        <v>188</v>
      </c>
      <c r="E541" s="1" t="s">
        <v>111</v>
      </c>
      <c r="F541" s="1" t="s">
        <v>65</v>
      </c>
      <c r="G541" s="1" t="s">
        <v>16</v>
      </c>
      <c r="H541" s="1" t="s">
        <v>66</v>
      </c>
      <c r="I541" s="1" t="s">
        <v>60</v>
      </c>
      <c r="J541" s="1" t="s">
        <v>67</v>
      </c>
      <c r="K541" s="1" t="s">
        <v>105</v>
      </c>
      <c r="L541" s="3">
        <v>46714</v>
      </c>
      <c r="M541" s="3">
        <v>45984</v>
      </c>
      <c r="N541">
        <f>_xlfn.XLOOKUP(Data[[#This Row],[Status]],Compliance_Status[Status from OPMS],Compliance_Status[Status_Key],"")</f>
        <v>4</v>
      </c>
      <c r="O541">
        <f>_xlfn.XLOOKUP(Data[[#This Row],[Status]],Compliance_Status[Status from OPMS],Compliance_Status[Has Course booking],"")</f>
        <v>0</v>
      </c>
      <c r="P541" t="str">
        <f>_xlfn.XLOOKUP(Data[[#This Row],[StatusKey]],Status_Key[Status_Key],Status_Key[Name],"")</f>
        <v>In Date</v>
      </c>
    </row>
    <row r="542" spans="1:16" x14ac:dyDescent="0.25">
      <c r="A542" s="1">
        <v>150</v>
      </c>
      <c r="B542" s="1" t="s">
        <v>186</v>
      </c>
      <c r="C542" s="1" t="s">
        <v>187</v>
      </c>
      <c r="D542" s="1" t="s">
        <v>188</v>
      </c>
      <c r="E542" s="1" t="s">
        <v>112</v>
      </c>
      <c r="F542" s="1" t="s">
        <v>65</v>
      </c>
      <c r="G542" s="1" t="s">
        <v>16</v>
      </c>
      <c r="H542" s="1" t="s">
        <v>66</v>
      </c>
      <c r="I542" s="1" t="s">
        <v>60</v>
      </c>
      <c r="J542" s="1" t="s">
        <v>67</v>
      </c>
      <c r="K542" s="1" t="s">
        <v>105</v>
      </c>
      <c r="L542" s="3">
        <v>46755</v>
      </c>
      <c r="M542" s="3">
        <v>46025</v>
      </c>
      <c r="N542">
        <f>_xlfn.XLOOKUP(Data[[#This Row],[Status]],Compliance_Status[Status from OPMS],Compliance_Status[Status_Key],"")</f>
        <v>4</v>
      </c>
      <c r="O542">
        <f>_xlfn.XLOOKUP(Data[[#This Row],[Status]],Compliance_Status[Status from OPMS],Compliance_Status[Has Course booking],"")</f>
        <v>0</v>
      </c>
      <c r="P542" t="str">
        <f>_xlfn.XLOOKUP(Data[[#This Row],[StatusKey]],Status_Key[Status_Key],Status_Key[Name],"")</f>
        <v>In Date</v>
      </c>
    </row>
    <row r="543" spans="1:16" x14ac:dyDescent="0.25">
      <c r="A543" s="1">
        <v>150</v>
      </c>
      <c r="B543" s="1" t="s">
        <v>186</v>
      </c>
      <c r="C543" s="1" t="s">
        <v>187</v>
      </c>
      <c r="D543" s="1" t="s">
        <v>188</v>
      </c>
      <c r="E543" s="1" t="s">
        <v>113</v>
      </c>
      <c r="F543" s="1" t="s">
        <v>65</v>
      </c>
      <c r="G543" s="1" t="s">
        <v>16</v>
      </c>
      <c r="H543" s="1" t="s">
        <v>66</v>
      </c>
      <c r="I543" s="1" t="s">
        <v>60</v>
      </c>
      <c r="J543" s="1" t="s">
        <v>67</v>
      </c>
      <c r="K543" s="1" t="s">
        <v>105</v>
      </c>
      <c r="L543" s="3">
        <v>46392</v>
      </c>
      <c r="M543" s="3">
        <v>46027</v>
      </c>
      <c r="N543">
        <f>_xlfn.XLOOKUP(Data[[#This Row],[Status]],Compliance_Status[Status from OPMS],Compliance_Status[Status_Key],"")</f>
        <v>4</v>
      </c>
      <c r="O543">
        <f>_xlfn.XLOOKUP(Data[[#This Row],[Status]],Compliance_Status[Status from OPMS],Compliance_Status[Has Course booking],"")</f>
        <v>0</v>
      </c>
      <c r="P543" t="str">
        <f>_xlfn.XLOOKUP(Data[[#This Row],[StatusKey]],Status_Key[Status_Key],Status_Key[Name],"")</f>
        <v>In Date</v>
      </c>
    </row>
    <row r="544" spans="1:16" x14ac:dyDescent="0.25">
      <c r="A544" s="1">
        <v>149</v>
      </c>
      <c r="B544" s="1" t="s">
        <v>189</v>
      </c>
      <c r="C544" s="1" t="s">
        <v>190</v>
      </c>
      <c r="D544" s="1" t="s">
        <v>191</v>
      </c>
      <c r="E544" s="1" t="s">
        <v>64</v>
      </c>
      <c r="F544" s="1" t="s">
        <v>65</v>
      </c>
      <c r="G544" s="1" t="s">
        <v>16</v>
      </c>
      <c r="H544" s="1" t="s">
        <v>66</v>
      </c>
      <c r="I544" s="1" t="s">
        <v>60</v>
      </c>
      <c r="J544" s="1" t="s">
        <v>67</v>
      </c>
      <c r="K544" s="1" t="s">
        <v>68</v>
      </c>
      <c r="L544" s="3">
        <v>46656</v>
      </c>
      <c r="M544" s="3">
        <v>44831</v>
      </c>
      <c r="N544">
        <f>_xlfn.XLOOKUP(Data[[#This Row],[Status]],Compliance_Status[Status from OPMS],Compliance_Status[Status_Key],"")</f>
        <v>4</v>
      </c>
      <c r="O544">
        <f>_xlfn.XLOOKUP(Data[[#This Row],[Status]],Compliance_Status[Status from OPMS],Compliance_Status[Has Course booking],"")</f>
        <v>0</v>
      </c>
      <c r="P544" t="str">
        <f>_xlfn.XLOOKUP(Data[[#This Row],[StatusKey]],Status_Key[Status_Key],Status_Key[Name],"")</f>
        <v>In Date</v>
      </c>
    </row>
    <row r="545" spans="1:16" x14ac:dyDescent="0.25">
      <c r="A545" s="1">
        <v>149</v>
      </c>
      <c r="B545" s="1" t="s">
        <v>189</v>
      </c>
      <c r="C545" s="1" t="s">
        <v>190</v>
      </c>
      <c r="D545" s="1" t="s">
        <v>191</v>
      </c>
      <c r="E545" s="1" t="s">
        <v>69</v>
      </c>
      <c r="F545" s="1" t="s">
        <v>65</v>
      </c>
      <c r="G545" s="1" t="s">
        <v>16</v>
      </c>
      <c r="H545" s="1" t="s">
        <v>66</v>
      </c>
      <c r="I545" s="1" t="s">
        <v>60</v>
      </c>
      <c r="J545" s="1" t="s">
        <v>67</v>
      </c>
      <c r="K545" s="1" t="s">
        <v>68</v>
      </c>
      <c r="L545" s="3">
        <v>46656</v>
      </c>
      <c r="M545" s="3">
        <v>44831</v>
      </c>
      <c r="N545">
        <f>_xlfn.XLOOKUP(Data[[#This Row],[Status]],Compliance_Status[Status from OPMS],Compliance_Status[Status_Key],"")</f>
        <v>4</v>
      </c>
      <c r="O545">
        <f>_xlfn.XLOOKUP(Data[[#This Row],[Status]],Compliance_Status[Status from OPMS],Compliance_Status[Has Course booking],"")</f>
        <v>0</v>
      </c>
      <c r="P545" t="str">
        <f>_xlfn.XLOOKUP(Data[[#This Row],[StatusKey]],Status_Key[Status_Key],Status_Key[Name],"")</f>
        <v>In Date</v>
      </c>
    </row>
    <row r="546" spans="1:16" x14ac:dyDescent="0.25">
      <c r="A546" s="1">
        <v>149</v>
      </c>
      <c r="B546" s="1" t="s">
        <v>189</v>
      </c>
      <c r="C546" s="1" t="s">
        <v>190</v>
      </c>
      <c r="D546" s="1" t="s">
        <v>191</v>
      </c>
      <c r="E546" s="1" t="s">
        <v>70</v>
      </c>
      <c r="F546" s="1" t="s">
        <v>65</v>
      </c>
      <c r="G546" s="1" t="s">
        <v>25</v>
      </c>
      <c r="H546" s="1" t="s">
        <v>66</v>
      </c>
      <c r="I546" s="1" t="s">
        <v>60</v>
      </c>
      <c r="J546" s="1" t="s">
        <v>67</v>
      </c>
      <c r="K546" s="1" t="s">
        <v>68</v>
      </c>
      <c r="L546" s="3">
        <v>46224</v>
      </c>
      <c r="M546" s="3">
        <v>46078</v>
      </c>
      <c r="N546">
        <f>_xlfn.XLOOKUP(Data[[#This Row],[Status]],Compliance_Status[Status from OPMS],Compliance_Status[Status_Key],"")</f>
        <v>1</v>
      </c>
      <c r="O546">
        <f>_xlfn.XLOOKUP(Data[[#This Row],[Status]],Compliance_Status[Status from OPMS],Compliance_Status[Has Course booking],"")</f>
        <v>0</v>
      </c>
      <c r="P546" t="str">
        <f>_xlfn.XLOOKUP(Data[[#This Row],[StatusKey]],Status_Key[Status_Key],Status_Key[Name],"")</f>
        <v>Expired</v>
      </c>
    </row>
    <row r="547" spans="1:16" x14ac:dyDescent="0.25">
      <c r="A547" s="1">
        <v>149</v>
      </c>
      <c r="B547" s="1" t="s">
        <v>189</v>
      </c>
      <c r="C547" s="1" t="s">
        <v>190</v>
      </c>
      <c r="D547" s="1" t="s">
        <v>191</v>
      </c>
      <c r="E547" s="1" t="s">
        <v>71</v>
      </c>
      <c r="F547" s="1" t="s">
        <v>72</v>
      </c>
      <c r="G547" s="1" t="s">
        <v>24</v>
      </c>
      <c r="H547" s="1" t="s">
        <v>66</v>
      </c>
      <c r="I547" s="1" t="s">
        <v>60</v>
      </c>
      <c r="J547" s="1"/>
      <c r="K547" s="1" t="s">
        <v>68</v>
      </c>
      <c r="L547" s="3">
        <v>46274</v>
      </c>
      <c r="M547" s="3">
        <v>44448</v>
      </c>
      <c r="N547">
        <f>_xlfn.XLOOKUP(Data[[#This Row],[Status]],Compliance_Status[Status from OPMS],Compliance_Status[Status_Key],"")</f>
        <v>3</v>
      </c>
      <c r="O547">
        <f>_xlfn.XLOOKUP(Data[[#This Row],[Status]],Compliance_Status[Status from OPMS],Compliance_Status[Has Course booking],"")</f>
        <v>0</v>
      </c>
      <c r="P547" t="str">
        <f>_xlfn.XLOOKUP(Data[[#This Row],[StatusKey]],Status_Key[Status_Key],Status_Key[Name],"")</f>
        <v>About to expire</v>
      </c>
    </row>
    <row r="548" spans="1:16" x14ac:dyDescent="0.25">
      <c r="A548" s="1">
        <v>149</v>
      </c>
      <c r="B548" s="1" t="s">
        <v>189</v>
      </c>
      <c r="C548" s="1" t="s">
        <v>190</v>
      </c>
      <c r="D548" s="1" t="s">
        <v>191</v>
      </c>
      <c r="E548" s="1" t="s">
        <v>73</v>
      </c>
      <c r="F548" s="1" t="s">
        <v>65</v>
      </c>
      <c r="G548" s="1" t="s">
        <v>16</v>
      </c>
      <c r="H548" s="1" t="s">
        <v>66</v>
      </c>
      <c r="I548" s="1" t="s">
        <v>60</v>
      </c>
      <c r="J548" s="1" t="s">
        <v>67</v>
      </c>
      <c r="K548" s="1" t="s">
        <v>68</v>
      </c>
      <c r="L548" s="3">
        <v>46586</v>
      </c>
      <c r="M548" s="3">
        <v>45856</v>
      </c>
      <c r="N548">
        <f>_xlfn.XLOOKUP(Data[[#This Row],[Status]],Compliance_Status[Status from OPMS],Compliance_Status[Status_Key],"")</f>
        <v>4</v>
      </c>
      <c r="O548">
        <f>_xlfn.XLOOKUP(Data[[#This Row],[Status]],Compliance_Status[Status from OPMS],Compliance_Status[Has Course booking],"")</f>
        <v>0</v>
      </c>
      <c r="P548" t="str">
        <f>_xlfn.XLOOKUP(Data[[#This Row],[StatusKey]],Status_Key[Status_Key],Status_Key[Name],"")</f>
        <v>In Date</v>
      </c>
    </row>
    <row r="549" spans="1:16" x14ac:dyDescent="0.25">
      <c r="A549" s="1">
        <v>149</v>
      </c>
      <c r="B549" s="1" t="s">
        <v>189</v>
      </c>
      <c r="C549" s="1" t="s">
        <v>190</v>
      </c>
      <c r="D549" s="1" t="s">
        <v>191</v>
      </c>
      <c r="E549" s="1" t="s">
        <v>74</v>
      </c>
      <c r="F549" s="1" t="s">
        <v>65</v>
      </c>
      <c r="G549" s="1" t="s">
        <v>16</v>
      </c>
      <c r="H549" s="1" t="s">
        <v>66</v>
      </c>
      <c r="I549" s="1" t="s">
        <v>60</v>
      </c>
      <c r="J549" s="1" t="s">
        <v>67</v>
      </c>
      <c r="K549" s="1" t="s">
        <v>68</v>
      </c>
      <c r="L549" s="3">
        <v>46552</v>
      </c>
      <c r="M549" s="3">
        <v>45457</v>
      </c>
      <c r="N549">
        <f>_xlfn.XLOOKUP(Data[[#This Row],[Status]],Compliance_Status[Status from OPMS],Compliance_Status[Status_Key],"")</f>
        <v>4</v>
      </c>
      <c r="O549">
        <f>_xlfn.XLOOKUP(Data[[#This Row],[Status]],Compliance_Status[Status from OPMS],Compliance_Status[Has Course booking],"")</f>
        <v>0</v>
      </c>
      <c r="P549" t="str">
        <f>_xlfn.XLOOKUP(Data[[#This Row],[StatusKey]],Status_Key[Status_Key],Status_Key[Name],"")</f>
        <v>In Date</v>
      </c>
    </row>
    <row r="550" spans="1:16" x14ac:dyDescent="0.25">
      <c r="A550" s="1">
        <v>149</v>
      </c>
      <c r="B550" s="1" t="s">
        <v>189</v>
      </c>
      <c r="C550" s="1" t="s">
        <v>190</v>
      </c>
      <c r="D550" s="1" t="s">
        <v>191</v>
      </c>
      <c r="E550" s="1" t="s">
        <v>75</v>
      </c>
      <c r="F550" s="1" t="s">
        <v>72</v>
      </c>
      <c r="G550" s="1" t="s">
        <v>18</v>
      </c>
      <c r="H550" s="1" t="s">
        <v>66</v>
      </c>
      <c r="I550" s="1" t="s">
        <v>60</v>
      </c>
      <c r="J550" s="1"/>
      <c r="K550" s="1" t="s">
        <v>68</v>
      </c>
      <c r="L550" s="3"/>
      <c r="M550" s="3"/>
      <c r="N550">
        <f>_xlfn.XLOOKUP(Data[[#This Row],[Status]],Compliance_Status[Status from OPMS],Compliance_Status[Status_Key],"")</f>
        <v>2</v>
      </c>
      <c r="O550">
        <f>_xlfn.XLOOKUP(Data[[#This Row],[Status]],Compliance_Status[Status from OPMS],Compliance_Status[Has Course booking],"")</f>
        <v>0</v>
      </c>
      <c r="P550" t="str">
        <f>_xlfn.XLOOKUP(Data[[#This Row],[StatusKey]],Status_Key[Status_Key],Status_Key[Name],"")</f>
        <v>Outstanding</v>
      </c>
    </row>
    <row r="551" spans="1:16" x14ac:dyDescent="0.25">
      <c r="A551" s="1">
        <v>149</v>
      </c>
      <c r="B551" s="1" t="s">
        <v>189</v>
      </c>
      <c r="C551" s="1" t="s">
        <v>190</v>
      </c>
      <c r="D551" s="1" t="s">
        <v>191</v>
      </c>
      <c r="E551" s="1" t="s">
        <v>76</v>
      </c>
      <c r="F551" s="1" t="s">
        <v>65</v>
      </c>
      <c r="G551" s="1" t="s">
        <v>16</v>
      </c>
      <c r="H551" s="1" t="s">
        <v>66</v>
      </c>
      <c r="I551" s="1" t="s">
        <v>60</v>
      </c>
      <c r="J551" s="1" t="s">
        <v>67</v>
      </c>
      <c r="K551" s="1" t="s">
        <v>77</v>
      </c>
      <c r="L551" s="3">
        <v>47542</v>
      </c>
      <c r="M551" s="3">
        <v>46054</v>
      </c>
      <c r="N551">
        <f>_xlfn.XLOOKUP(Data[[#This Row],[Status]],Compliance_Status[Status from OPMS],Compliance_Status[Status_Key],"")</f>
        <v>4</v>
      </c>
      <c r="O551">
        <f>_xlfn.XLOOKUP(Data[[#This Row],[Status]],Compliance_Status[Status from OPMS],Compliance_Status[Has Course booking],"")</f>
        <v>0</v>
      </c>
      <c r="P551" t="str">
        <f>_xlfn.XLOOKUP(Data[[#This Row],[StatusKey]],Status_Key[Status_Key],Status_Key[Name],"")</f>
        <v>In Date</v>
      </c>
    </row>
    <row r="552" spans="1:16" x14ac:dyDescent="0.25">
      <c r="A552" s="1">
        <v>149</v>
      </c>
      <c r="B552" s="1" t="s">
        <v>189</v>
      </c>
      <c r="C552" s="1" t="s">
        <v>190</v>
      </c>
      <c r="D552" s="1" t="s">
        <v>191</v>
      </c>
      <c r="E552" s="1" t="s">
        <v>78</v>
      </c>
      <c r="F552" s="1" t="s">
        <v>65</v>
      </c>
      <c r="G552" s="1" t="s">
        <v>16</v>
      </c>
      <c r="H552" s="1" t="s">
        <v>66</v>
      </c>
      <c r="I552" s="1" t="s">
        <v>60</v>
      </c>
      <c r="J552" s="1" t="s">
        <v>67</v>
      </c>
      <c r="K552" s="1" t="s">
        <v>77</v>
      </c>
      <c r="L552" s="3" t="s">
        <v>79</v>
      </c>
      <c r="M552" s="3">
        <v>45391</v>
      </c>
      <c r="N552">
        <f>_xlfn.XLOOKUP(Data[[#This Row],[Status]],Compliance_Status[Status from OPMS],Compliance_Status[Status_Key],"")</f>
        <v>4</v>
      </c>
      <c r="O552">
        <f>_xlfn.XLOOKUP(Data[[#This Row],[Status]],Compliance_Status[Status from OPMS],Compliance_Status[Has Course booking],"")</f>
        <v>0</v>
      </c>
      <c r="P552" t="str">
        <f>_xlfn.XLOOKUP(Data[[#This Row],[StatusKey]],Status_Key[Status_Key],Status_Key[Name],"")</f>
        <v>In Date</v>
      </c>
    </row>
    <row r="553" spans="1:16" x14ac:dyDescent="0.25">
      <c r="A553" s="1">
        <v>149</v>
      </c>
      <c r="B553" s="1" t="s">
        <v>189</v>
      </c>
      <c r="C553" s="1" t="s">
        <v>190</v>
      </c>
      <c r="D553" s="1" t="s">
        <v>191</v>
      </c>
      <c r="E553" s="1" t="s">
        <v>80</v>
      </c>
      <c r="F553" s="1" t="s">
        <v>65</v>
      </c>
      <c r="G553" s="1" t="s">
        <v>16</v>
      </c>
      <c r="H553" s="1" t="s">
        <v>66</v>
      </c>
      <c r="I553" s="1" t="s">
        <v>60</v>
      </c>
      <c r="J553" s="1" t="s">
        <v>67</v>
      </c>
      <c r="K553" s="1" t="s">
        <v>77</v>
      </c>
      <c r="L553" s="3" t="s">
        <v>79</v>
      </c>
      <c r="M553" s="3">
        <v>45397</v>
      </c>
      <c r="N553">
        <f>_xlfn.XLOOKUP(Data[[#This Row],[Status]],Compliance_Status[Status from OPMS],Compliance_Status[Status_Key],"")</f>
        <v>4</v>
      </c>
      <c r="O553">
        <f>_xlfn.XLOOKUP(Data[[#This Row],[Status]],Compliance_Status[Status from OPMS],Compliance_Status[Has Course booking],"")</f>
        <v>0</v>
      </c>
      <c r="P553" t="str">
        <f>_xlfn.XLOOKUP(Data[[#This Row],[StatusKey]],Status_Key[Status_Key],Status_Key[Name],"")</f>
        <v>In Date</v>
      </c>
    </row>
    <row r="554" spans="1:16" x14ac:dyDescent="0.25">
      <c r="A554" s="1">
        <v>149</v>
      </c>
      <c r="B554" s="1" t="s">
        <v>189</v>
      </c>
      <c r="C554" s="1" t="s">
        <v>190</v>
      </c>
      <c r="D554" s="1" t="s">
        <v>191</v>
      </c>
      <c r="E554" s="1" t="s">
        <v>81</v>
      </c>
      <c r="F554" s="1" t="s">
        <v>65</v>
      </c>
      <c r="G554" s="1" t="s">
        <v>16</v>
      </c>
      <c r="H554" s="1" t="s">
        <v>66</v>
      </c>
      <c r="I554" s="1" t="s">
        <v>60</v>
      </c>
      <c r="J554" s="1" t="s">
        <v>67</v>
      </c>
      <c r="K554" s="1" t="s">
        <v>77</v>
      </c>
      <c r="L554" s="3">
        <v>46771</v>
      </c>
      <c r="M554" s="3">
        <v>46041</v>
      </c>
      <c r="N554">
        <f>_xlfn.XLOOKUP(Data[[#This Row],[Status]],Compliance_Status[Status from OPMS],Compliance_Status[Status_Key],"")</f>
        <v>4</v>
      </c>
      <c r="O554">
        <f>_xlfn.XLOOKUP(Data[[#This Row],[Status]],Compliance_Status[Status from OPMS],Compliance_Status[Has Course booking],"")</f>
        <v>0</v>
      </c>
      <c r="P554" t="str">
        <f>_xlfn.XLOOKUP(Data[[#This Row],[StatusKey]],Status_Key[Status_Key],Status_Key[Name],"")</f>
        <v>In Date</v>
      </c>
    </row>
    <row r="555" spans="1:16" x14ac:dyDescent="0.25">
      <c r="A555" s="1">
        <v>149</v>
      </c>
      <c r="B555" s="1" t="s">
        <v>189</v>
      </c>
      <c r="C555" s="1" t="s">
        <v>190</v>
      </c>
      <c r="D555" s="1" t="s">
        <v>191</v>
      </c>
      <c r="E555" s="1" t="s">
        <v>82</v>
      </c>
      <c r="F555" s="1" t="s">
        <v>65</v>
      </c>
      <c r="G555" s="1" t="s">
        <v>16</v>
      </c>
      <c r="H555" s="1" t="s">
        <v>66</v>
      </c>
      <c r="I555" s="1" t="s">
        <v>60</v>
      </c>
      <c r="J555" s="1" t="s">
        <v>67</v>
      </c>
      <c r="K555" s="1" t="s">
        <v>83</v>
      </c>
      <c r="L555" s="3">
        <v>46768</v>
      </c>
      <c r="M555" s="3">
        <v>46038</v>
      </c>
      <c r="N555">
        <f>_xlfn.XLOOKUP(Data[[#This Row],[Status]],Compliance_Status[Status from OPMS],Compliance_Status[Status_Key],"")</f>
        <v>4</v>
      </c>
      <c r="O555">
        <f>_xlfn.XLOOKUP(Data[[#This Row],[Status]],Compliance_Status[Status from OPMS],Compliance_Status[Has Course booking],"")</f>
        <v>0</v>
      </c>
      <c r="P555" t="str">
        <f>_xlfn.XLOOKUP(Data[[#This Row],[StatusKey]],Status_Key[Status_Key],Status_Key[Name],"")</f>
        <v>In Date</v>
      </c>
    </row>
    <row r="556" spans="1:16" x14ac:dyDescent="0.25">
      <c r="A556" s="1">
        <v>149</v>
      </c>
      <c r="B556" s="1" t="s">
        <v>189</v>
      </c>
      <c r="C556" s="1" t="s">
        <v>190</v>
      </c>
      <c r="D556" s="1" t="s">
        <v>191</v>
      </c>
      <c r="E556" s="1" t="s">
        <v>84</v>
      </c>
      <c r="F556" s="1" t="s">
        <v>65</v>
      </c>
      <c r="G556" s="1" t="s">
        <v>16</v>
      </c>
      <c r="H556" s="1" t="s">
        <v>66</v>
      </c>
      <c r="I556" s="1" t="s">
        <v>60</v>
      </c>
      <c r="J556" s="1" t="s">
        <v>67</v>
      </c>
      <c r="K556" s="1" t="s">
        <v>83</v>
      </c>
      <c r="L556" s="3">
        <v>46713</v>
      </c>
      <c r="M556" s="3">
        <v>45983</v>
      </c>
      <c r="N556">
        <f>_xlfn.XLOOKUP(Data[[#This Row],[Status]],Compliance_Status[Status from OPMS],Compliance_Status[Status_Key],"")</f>
        <v>4</v>
      </c>
      <c r="O556">
        <f>_xlfn.XLOOKUP(Data[[#This Row],[Status]],Compliance_Status[Status from OPMS],Compliance_Status[Has Course booking],"")</f>
        <v>0</v>
      </c>
      <c r="P556" t="str">
        <f>_xlfn.XLOOKUP(Data[[#This Row],[StatusKey]],Status_Key[Status_Key],Status_Key[Name],"")</f>
        <v>In Date</v>
      </c>
    </row>
    <row r="557" spans="1:16" x14ac:dyDescent="0.25">
      <c r="A557" s="1">
        <v>149</v>
      </c>
      <c r="B557" s="1" t="s">
        <v>189</v>
      </c>
      <c r="C557" s="1" t="s">
        <v>190</v>
      </c>
      <c r="D557" s="1" t="s">
        <v>191</v>
      </c>
      <c r="E557" s="1" t="s">
        <v>85</v>
      </c>
      <c r="F557" s="1" t="s">
        <v>65</v>
      </c>
      <c r="G557" s="1" t="s">
        <v>16</v>
      </c>
      <c r="H557" s="1" t="s">
        <v>66</v>
      </c>
      <c r="I557" s="1" t="s">
        <v>60</v>
      </c>
      <c r="J557" s="1" t="s">
        <v>67</v>
      </c>
      <c r="K557" s="1" t="s">
        <v>86</v>
      </c>
      <c r="L557" s="3" t="s">
        <v>79</v>
      </c>
      <c r="M557" s="3">
        <v>45642</v>
      </c>
      <c r="N557">
        <f>_xlfn.XLOOKUP(Data[[#This Row],[Status]],Compliance_Status[Status from OPMS],Compliance_Status[Status_Key],"")</f>
        <v>4</v>
      </c>
      <c r="O557">
        <f>_xlfn.XLOOKUP(Data[[#This Row],[Status]],Compliance_Status[Status from OPMS],Compliance_Status[Has Course booking],"")</f>
        <v>0</v>
      </c>
      <c r="P557" t="str">
        <f>_xlfn.XLOOKUP(Data[[#This Row],[StatusKey]],Status_Key[Status_Key],Status_Key[Name],"")</f>
        <v>In Date</v>
      </c>
    </row>
    <row r="558" spans="1:16" x14ac:dyDescent="0.25">
      <c r="A558" s="1">
        <v>149</v>
      </c>
      <c r="B558" s="1" t="s">
        <v>189</v>
      </c>
      <c r="C558" s="1" t="s">
        <v>190</v>
      </c>
      <c r="D558" s="1" t="s">
        <v>191</v>
      </c>
      <c r="E558" s="1" t="s">
        <v>87</v>
      </c>
      <c r="F558" s="1" t="s">
        <v>65</v>
      </c>
      <c r="G558" s="1" t="s">
        <v>16</v>
      </c>
      <c r="H558" s="1" t="s">
        <v>66</v>
      </c>
      <c r="I558" s="1" t="s">
        <v>60</v>
      </c>
      <c r="J558" s="1" t="s">
        <v>67</v>
      </c>
      <c r="K558" s="1" t="s">
        <v>86</v>
      </c>
      <c r="L558" s="3" t="s">
        <v>79</v>
      </c>
      <c r="M558" s="3">
        <v>45331</v>
      </c>
      <c r="N558">
        <f>_xlfn.XLOOKUP(Data[[#This Row],[Status]],Compliance_Status[Status from OPMS],Compliance_Status[Status_Key],"")</f>
        <v>4</v>
      </c>
      <c r="O558">
        <f>_xlfn.XLOOKUP(Data[[#This Row],[Status]],Compliance_Status[Status from OPMS],Compliance_Status[Has Course booking],"")</f>
        <v>0</v>
      </c>
      <c r="P558" t="str">
        <f>_xlfn.XLOOKUP(Data[[#This Row],[StatusKey]],Status_Key[Status_Key],Status_Key[Name],"")</f>
        <v>In Date</v>
      </c>
    </row>
    <row r="559" spans="1:16" x14ac:dyDescent="0.25">
      <c r="A559" s="1">
        <v>149</v>
      </c>
      <c r="B559" s="1" t="s">
        <v>189</v>
      </c>
      <c r="C559" s="1" t="s">
        <v>190</v>
      </c>
      <c r="D559" s="1" t="s">
        <v>191</v>
      </c>
      <c r="E559" s="1" t="s">
        <v>88</v>
      </c>
      <c r="F559" s="1" t="s">
        <v>65</v>
      </c>
      <c r="G559" s="1" t="s">
        <v>16</v>
      </c>
      <c r="H559" s="1" t="s">
        <v>66</v>
      </c>
      <c r="I559" s="1" t="s">
        <v>60</v>
      </c>
      <c r="J559" s="1" t="s">
        <v>67</v>
      </c>
      <c r="K559" s="1" t="s">
        <v>86</v>
      </c>
      <c r="L559" s="3" t="s">
        <v>79</v>
      </c>
      <c r="M559" s="3">
        <v>45338</v>
      </c>
      <c r="N559">
        <f>_xlfn.XLOOKUP(Data[[#This Row],[Status]],Compliance_Status[Status from OPMS],Compliance_Status[Status_Key],"")</f>
        <v>4</v>
      </c>
      <c r="O559">
        <f>_xlfn.XLOOKUP(Data[[#This Row],[Status]],Compliance_Status[Status from OPMS],Compliance_Status[Has Course booking],"")</f>
        <v>0</v>
      </c>
      <c r="P559" t="str">
        <f>_xlfn.XLOOKUP(Data[[#This Row],[StatusKey]],Status_Key[Status_Key],Status_Key[Name],"")</f>
        <v>In Date</v>
      </c>
    </row>
    <row r="560" spans="1:16" x14ac:dyDescent="0.25">
      <c r="A560" s="1">
        <v>149</v>
      </c>
      <c r="B560" s="1" t="s">
        <v>189</v>
      </c>
      <c r="C560" s="1" t="s">
        <v>190</v>
      </c>
      <c r="D560" s="1" t="s">
        <v>191</v>
      </c>
      <c r="E560" s="1" t="s">
        <v>89</v>
      </c>
      <c r="F560" s="1" t="s">
        <v>65</v>
      </c>
      <c r="G560" s="1" t="s">
        <v>16</v>
      </c>
      <c r="H560" s="1" t="s">
        <v>66</v>
      </c>
      <c r="I560" s="1" t="s">
        <v>60</v>
      </c>
      <c r="J560" s="1" t="s">
        <v>67</v>
      </c>
      <c r="K560" s="1" t="s">
        <v>86</v>
      </c>
      <c r="L560" s="3" t="s">
        <v>79</v>
      </c>
      <c r="M560" s="3">
        <v>45535</v>
      </c>
      <c r="N560">
        <f>_xlfn.XLOOKUP(Data[[#This Row],[Status]],Compliance_Status[Status from OPMS],Compliance_Status[Status_Key],"")</f>
        <v>4</v>
      </c>
      <c r="O560">
        <f>_xlfn.XLOOKUP(Data[[#This Row],[Status]],Compliance_Status[Status from OPMS],Compliance_Status[Has Course booking],"")</f>
        <v>0</v>
      </c>
      <c r="P560" t="str">
        <f>_xlfn.XLOOKUP(Data[[#This Row],[StatusKey]],Status_Key[Status_Key],Status_Key[Name],"")</f>
        <v>In Date</v>
      </c>
    </row>
    <row r="561" spans="1:16" x14ac:dyDescent="0.25">
      <c r="A561" s="1">
        <v>149</v>
      </c>
      <c r="B561" s="1" t="s">
        <v>189</v>
      </c>
      <c r="C561" s="1" t="s">
        <v>190</v>
      </c>
      <c r="D561" s="1" t="s">
        <v>191</v>
      </c>
      <c r="E561" s="1" t="s">
        <v>90</v>
      </c>
      <c r="F561" s="1" t="s">
        <v>65</v>
      </c>
      <c r="G561" s="1" t="s">
        <v>16</v>
      </c>
      <c r="H561" s="1" t="s">
        <v>66</v>
      </c>
      <c r="I561" s="1" t="s">
        <v>60</v>
      </c>
      <c r="J561" s="1" t="s">
        <v>67</v>
      </c>
      <c r="K561" s="1" t="s">
        <v>86</v>
      </c>
      <c r="L561" s="3" t="s">
        <v>79</v>
      </c>
      <c r="M561" s="3">
        <v>45534</v>
      </c>
      <c r="N561">
        <f>_xlfn.XLOOKUP(Data[[#This Row],[Status]],Compliance_Status[Status from OPMS],Compliance_Status[Status_Key],"")</f>
        <v>4</v>
      </c>
      <c r="O561">
        <f>_xlfn.XLOOKUP(Data[[#This Row],[Status]],Compliance_Status[Status from OPMS],Compliance_Status[Has Course booking],"")</f>
        <v>0</v>
      </c>
      <c r="P561" t="str">
        <f>_xlfn.XLOOKUP(Data[[#This Row],[StatusKey]],Status_Key[Status_Key],Status_Key[Name],"")</f>
        <v>In Date</v>
      </c>
    </row>
    <row r="562" spans="1:16" x14ac:dyDescent="0.25">
      <c r="A562" s="1">
        <v>149</v>
      </c>
      <c r="B562" s="1" t="s">
        <v>189</v>
      </c>
      <c r="C562" s="1" t="s">
        <v>190</v>
      </c>
      <c r="D562" s="1" t="s">
        <v>191</v>
      </c>
      <c r="E562" s="1" t="s">
        <v>91</v>
      </c>
      <c r="F562" s="1" t="s">
        <v>65</v>
      </c>
      <c r="G562" s="1" t="s">
        <v>16</v>
      </c>
      <c r="H562" s="1" t="s">
        <v>66</v>
      </c>
      <c r="I562" s="1" t="s">
        <v>60</v>
      </c>
      <c r="J562" s="1" t="s">
        <v>67</v>
      </c>
      <c r="K562" s="1" t="s">
        <v>86</v>
      </c>
      <c r="L562" s="3" t="s">
        <v>79</v>
      </c>
      <c r="M562" s="3">
        <v>45921</v>
      </c>
      <c r="N562">
        <f>_xlfn.XLOOKUP(Data[[#This Row],[Status]],Compliance_Status[Status from OPMS],Compliance_Status[Status_Key],"")</f>
        <v>4</v>
      </c>
      <c r="O562">
        <f>_xlfn.XLOOKUP(Data[[#This Row],[Status]],Compliance_Status[Status from OPMS],Compliance_Status[Has Course booking],"")</f>
        <v>0</v>
      </c>
      <c r="P562" t="str">
        <f>_xlfn.XLOOKUP(Data[[#This Row],[StatusKey]],Status_Key[Status_Key],Status_Key[Name],"")</f>
        <v>In Date</v>
      </c>
    </row>
    <row r="563" spans="1:16" x14ac:dyDescent="0.25">
      <c r="A563" s="1">
        <v>149</v>
      </c>
      <c r="B563" s="1" t="s">
        <v>189</v>
      </c>
      <c r="C563" s="1" t="s">
        <v>190</v>
      </c>
      <c r="D563" s="1" t="s">
        <v>191</v>
      </c>
      <c r="E563" s="1" t="s">
        <v>92</v>
      </c>
      <c r="F563" s="1" t="s">
        <v>65</v>
      </c>
      <c r="G563" s="1" t="s">
        <v>16</v>
      </c>
      <c r="H563" s="1" t="s">
        <v>66</v>
      </c>
      <c r="I563" s="1" t="s">
        <v>60</v>
      </c>
      <c r="J563" s="1" t="s">
        <v>67</v>
      </c>
      <c r="K563" s="1" t="s">
        <v>86</v>
      </c>
      <c r="L563" s="3">
        <v>46964</v>
      </c>
      <c r="M563" s="3">
        <v>46233</v>
      </c>
      <c r="N563">
        <f>_xlfn.XLOOKUP(Data[[#This Row],[Status]],Compliance_Status[Status from OPMS],Compliance_Status[Status_Key],"")</f>
        <v>4</v>
      </c>
      <c r="O563">
        <f>_xlfn.XLOOKUP(Data[[#This Row],[Status]],Compliance_Status[Status from OPMS],Compliance_Status[Has Course booking],"")</f>
        <v>0</v>
      </c>
      <c r="P563" t="str">
        <f>_xlfn.XLOOKUP(Data[[#This Row],[StatusKey]],Status_Key[Status_Key],Status_Key[Name],"")</f>
        <v>In Date</v>
      </c>
    </row>
    <row r="564" spans="1:16" x14ac:dyDescent="0.25">
      <c r="A564" s="1">
        <v>149</v>
      </c>
      <c r="B564" s="1" t="s">
        <v>189</v>
      </c>
      <c r="C564" s="1" t="s">
        <v>190</v>
      </c>
      <c r="D564" s="1" t="s">
        <v>191</v>
      </c>
      <c r="E564" s="1" t="s">
        <v>93</v>
      </c>
      <c r="F564" s="1" t="s">
        <v>65</v>
      </c>
      <c r="G564" s="1" t="s">
        <v>16</v>
      </c>
      <c r="H564" s="1" t="s">
        <v>66</v>
      </c>
      <c r="I564" s="1" t="s">
        <v>60</v>
      </c>
      <c r="J564" s="1" t="s">
        <v>67</v>
      </c>
      <c r="K564" s="1" t="s">
        <v>94</v>
      </c>
      <c r="L564" s="3">
        <v>46715</v>
      </c>
      <c r="M564" s="3">
        <v>45985</v>
      </c>
      <c r="N564">
        <f>_xlfn.XLOOKUP(Data[[#This Row],[Status]],Compliance_Status[Status from OPMS],Compliance_Status[Status_Key],"")</f>
        <v>4</v>
      </c>
      <c r="O564">
        <f>_xlfn.XLOOKUP(Data[[#This Row],[Status]],Compliance_Status[Status from OPMS],Compliance_Status[Has Course booking],"")</f>
        <v>0</v>
      </c>
      <c r="P564" t="str">
        <f>_xlfn.XLOOKUP(Data[[#This Row],[StatusKey]],Status_Key[Status_Key],Status_Key[Name],"")</f>
        <v>In Date</v>
      </c>
    </row>
    <row r="565" spans="1:16" x14ac:dyDescent="0.25">
      <c r="A565" s="1">
        <v>149</v>
      </c>
      <c r="B565" s="1" t="s">
        <v>189</v>
      </c>
      <c r="C565" s="1" t="s">
        <v>190</v>
      </c>
      <c r="D565" s="1" t="s">
        <v>191</v>
      </c>
      <c r="E565" s="1" t="s">
        <v>95</v>
      </c>
      <c r="F565" s="1" t="s">
        <v>65</v>
      </c>
      <c r="G565" s="1" t="s">
        <v>16</v>
      </c>
      <c r="H565" s="1" t="s">
        <v>66</v>
      </c>
      <c r="I565" s="1" t="s">
        <v>60</v>
      </c>
      <c r="J565" s="1" t="s">
        <v>67</v>
      </c>
      <c r="K565" s="1" t="s">
        <v>94</v>
      </c>
      <c r="L565" s="3">
        <v>46715</v>
      </c>
      <c r="M565" s="3">
        <v>45985</v>
      </c>
      <c r="N565">
        <f>_xlfn.XLOOKUP(Data[[#This Row],[Status]],Compliance_Status[Status from OPMS],Compliance_Status[Status_Key],"")</f>
        <v>4</v>
      </c>
      <c r="O565">
        <f>_xlfn.XLOOKUP(Data[[#This Row],[Status]],Compliance_Status[Status from OPMS],Compliance_Status[Has Course booking],"")</f>
        <v>0</v>
      </c>
      <c r="P565" t="str">
        <f>_xlfn.XLOOKUP(Data[[#This Row],[StatusKey]],Status_Key[Status_Key],Status_Key[Name],"")</f>
        <v>In Date</v>
      </c>
    </row>
    <row r="566" spans="1:16" x14ac:dyDescent="0.25">
      <c r="A566" s="1">
        <v>149</v>
      </c>
      <c r="B566" s="1" t="s">
        <v>189</v>
      </c>
      <c r="C566" s="1" t="s">
        <v>190</v>
      </c>
      <c r="D566" s="1" t="s">
        <v>191</v>
      </c>
      <c r="E566" s="1" t="s">
        <v>96</v>
      </c>
      <c r="F566" s="1" t="s">
        <v>65</v>
      </c>
      <c r="G566" s="1" t="s">
        <v>16</v>
      </c>
      <c r="H566" s="1" t="s">
        <v>66</v>
      </c>
      <c r="I566" s="1" t="s">
        <v>60</v>
      </c>
      <c r="J566" s="1" t="s">
        <v>67</v>
      </c>
      <c r="K566" s="1" t="s">
        <v>94</v>
      </c>
      <c r="L566" s="3" t="s">
        <v>79</v>
      </c>
      <c r="M566" s="3">
        <v>45771</v>
      </c>
      <c r="N566">
        <f>_xlfn.XLOOKUP(Data[[#This Row],[Status]],Compliance_Status[Status from OPMS],Compliance_Status[Status_Key],"")</f>
        <v>4</v>
      </c>
      <c r="O566">
        <f>_xlfn.XLOOKUP(Data[[#This Row],[Status]],Compliance_Status[Status from OPMS],Compliance_Status[Has Course booking],"")</f>
        <v>0</v>
      </c>
      <c r="P566" t="str">
        <f>_xlfn.XLOOKUP(Data[[#This Row],[StatusKey]],Status_Key[Status_Key],Status_Key[Name],"")</f>
        <v>In Date</v>
      </c>
    </row>
    <row r="567" spans="1:16" x14ac:dyDescent="0.25">
      <c r="A567" s="1">
        <v>149</v>
      </c>
      <c r="B567" s="1" t="s">
        <v>189</v>
      </c>
      <c r="C567" s="1" t="s">
        <v>190</v>
      </c>
      <c r="D567" s="1" t="s">
        <v>191</v>
      </c>
      <c r="E567" s="1" t="s">
        <v>97</v>
      </c>
      <c r="F567" s="1" t="s">
        <v>65</v>
      </c>
      <c r="G567" s="1" t="s">
        <v>16</v>
      </c>
      <c r="H567" s="1" t="s">
        <v>66</v>
      </c>
      <c r="I567" s="1" t="s">
        <v>60</v>
      </c>
      <c r="J567" s="1" t="s">
        <v>67</v>
      </c>
      <c r="K567" s="1" t="s">
        <v>98</v>
      </c>
      <c r="L567" s="3">
        <v>47250</v>
      </c>
      <c r="M567" s="3">
        <v>45424</v>
      </c>
      <c r="N567">
        <f>_xlfn.XLOOKUP(Data[[#This Row],[Status]],Compliance_Status[Status from OPMS],Compliance_Status[Status_Key],"")</f>
        <v>4</v>
      </c>
      <c r="O567">
        <f>_xlfn.XLOOKUP(Data[[#This Row],[Status]],Compliance_Status[Status from OPMS],Compliance_Status[Has Course booking],"")</f>
        <v>0</v>
      </c>
      <c r="P567" t="str">
        <f>_xlfn.XLOOKUP(Data[[#This Row],[StatusKey]],Status_Key[Status_Key],Status_Key[Name],"")</f>
        <v>In Date</v>
      </c>
    </row>
    <row r="568" spans="1:16" x14ac:dyDescent="0.25">
      <c r="A568" s="1">
        <v>149</v>
      </c>
      <c r="B568" s="1" t="s">
        <v>189</v>
      </c>
      <c r="C568" s="1" t="s">
        <v>190</v>
      </c>
      <c r="D568" s="1" t="s">
        <v>191</v>
      </c>
      <c r="E568" s="1" t="s">
        <v>99</v>
      </c>
      <c r="F568" s="1" t="s">
        <v>65</v>
      </c>
      <c r="G568" s="1" t="s">
        <v>16</v>
      </c>
      <c r="H568" s="1" t="s">
        <v>66</v>
      </c>
      <c r="I568" s="1" t="s">
        <v>60</v>
      </c>
      <c r="J568" s="1" t="s">
        <v>67</v>
      </c>
      <c r="K568" s="1" t="s">
        <v>98</v>
      </c>
      <c r="L568" s="3">
        <v>46676</v>
      </c>
      <c r="M568" s="3">
        <v>45946</v>
      </c>
      <c r="N568">
        <f>_xlfn.XLOOKUP(Data[[#This Row],[Status]],Compliance_Status[Status from OPMS],Compliance_Status[Status_Key],"")</f>
        <v>4</v>
      </c>
      <c r="O568">
        <f>_xlfn.XLOOKUP(Data[[#This Row],[Status]],Compliance_Status[Status from OPMS],Compliance_Status[Has Course booking],"")</f>
        <v>0</v>
      </c>
      <c r="P568" t="str">
        <f>_xlfn.XLOOKUP(Data[[#This Row],[StatusKey]],Status_Key[Status_Key],Status_Key[Name],"")</f>
        <v>In Date</v>
      </c>
    </row>
    <row r="569" spans="1:16" x14ac:dyDescent="0.25">
      <c r="A569" s="1">
        <v>149</v>
      </c>
      <c r="B569" s="1" t="s">
        <v>189</v>
      </c>
      <c r="C569" s="1" t="s">
        <v>190</v>
      </c>
      <c r="D569" s="1" t="s">
        <v>191</v>
      </c>
      <c r="E569" s="1" t="s">
        <v>100</v>
      </c>
      <c r="F569" s="1" t="s">
        <v>65</v>
      </c>
      <c r="G569" s="1" t="s">
        <v>16</v>
      </c>
      <c r="H569" s="1" t="s">
        <v>66</v>
      </c>
      <c r="I569" s="1" t="s">
        <v>60</v>
      </c>
      <c r="J569" s="1" t="s">
        <v>67</v>
      </c>
      <c r="K569" s="1" t="s">
        <v>98</v>
      </c>
      <c r="L569" s="3">
        <v>46676</v>
      </c>
      <c r="M569" s="3">
        <v>45946</v>
      </c>
      <c r="N569">
        <f>_xlfn.XLOOKUP(Data[[#This Row],[Status]],Compliance_Status[Status from OPMS],Compliance_Status[Status_Key],"")</f>
        <v>4</v>
      </c>
      <c r="O569">
        <f>_xlfn.XLOOKUP(Data[[#This Row],[Status]],Compliance_Status[Status from OPMS],Compliance_Status[Has Course booking],"")</f>
        <v>0</v>
      </c>
      <c r="P569" t="str">
        <f>_xlfn.XLOOKUP(Data[[#This Row],[StatusKey]],Status_Key[Status_Key],Status_Key[Name],"")</f>
        <v>In Date</v>
      </c>
    </row>
    <row r="570" spans="1:16" x14ac:dyDescent="0.25">
      <c r="A570" s="1">
        <v>149</v>
      </c>
      <c r="B570" s="1" t="s">
        <v>189</v>
      </c>
      <c r="C570" s="1" t="s">
        <v>190</v>
      </c>
      <c r="D570" s="1" t="s">
        <v>191</v>
      </c>
      <c r="E570" s="1" t="s">
        <v>101</v>
      </c>
      <c r="F570" s="1" t="s">
        <v>65</v>
      </c>
      <c r="G570" s="1" t="s">
        <v>16</v>
      </c>
      <c r="H570" s="1" t="s">
        <v>66</v>
      </c>
      <c r="I570" s="1" t="s">
        <v>60</v>
      </c>
      <c r="J570" s="1" t="s">
        <v>67</v>
      </c>
      <c r="K570" s="1" t="s">
        <v>102</v>
      </c>
      <c r="L570" s="3" t="s">
        <v>79</v>
      </c>
      <c r="M570" s="3">
        <v>45401</v>
      </c>
      <c r="N570">
        <f>_xlfn.XLOOKUP(Data[[#This Row],[Status]],Compliance_Status[Status from OPMS],Compliance_Status[Status_Key],"")</f>
        <v>4</v>
      </c>
      <c r="O570">
        <f>_xlfn.XLOOKUP(Data[[#This Row],[Status]],Compliance_Status[Status from OPMS],Compliance_Status[Has Course booking],"")</f>
        <v>0</v>
      </c>
      <c r="P570" t="str">
        <f>_xlfn.XLOOKUP(Data[[#This Row],[StatusKey]],Status_Key[Status_Key],Status_Key[Name],"")</f>
        <v>In Date</v>
      </c>
    </row>
    <row r="571" spans="1:16" x14ac:dyDescent="0.25">
      <c r="A571" s="1">
        <v>149</v>
      </c>
      <c r="B571" s="1" t="s">
        <v>189</v>
      </c>
      <c r="C571" s="1" t="s">
        <v>190</v>
      </c>
      <c r="D571" s="1" t="s">
        <v>191</v>
      </c>
      <c r="E571" s="1" t="s">
        <v>103</v>
      </c>
      <c r="F571" s="1" t="s">
        <v>65</v>
      </c>
      <c r="G571" s="1" t="s">
        <v>16</v>
      </c>
      <c r="H571" s="1" t="s">
        <v>66</v>
      </c>
      <c r="I571" s="1" t="s">
        <v>60</v>
      </c>
      <c r="J571" s="1" t="s">
        <v>67</v>
      </c>
      <c r="K571" s="1" t="s">
        <v>102</v>
      </c>
      <c r="L571" s="3">
        <v>46478</v>
      </c>
      <c r="M571" s="3">
        <v>45748</v>
      </c>
      <c r="N571">
        <f>_xlfn.XLOOKUP(Data[[#This Row],[Status]],Compliance_Status[Status from OPMS],Compliance_Status[Status_Key],"")</f>
        <v>4</v>
      </c>
      <c r="O571">
        <f>_xlfn.XLOOKUP(Data[[#This Row],[Status]],Compliance_Status[Status from OPMS],Compliance_Status[Has Course booking],"")</f>
        <v>0</v>
      </c>
      <c r="P571" t="str">
        <f>_xlfn.XLOOKUP(Data[[#This Row],[StatusKey]],Status_Key[Status_Key],Status_Key[Name],"")</f>
        <v>In Date</v>
      </c>
    </row>
    <row r="572" spans="1:16" x14ac:dyDescent="0.25">
      <c r="A572" s="1">
        <v>149</v>
      </c>
      <c r="B572" s="1" t="s">
        <v>189</v>
      </c>
      <c r="C572" s="1" t="s">
        <v>190</v>
      </c>
      <c r="D572" s="1" t="s">
        <v>191</v>
      </c>
      <c r="E572" s="1" t="s">
        <v>104</v>
      </c>
      <c r="F572" s="1" t="s">
        <v>65</v>
      </c>
      <c r="G572" s="1" t="s">
        <v>16</v>
      </c>
      <c r="H572" s="1" t="s">
        <v>66</v>
      </c>
      <c r="I572" s="1" t="s">
        <v>60</v>
      </c>
      <c r="J572" s="1" t="s">
        <v>67</v>
      </c>
      <c r="K572" s="1" t="s">
        <v>105</v>
      </c>
      <c r="L572" s="3">
        <v>46811</v>
      </c>
      <c r="M572" s="3">
        <v>46081</v>
      </c>
      <c r="N572">
        <f>_xlfn.XLOOKUP(Data[[#This Row],[Status]],Compliance_Status[Status from OPMS],Compliance_Status[Status_Key],"")</f>
        <v>4</v>
      </c>
      <c r="O572">
        <f>_xlfn.XLOOKUP(Data[[#This Row],[Status]],Compliance_Status[Status from OPMS],Compliance_Status[Has Course booking],"")</f>
        <v>0</v>
      </c>
      <c r="P572" t="str">
        <f>_xlfn.XLOOKUP(Data[[#This Row],[StatusKey]],Status_Key[Status_Key],Status_Key[Name],"")</f>
        <v>In Date</v>
      </c>
    </row>
    <row r="573" spans="1:16" x14ac:dyDescent="0.25">
      <c r="A573" s="1">
        <v>149</v>
      </c>
      <c r="B573" s="1" t="s">
        <v>189</v>
      </c>
      <c r="C573" s="1" t="s">
        <v>190</v>
      </c>
      <c r="D573" s="1" t="s">
        <v>191</v>
      </c>
      <c r="E573" s="1" t="s">
        <v>106</v>
      </c>
      <c r="F573" s="1" t="s">
        <v>65</v>
      </c>
      <c r="G573" s="1" t="s">
        <v>16</v>
      </c>
      <c r="H573" s="1" t="s">
        <v>66</v>
      </c>
      <c r="I573" s="1" t="s">
        <v>60</v>
      </c>
      <c r="J573" s="1" t="s">
        <v>67</v>
      </c>
      <c r="K573" s="1" t="s">
        <v>105</v>
      </c>
      <c r="L573" s="3">
        <v>47249</v>
      </c>
      <c r="M573" s="3">
        <v>45423</v>
      </c>
      <c r="N573">
        <f>_xlfn.XLOOKUP(Data[[#This Row],[Status]],Compliance_Status[Status from OPMS],Compliance_Status[Status_Key],"")</f>
        <v>4</v>
      </c>
      <c r="O573">
        <f>_xlfn.XLOOKUP(Data[[#This Row],[Status]],Compliance_Status[Status from OPMS],Compliance_Status[Has Course booking],"")</f>
        <v>0</v>
      </c>
      <c r="P573" t="str">
        <f>_xlfn.XLOOKUP(Data[[#This Row],[StatusKey]],Status_Key[Status_Key],Status_Key[Name],"")</f>
        <v>In Date</v>
      </c>
    </row>
    <row r="574" spans="1:16" x14ac:dyDescent="0.25">
      <c r="A574" s="1">
        <v>149</v>
      </c>
      <c r="B574" s="1" t="s">
        <v>189</v>
      </c>
      <c r="C574" s="1" t="s">
        <v>190</v>
      </c>
      <c r="D574" s="1" t="s">
        <v>191</v>
      </c>
      <c r="E574" s="1" t="s">
        <v>107</v>
      </c>
      <c r="F574" s="1" t="s">
        <v>65</v>
      </c>
      <c r="G574" s="1" t="s">
        <v>16</v>
      </c>
      <c r="H574" s="1" t="s">
        <v>66</v>
      </c>
      <c r="I574" s="1" t="s">
        <v>60</v>
      </c>
      <c r="J574" s="1" t="s">
        <v>67</v>
      </c>
      <c r="K574" s="1" t="s">
        <v>105</v>
      </c>
      <c r="L574" s="3">
        <v>46518</v>
      </c>
      <c r="M574" s="3">
        <v>45423</v>
      </c>
      <c r="N574">
        <f>_xlfn.XLOOKUP(Data[[#This Row],[Status]],Compliance_Status[Status from OPMS],Compliance_Status[Status_Key],"")</f>
        <v>4</v>
      </c>
      <c r="O574">
        <f>_xlfn.XLOOKUP(Data[[#This Row],[Status]],Compliance_Status[Status from OPMS],Compliance_Status[Has Course booking],"")</f>
        <v>0</v>
      </c>
      <c r="P574" t="str">
        <f>_xlfn.XLOOKUP(Data[[#This Row],[StatusKey]],Status_Key[Status_Key],Status_Key[Name],"")</f>
        <v>In Date</v>
      </c>
    </row>
    <row r="575" spans="1:16" x14ac:dyDescent="0.25">
      <c r="A575" s="1">
        <v>149</v>
      </c>
      <c r="B575" s="1" t="s">
        <v>189</v>
      </c>
      <c r="C575" s="1" t="s">
        <v>190</v>
      </c>
      <c r="D575" s="1" t="s">
        <v>191</v>
      </c>
      <c r="E575" s="1" t="s">
        <v>108</v>
      </c>
      <c r="F575" s="1" t="s">
        <v>65</v>
      </c>
      <c r="G575" s="1" t="s">
        <v>24</v>
      </c>
      <c r="H575" s="1" t="s">
        <v>66</v>
      </c>
      <c r="I575" s="1" t="s">
        <v>60</v>
      </c>
      <c r="J575" s="1" t="s">
        <v>67</v>
      </c>
      <c r="K575" s="1" t="s">
        <v>105</v>
      </c>
      <c r="L575" s="3">
        <v>46308</v>
      </c>
      <c r="M575" s="3">
        <v>46207</v>
      </c>
      <c r="N575">
        <f>_xlfn.XLOOKUP(Data[[#This Row],[Status]],Compliance_Status[Status from OPMS],Compliance_Status[Status_Key],"")</f>
        <v>3</v>
      </c>
      <c r="O575">
        <f>_xlfn.XLOOKUP(Data[[#This Row],[Status]],Compliance_Status[Status from OPMS],Compliance_Status[Has Course booking],"")</f>
        <v>0</v>
      </c>
      <c r="P575" t="str">
        <f>_xlfn.XLOOKUP(Data[[#This Row],[StatusKey]],Status_Key[Status_Key],Status_Key[Name],"")</f>
        <v>About to expire</v>
      </c>
    </row>
    <row r="576" spans="1:16" x14ac:dyDescent="0.25">
      <c r="A576" s="1">
        <v>149</v>
      </c>
      <c r="B576" s="1" t="s">
        <v>189</v>
      </c>
      <c r="C576" s="1" t="s">
        <v>190</v>
      </c>
      <c r="D576" s="1" t="s">
        <v>191</v>
      </c>
      <c r="E576" s="1" t="s">
        <v>109</v>
      </c>
      <c r="F576" s="1" t="s">
        <v>65</v>
      </c>
      <c r="G576" s="1" t="s">
        <v>16</v>
      </c>
      <c r="H576" s="1" t="s">
        <v>66</v>
      </c>
      <c r="I576" s="1" t="s">
        <v>60</v>
      </c>
      <c r="J576" s="1" t="s">
        <v>67</v>
      </c>
      <c r="K576" s="1" t="s">
        <v>105</v>
      </c>
      <c r="L576" s="3">
        <v>46811</v>
      </c>
      <c r="M576" s="3">
        <v>46081</v>
      </c>
      <c r="N576">
        <f>_xlfn.XLOOKUP(Data[[#This Row],[Status]],Compliance_Status[Status from OPMS],Compliance_Status[Status_Key],"")</f>
        <v>4</v>
      </c>
      <c r="O576">
        <f>_xlfn.XLOOKUP(Data[[#This Row],[Status]],Compliance_Status[Status from OPMS],Compliance_Status[Has Course booking],"")</f>
        <v>0</v>
      </c>
      <c r="P576" t="str">
        <f>_xlfn.XLOOKUP(Data[[#This Row],[StatusKey]],Status_Key[Status_Key],Status_Key[Name],"")</f>
        <v>In Date</v>
      </c>
    </row>
    <row r="577" spans="1:16" x14ac:dyDescent="0.25">
      <c r="A577" s="1">
        <v>149</v>
      </c>
      <c r="B577" s="1" t="s">
        <v>189</v>
      </c>
      <c r="C577" s="1" t="s">
        <v>190</v>
      </c>
      <c r="D577" s="1" t="s">
        <v>191</v>
      </c>
      <c r="E577" s="1" t="s">
        <v>110</v>
      </c>
      <c r="F577" s="1" t="s">
        <v>65</v>
      </c>
      <c r="G577" s="1" t="s">
        <v>16</v>
      </c>
      <c r="H577" s="1" t="s">
        <v>66</v>
      </c>
      <c r="I577" s="1" t="s">
        <v>60</v>
      </c>
      <c r="J577" s="1" t="s">
        <v>67</v>
      </c>
      <c r="K577" s="1" t="s">
        <v>105</v>
      </c>
      <c r="L577" s="3" t="s">
        <v>79</v>
      </c>
      <c r="M577" s="3">
        <v>45992</v>
      </c>
      <c r="N577">
        <f>_xlfn.XLOOKUP(Data[[#This Row],[Status]],Compliance_Status[Status from OPMS],Compliance_Status[Status_Key],"")</f>
        <v>4</v>
      </c>
      <c r="O577">
        <f>_xlfn.XLOOKUP(Data[[#This Row],[Status]],Compliance_Status[Status from OPMS],Compliance_Status[Has Course booking],"")</f>
        <v>0</v>
      </c>
      <c r="P577" t="str">
        <f>_xlfn.XLOOKUP(Data[[#This Row],[StatusKey]],Status_Key[Status_Key],Status_Key[Name],"")</f>
        <v>In Date</v>
      </c>
    </row>
    <row r="578" spans="1:16" x14ac:dyDescent="0.25">
      <c r="A578" s="1">
        <v>149</v>
      </c>
      <c r="B578" s="1" t="s">
        <v>189</v>
      </c>
      <c r="C578" s="1" t="s">
        <v>190</v>
      </c>
      <c r="D578" s="1" t="s">
        <v>191</v>
      </c>
      <c r="E578" s="1" t="s">
        <v>111</v>
      </c>
      <c r="F578" s="1" t="s">
        <v>65</v>
      </c>
      <c r="G578" s="1" t="s">
        <v>16</v>
      </c>
      <c r="H578" s="1" t="s">
        <v>66</v>
      </c>
      <c r="I578" s="1" t="s">
        <v>60</v>
      </c>
      <c r="J578" s="1" t="s">
        <v>67</v>
      </c>
      <c r="K578" s="1" t="s">
        <v>105</v>
      </c>
      <c r="L578" s="3">
        <v>46756</v>
      </c>
      <c r="M578" s="3">
        <v>46026</v>
      </c>
      <c r="N578">
        <f>_xlfn.XLOOKUP(Data[[#This Row],[Status]],Compliance_Status[Status from OPMS],Compliance_Status[Status_Key],"")</f>
        <v>4</v>
      </c>
      <c r="O578">
        <f>_xlfn.XLOOKUP(Data[[#This Row],[Status]],Compliance_Status[Status from OPMS],Compliance_Status[Has Course booking],"")</f>
        <v>0</v>
      </c>
      <c r="P578" t="str">
        <f>_xlfn.XLOOKUP(Data[[#This Row],[StatusKey]],Status_Key[Status_Key],Status_Key[Name],"")</f>
        <v>In Date</v>
      </c>
    </row>
    <row r="579" spans="1:16" x14ac:dyDescent="0.25">
      <c r="A579" s="1">
        <v>149</v>
      </c>
      <c r="B579" s="1" t="s">
        <v>189</v>
      </c>
      <c r="C579" s="1" t="s">
        <v>190</v>
      </c>
      <c r="D579" s="1" t="s">
        <v>191</v>
      </c>
      <c r="E579" s="1" t="s">
        <v>112</v>
      </c>
      <c r="F579" s="1" t="s">
        <v>65</v>
      </c>
      <c r="G579" s="1" t="s">
        <v>16</v>
      </c>
      <c r="H579" s="1" t="s">
        <v>66</v>
      </c>
      <c r="I579" s="1" t="s">
        <v>60</v>
      </c>
      <c r="J579" s="1" t="s">
        <v>67</v>
      </c>
      <c r="K579" s="1" t="s">
        <v>105</v>
      </c>
      <c r="L579" s="3">
        <v>46756</v>
      </c>
      <c r="M579" s="3">
        <v>46026</v>
      </c>
      <c r="N579">
        <f>_xlfn.XLOOKUP(Data[[#This Row],[Status]],Compliance_Status[Status from OPMS],Compliance_Status[Status_Key],"")</f>
        <v>4</v>
      </c>
      <c r="O579">
        <f>_xlfn.XLOOKUP(Data[[#This Row],[Status]],Compliance_Status[Status from OPMS],Compliance_Status[Has Course booking],"")</f>
        <v>0</v>
      </c>
      <c r="P579" t="str">
        <f>_xlfn.XLOOKUP(Data[[#This Row],[StatusKey]],Status_Key[Status_Key],Status_Key[Name],"")</f>
        <v>In Date</v>
      </c>
    </row>
    <row r="580" spans="1:16" x14ac:dyDescent="0.25">
      <c r="A580" s="1">
        <v>149</v>
      </c>
      <c r="B580" s="1" t="s">
        <v>189</v>
      </c>
      <c r="C580" s="1" t="s">
        <v>190</v>
      </c>
      <c r="D580" s="1" t="s">
        <v>191</v>
      </c>
      <c r="E580" s="1" t="s">
        <v>113</v>
      </c>
      <c r="F580" s="1" t="s">
        <v>65</v>
      </c>
      <c r="G580" s="1" t="s">
        <v>16</v>
      </c>
      <c r="H580" s="1" t="s">
        <v>66</v>
      </c>
      <c r="I580" s="1" t="s">
        <v>60</v>
      </c>
      <c r="J580" s="1" t="s">
        <v>67</v>
      </c>
      <c r="K580" s="1" t="s">
        <v>105</v>
      </c>
      <c r="L580" s="3">
        <v>46772</v>
      </c>
      <c r="M580" s="3">
        <v>46042</v>
      </c>
      <c r="N580">
        <f>_xlfn.XLOOKUP(Data[[#This Row],[Status]],Compliance_Status[Status from OPMS],Compliance_Status[Status_Key],"")</f>
        <v>4</v>
      </c>
      <c r="O580">
        <f>_xlfn.XLOOKUP(Data[[#This Row],[Status]],Compliance_Status[Status from OPMS],Compliance_Status[Has Course booking],"")</f>
        <v>0</v>
      </c>
      <c r="P580" t="str">
        <f>_xlfn.XLOOKUP(Data[[#This Row],[StatusKey]],Status_Key[Status_Key],Status_Key[Name],"")</f>
        <v>In Date</v>
      </c>
    </row>
    <row r="581" spans="1:16" x14ac:dyDescent="0.25">
      <c r="A581" s="1">
        <v>155</v>
      </c>
      <c r="B581" s="1" t="s">
        <v>192</v>
      </c>
      <c r="C581" s="1" t="s">
        <v>193</v>
      </c>
      <c r="D581" s="1" t="s">
        <v>194</v>
      </c>
      <c r="E581" s="1" t="s">
        <v>64</v>
      </c>
      <c r="F581" s="1"/>
      <c r="G581" s="1" t="s">
        <v>24</v>
      </c>
      <c r="H581" s="1" t="s">
        <v>120</v>
      </c>
      <c r="I581" s="1" t="s">
        <v>60</v>
      </c>
      <c r="J581" s="1" t="s">
        <v>67</v>
      </c>
      <c r="K581" s="1" t="s">
        <v>68</v>
      </c>
      <c r="L581" s="3">
        <v>46326</v>
      </c>
      <c r="M581" s="3">
        <v>45223</v>
      </c>
      <c r="N581">
        <f>_xlfn.XLOOKUP(Data[[#This Row],[Status]],Compliance_Status[Status from OPMS],Compliance_Status[Status_Key],"")</f>
        <v>3</v>
      </c>
      <c r="O581">
        <f>_xlfn.XLOOKUP(Data[[#This Row],[Status]],Compliance_Status[Status from OPMS],Compliance_Status[Has Course booking],"")</f>
        <v>0</v>
      </c>
      <c r="P581" t="str">
        <f>_xlfn.XLOOKUP(Data[[#This Row],[StatusKey]],Status_Key[Status_Key],Status_Key[Name],"")</f>
        <v>About to expire</v>
      </c>
    </row>
    <row r="582" spans="1:16" x14ac:dyDescent="0.25">
      <c r="A582" s="1">
        <v>155</v>
      </c>
      <c r="B582" s="1" t="s">
        <v>192</v>
      </c>
      <c r="C582" s="1" t="s">
        <v>193</v>
      </c>
      <c r="D582" s="1" t="s">
        <v>194</v>
      </c>
      <c r="E582" s="1" t="s">
        <v>121</v>
      </c>
      <c r="F582" s="1" t="s">
        <v>65</v>
      </c>
      <c r="G582" s="1" t="s">
        <v>24</v>
      </c>
      <c r="H582" s="1" t="s">
        <v>120</v>
      </c>
      <c r="I582" s="1" t="s">
        <v>60</v>
      </c>
      <c r="J582" s="1"/>
      <c r="K582" s="1" t="s">
        <v>68</v>
      </c>
      <c r="L582" s="3">
        <v>46326</v>
      </c>
      <c r="M582" s="3">
        <v>45223</v>
      </c>
      <c r="N582">
        <f>_xlfn.XLOOKUP(Data[[#This Row],[Status]],Compliance_Status[Status from OPMS],Compliance_Status[Status_Key],"")</f>
        <v>3</v>
      </c>
      <c r="O582">
        <f>_xlfn.XLOOKUP(Data[[#This Row],[Status]],Compliance_Status[Status from OPMS],Compliance_Status[Has Course booking],"")</f>
        <v>0</v>
      </c>
      <c r="P582" t="str">
        <f>_xlfn.XLOOKUP(Data[[#This Row],[StatusKey]],Status_Key[Status_Key],Status_Key[Name],"")</f>
        <v>About to expire</v>
      </c>
    </row>
    <row r="583" spans="1:16" x14ac:dyDescent="0.25">
      <c r="A583" s="1">
        <v>155</v>
      </c>
      <c r="B583" s="1" t="s">
        <v>192</v>
      </c>
      <c r="C583" s="1" t="s">
        <v>193</v>
      </c>
      <c r="D583" s="1" t="s">
        <v>194</v>
      </c>
      <c r="E583" s="1" t="s">
        <v>69</v>
      </c>
      <c r="F583" s="1" t="s">
        <v>65</v>
      </c>
      <c r="G583" s="1" t="s">
        <v>16</v>
      </c>
      <c r="H583" s="1" t="s">
        <v>120</v>
      </c>
      <c r="I583" s="1" t="s">
        <v>60</v>
      </c>
      <c r="J583" s="1"/>
      <c r="K583" s="1" t="s">
        <v>68</v>
      </c>
      <c r="L583" s="3">
        <v>46326</v>
      </c>
      <c r="M583" s="3">
        <v>45223</v>
      </c>
      <c r="N583">
        <f>_xlfn.XLOOKUP(Data[[#This Row],[Status]],Compliance_Status[Status from OPMS],Compliance_Status[Status_Key],"")</f>
        <v>4</v>
      </c>
      <c r="O583">
        <f>_xlfn.XLOOKUP(Data[[#This Row],[Status]],Compliance_Status[Status from OPMS],Compliance_Status[Has Course booking],"")</f>
        <v>0</v>
      </c>
      <c r="P583" t="str">
        <f>_xlfn.XLOOKUP(Data[[#This Row],[StatusKey]],Status_Key[Status_Key],Status_Key[Name],"")</f>
        <v>In Date</v>
      </c>
    </row>
    <row r="584" spans="1:16" x14ac:dyDescent="0.25">
      <c r="A584" s="1">
        <v>155</v>
      </c>
      <c r="B584" s="1" t="s">
        <v>192</v>
      </c>
      <c r="C584" s="1" t="s">
        <v>193</v>
      </c>
      <c r="D584" s="1" t="s">
        <v>194</v>
      </c>
      <c r="E584" s="1" t="s">
        <v>70</v>
      </c>
      <c r="F584" s="1" t="s">
        <v>65</v>
      </c>
      <c r="G584" s="1" t="s">
        <v>24</v>
      </c>
      <c r="H584" s="1" t="s">
        <v>120</v>
      </c>
      <c r="I584" s="1" t="s">
        <v>60</v>
      </c>
      <c r="J584" s="1" t="s">
        <v>67</v>
      </c>
      <c r="K584" s="1" t="s">
        <v>68</v>
      </c>
      <c r="L584" s="3">
        <v>46326</v>
      </c>
      <c r="M584" s="3">
        <v>45209</v>
      </c>
      <c r="N584">
        <f>_xlfn.XLOOKUP(Data[[#This Row],[Status]],Compliance_Status[Status from OPMS],Compliance_Status[Status_Key],"")</f>
        <v>3</v>
      </c>
      <c r="O584">
        <f>_xlfn.XLOOKUP(Data[[#This Row],[Status]],Compliance_Status[Status from OPMS],Compliance_Status[Has Course booking],"")</f>
        <v>0</v>
      </c>
      <c r="P584" t="str">
        <f>_xlfn.XLOOKUP(Data[[#This Row],[StatusKey]],Status_Key[Status_Key],Status_Key[Name],"")</f>
        <v>About to expire</v>
      </c>
    </row>
    <row r="585" spans="1:16" x14ac:dyDescent="0.25">
      <c r="A585" s="1">
        <v>155</v>
      </c>
      <c r="B585" s="1" t="s">
        <v>192</v>
      </c>
      <c r="C585" s="1" t="s">
        <v>193</v>
      </c>
      <c r="D585" s="1" t="s">
        <v>194</v>
      </c>
      <c r="E585" s="1" t="s">
        <v>71</v>
      </c>
      <c r="F585" s="1" t="s">
        <v>72</v>
      </c>
      <c r="G585" s="1" t="s">
        <v>16</v>
      </c>
      <c r="H585" s="1" t="s">
        <v>120</v>
      </c>
      <c r="I585" s="1" t="s">
        <v>60</v>
      </c>
      <c r="J585" s="1"/>
      <c r="K585" s="1" t="s">
        <v>68</v>
      </c>
      <c r="L585" s="3">
        <v>47185</v>
      </c>
      <c r="M585" s="3">
        <v>45359</v>
      </c>
      <c r="N585">
        <f>_xlfn.XLOOKUP(Data[[#This Row],[Status]],Compliance_Status[Status from OPMS],Compliance_Status[Status_Key],"")</f>
        <v>4</v>
      </c>
      <c r="O585">
        <f>_xlfn.XLOOKUP(Data[[#This Row],[Status]],Compliance_Status[Status from OPMS],Compliance_Status[Has Course booking],"")</f>
        <v>0</v>
      </c>
      <c r="P585" t="str">
        <f>_xlfn.XLOOKUP(Data[[#This Row],[StatusKey]],Status_Key[Status_Key],Status_Key[Name],"")</f>
        <v>In Date</v>
      </c>
    </row>
    <row r="586" spans="1:16" x14ac:dyDescent="0.25">
      <c r="A586" s="1">
        <v>155</v>
      </c>
      <c r="B586" s="1" t="s">
        <v>192</v>
      </c>
      <c r="C586" s="1" t="s">
        <v>193</v>
      </c>
      <c r="D586" s="1" t="s">
        <v>194</v>
      </c>
      <c r="E586" s="1" t="s">
        <v>73</v>
      </c>
      <c r="F586" s="1" t="s">
        <v>65</v>
      </c>
      <c r="G586" s="1" t="s">
        <v>16</v>
      </c>
      <c r="H586" s="1" t="s">
        <v>120</v>
      </c>
      <c r="I586" s="1" t="s">
        <v>60</v>
      </c>
      <c r="J586" s="1" t="s">
        <v>67</v>
      </c>
      <c r="K586" s="1" t="s">
        <v>68</v>
      </c>
      <c r="L586" s="3">
        <v>46673</v>
      </c>
      <c r="M586" s="3">
        <v>45943</v>
      </c>
      <c r="N586">
        <f>_xlfn.XLOOKUP(Data[[#This Row],[Status]],Compliance_Status[Status from OPMS],Compliance_Status[Status_Key],"")</f>
        <v>4</v>
      </c>
      <c r="O586">
        <f>_xlfn.XLOOKUP(Data[[#This Row],[Status]],Compliance_Status[Status from OPMS],Compliance_Status[Has Course booking],"")</f>
        <v>0</v>
      </c>
      <c r="P586" t="str">
        <f>_xlfn.XLOOKUP(Data[[#This Row],[StatusKey]],Status_Key[Status_Key],Status_Key[Name],"")</f>
        <v>In Date</v>
      </c>
    </row>
    <row r="587" spans="1:16" x14ac:dyDescent="0.25">
      <c r="A587" s="1">
        <v>155</v>
      </c>
      <c r="B587" s="1" t="s">
        <v>192</v>
      </c>
      <c r="C587" s="1" t="s">
        <v>193</v>
      </c>
      <c r="D587" s="1" t="s">
        <v>194</v>
      </c>
      <c r="E587" s="1" t="s">
        <v>74</v>
      </c>
      <c r="F587" s="1" t="s">
        <v>65</v>
      </c>
      <c r="G587" s="1" t="s">
        <v>16</v>
      </c>
      <c r="H587" s="1" t="s">
        <v>120</v>
      </c>
      <c r="I587" s="1" t="s">
        <v>60</v>
      </c>
      <c r="J587" s="1" t="s">
        <v>67</v>
      </c>
      <c r="K587" s="1" t="s">
        <v>68</v>
      </c>
      <c r="L587" s="3">
        <v>46403</v>
      </c>
      <c r="M587" s="3">
        <v>45307</v>
      </c>
      <c r="N587">
        <f>_xlfn.XLOOKUP(Data[[#This Row],[Status]],Compliance_Status[Status from OPMS],Compliance_Status[Status_Key],"")</f>
        <v>4</v>
      </c>
      <c r="O587">
        <f>_xlfn.XLOOKUP(Data[[#This Row],[Status]],Compliance_Status[Status from OPMS],Compliance_Status[Has Course booking],"")</f>
        <v>0</v>
      </c>
      <c r="P587" t="str">
        <f>_xlfn.XLOOKUP(Data[[#This Row],[StatusKey]],Status_Key[Status_Key],Status_Key[Name],"")</f>
        <v>In Date</v>
      </c>
    </row>
    <row r="588" spans="1:16" x14ac:dyDescent="0.25">
      <c r="A588" s="1">
        <v>155</v>
      </c>
      <c r="B588" s="1" t="s">
        <v>192</v>
      </c>
      <c r="C588" s="1" t="s">
        <v>193</v>
      </c>
      <c r="D588" s="1" t="s">
        <v>194</v>
      </c>
      <c r="E588" s="1" t="s">
        <v>75</v>
      </c>
      <c r="F588" s="1" t="s">
        <v>72</v>
      </c>
      <c r="G588" s="1" t="s">
        <v>24</v>
      </c>
      <c r="H588" s="1" t="s">
        <v>120</v>
      </c>
      <c r="I588" s="1" t="s">
        <v>60</v>
      </c>
      <c r="J588" s="1" t="s">
        <v>67</v>
      </c>
      <c r="K588" s="1" t="s">
        <v>68</v>
      </c>
      <c r="L588" s="3">
        <v>46430</v>
      </c>
      <c r="M588" s="3">
        <v>46065</v>
      </c>
      <c r="N588">
        <f>_xlfn.XLOOKUP(Data[[#This Row],[Status]],Compliance_Status[Status from OPMS],Compliance_Status[Status_Key],"")</f>
        <v>3</v>
      </c>
      <c r="O588">
        <f>_xlfn.XLOOKUP(Data[[#This Row],[Status]],Compliance_Status[Status from OPMS],Compliance_Status[Has Course booking],"")</f>
        <v>0</v>
      </c>
      <c r="P588" t="str">
        <f>_xlfn.XLOOKUP(Data[[#This Row],[StatusKey]],Status_Key[Status_Key],Status_Key[Name],"")</f>
        <v>About to expire</v>
      </c>
    </row>
    <row r="589" spans="1:16" x14ac:dyDescent="0.25">
      <c r="A589" s="1">
        <v>155</v>
      </c>
      <c r="B589" s="1" t="s">
        <v>192</v>
      </c>
      <c r="C589" s="1" t="s">
        <v>193</v>
      </c>
      <c r="D589" s="1" t="s">
        <v>194</v>
      </c>
      <c r="E589" s="1" t="s">
        <v>76</v>
      </c>
      <c r="F589" s="1" t="s">
        <v>65</v>
      </c>
      <c r="G589" s="1" t="s">
        <v>16</v>
      </c>
      <c r="H589" s="1" t="s">
        <v>120</v>
      </c>
      <c r="I589" s="1" t="s">
        <v>60</v>
      </c>
      <c r="J589" s="1" t="s">
        <v>67</v>
      </c>
      <c r="K589" s="1" t="s">
        <v>77</v>
      </c>
      <c r="L589" s="3">
        <v>47118</v>
      </c>
      <c r="M589" s="3">
        <v>45657</v>
      </c>
      <c r="N589">
        <f>_xlfn.XLOOKUP(Data[[#This Row],[Status]],Compliance_Status[Status from OPMS],Compliance_Status[Status_Key],"")</f>
        <v>4</v>
      </c>
      <c r="O589">
        <f>_xlfn.XLOOKUP(Data[[#This Row],[Status]],Compliance_Status[Status from OPMS],Compliance_Status[Has Course booking],"")</f>
        <v>0</v>
      </c>
      <c r="P589" t="str">
        <f>_xlfn.XLOOKUP(Data[[#This Row],[StatusKey]],Status_Key[Status_Key],Status_Key[Name],"")</f>
        <v>In Date</v>
      </c>
    </row>
    <row r="590" spans="1:16" x14ac:dyDescent="0.25">
      <c r="A590" s="1">
        <v>155</v>
      </c>
      <c r="B590" s="1" t="s">
        <v>192</v>
      </c>
      <c r="C590" s="1" t="s">
        <v>193</v>
      </c>
      <c r="D590" s="1" t="s">
        <v>194</v>
      </c>
      <c r="E590" s="1" t="s">
        <v>78</v>
      </c>
      <c r="F590" s="1" t="s">
        <v>65</v>
      </c>
      <c r="G590" s="1" t="s">
        <v>16</v>
      </c>
      <c r="H590" s="1" t="s">
        <v>120</v>
      </c>
      <c r="I590" s="1" t="s">
        <v>60</v>
      </c>
      <c r="J590" s="1" t="s">
        <v>67</v>
      </c>
      <c r="K590" s="1" t="s">
        <v>77</v>
      </c>
      <c r="L590" s="3" t="s">
        <v>79</v>
      </c>
      <c r="M590" s="3">
        <v>45368</v>
      </c>
      <c r="N590">
        <f>_xlfn.XLOOKUP(Data[[#This Row],[Status]],Compliance_Status[Status from OPMS],Compliance_Status[Status_Key],"")</f>
        <v>4</v>
      </c>
      <c r="O590">
        <f>_xlfn.XLOOKUP(Data[[#This Row],[Status]],Compliance_Status[Status from OPMS],Compliance_Status[Has Course booking],"")</f>
        <v>0</v>
      </c>
      <c r="P590" t="str">
        <f>_xlfn.XLOOKUP(Data[[#This Row],[StatusKey]],Status_Key[Status_Key],Status_Key[Name],"")</f>
        <v>In Date</v>
      </c>
    </row>
    <row r="591" spans="1:16" x14ac:dyDescent="0.25">
      <c r="A591" s="1">
        <v>155</v>
      </c>
      <c r="B591" s="1" t="s">
        <v>192</v>
      </c>
      <c r="C591" s="1" t="s">
        <v>193</v>
      </c>
      <c r="D591" s="1" t="s">
        <v>194</v>
      </c>
      <c r="E591" s="1" t="s">
        <v>80</v>
      </c>
      <c r="F591" s="1" t="s">
        <v>65</v>
      </c>
      <c r="G591" s="1" t="s">
        <v>16</v>
      </c>
      <c r="H591" s="1" t="s">
        <v>120</v>
      </c>
      <c r="I591" s="1" t="s">
        <v>60</v>
      </c>
      <c r="J591" s="1" t="s">
        <v>67</v>
      </c>
      <c r="K591" s="1" t="s">
        <v>77</v>
      </c>
      <c r="L591" s="3" t="s">
        <v>79</v>
      </c>
      <c r="M591" s="3">
        <v>45779</v>
      </c>
      <c r="N591">
        <f>_xlfn.XLOOKUP(Data[[#This Row],[Status]],Compliance_Status[Status from OPMS],Compliance_Status[Status_Key],"")</f>
        <v>4</v>
      </c>
      <c r="O591">
        <f>_xlfn.XLOOKUP(Data[[#This Row],[Status]],Compliance_Status[Status from OPMS],Compliance_Status[Has Course booking],"")</f>
        <v>0</v>
      </c>
      <c r="P591" t="str">
        <f>_xlfn.XLOOKUP(Data[[#This Row],[StatusKey]],Status_Key[Status_Key],Status_Key[Name],"")</f>
        <v>In Date</v>
      </c>
    </row>
    <row r="592" spans="1:16" x14ac:dyDescent="0.25">
      <c r="A592" s="1">
        <v>155</v>
      </c>
      <c r="B592" s="1" t="s">
        <v>192</v>
      </c>
      <c r="C592" s="1" t="s">
        <v>193</v>
      </c>
      <c r="D592" s="1" t="s">
        <v>194</v>
      </c>
      <c r="E592" s="1" t="s">
        <v>81</v>
      </c>
      <c r="F592" s="1" t="s">
        <v>65</v>
      </c>
      <c r="G592" s="1" t="s">
        <v>16</v>
      </c>
      <c r="H592" s="1" t="s">
        <v>120</v>
      </c>
      <c r="I592" s="1" t="s">
        <v>60</v>
      </c>
      <c r="J592" s="1" t="s">
        <v>67</v>
      </c>
      <c r="K592" s="1" t="s">
        <v>77</v>
      </c>
      <c r="L592" s="3">
        <v>46770</v>
      </c>
      <c r="M592" s="3">
        <v>46040</v>
      </c>
      <c r="N592">
        <f>_xlfn.XLOOKUP(Data[[#This Row],[Status]],Compliance_Status[Status from OPMS],Compliance_Status[Status_Key],"")</f>
        <v>4</v>
      </c>
      <c r="O592">
        <f>_xlfn.XLOOKUP(Data[[#This Row],[Status]],Compliance_Status[Status from OPMS],Compliance_Status[Has Course booking],"")</f>
        <v>0</v>
      </c>
      <c r="P592" t="str">
        <f>_xlfn.XLOOKUP(Data[[#This Row],[StatusKey]],Status_Key[Status_Key],Status_Key[Name],"")</f>
        <v>In Date</v>
      </c>
    </row>
    <row r="593" spans="1:16" x14ac:dyDescent="0.25">
      <c r="A593" s="1">
        <v>155</v>
      </c>
      <c r="B593" s="1" t="s">
        <v>192</v>
      </c>
      <c r="C593" s="1" t="s">
        <v>193</v>
      </c>
      <c r="D593" s="1" t="s">
        <v>194</v>
      </c>
      <c r="E593" s="1" t="s">
        <v>82</v>
      </c>
      <c r="F593" s="1" t="s">
        <v>65</v>
      </c>
      <c r="G593" s="1" t="s">
        <v>16</v>
      </c>
      <c r="H593" s="1" t="s">
        <v>120</v>
      </c>
      <c r="I593" s="1" t="s">
        <v>60</v>
      </c>
      <c r="J593" s="1" t="s">
        <v>67</v>
      </c>
      <c r="K593" s="1" t="s">
        <v>83</v>
      </c>
      <c r="L593" s="3">
        <v>46764</v>
      </c>
      <c r="M593" s="3">
        <v>46034</v>
      </c>
      <c r="N593">
        <f>_xlfn.XLOOKUP(Data[[#This Row],[Status]],Compliance_Status[Status from OPMS],Compliance_Status[Status_Key],"")</f>
        <v>4</v>
      </c>
      <c r="O593">
        <f>_xlfn.XLOOKUP(Data[[#This Row],[Status]],Compliance_Status[Status from OPMS],Compliance_Status[Has Course booking],"")</f>
        <v>0</v>
      </c>
      <c r="P593" t="str">
        <f>_xlfn.XLOOKUP(Data[[#This Row],[StatusKey]],Status_Key[Status_Key],Status_Key[Name],"")</f>
        <v>In Date</v>
      </c>
    </row>
    <row r="594" spans="1:16" x14ac:dyDescent="0.25">
      <c r="A594" s="1">
        <v>155</v>
      </c>
      <c r="B594" s="1" t="s">
        <v>192</v>
      </c>
      <c r="C594" s="1" t="s">
        <v>193</v>
      </c>
      <c r="D594" s="1" t="s">
        <v>194</v>
      </c>
      <c r="E594" s="1" t="s">
        <v>84</v>
      </c>
      <c r="F594" s="1" t="s">
        <v>65</v>
      </c>
      <c r="G594" s="1" t="s">
        <v>16</v>
      </c>
      <c r="H594" s="1" t="s">
        <v>120</v>
      </c>
      <c r="I594" s="1" t="s">
        <v>60</v>
      </c>
      <c r="J594" s="1" t="s">
        <v>67</v>
      </c>
      <c r="K594" s="1" t="s">
        <v>83</v>
      </c>
      <c r="L594" s="3">
        <v>46713</v>
      </c>
      <c r="M594" s="3">
        <v>45983</v>
      </c>
      <c r="N594">
        <f>_xlfn.XLOOKUP(Data[[#This Row],[Status]],Compliance_Status[Status from OPMS],Compliance_Status[Status_Key],"")</f>
        <v>4</v>
      </c>
      <c r="O594">
        <f>_xlfn.XLOOKUP(Data[[#This Row],[Status]],Compliance_Status[Status from OPMS],Compliance_Status[Has Course booking],"")</f>
        <v>0</v>
      </c>
      <c r="P594" t="str">
        <f>_xlfn.XLOOKUP(Data[[#This Row],[StatusKey]],Status_Key[Status_Key],Status_Key[Name],"")</f>
        <v>In Date</v>
      </c>
    </row>
    <row r="595" spans="1:16" x14ac:dyDescent="0.25">
      <c r="A595" s="1">
        <v>155</v>
      </c>
      <c r="B595" s="1" t="s">
        <v>192</v>
      </c>
      <c r="C595" s="1" t="s">
        <v>193</v>
      </c>
      <c r="D595" s="1" t="s">
        <v>194</v>
      </c>
      <c r="E595" s="1" t="s">
        <v>85</v>
      </c>
      <c r="F595" s="1"/>
      <c r="G595" s="1" t="s">
        <v>16</v>
      </c>
      <c r="H595" s="1" t="s">
        <v>120</v>
      </c>
      <c r="I595" s="1" t="s">
        <v>60</v>
      </c>
      <c r="J595" s="1" t="s">
        <v>67</v>
      </c>
      <c r="K595" s="1" t="s">
        <v>86</v>
      </c>
      <c r="L595" s="3" t="s">
        <v>79</v>
      </c>
      <c r="M595" s="3">
        <v>46096</v>
      </c>
      <c r="N595">
        <f>_xlfn.XLOOKUP(Data[[#This Row],[Status]],Compliance_Status[Status from OPMS],Compliance_Status[Status_Key],"")</f>
        <v>4</v>
      </c>
      <c r="O595">
        <f>_xlfn.XLOOKUP(Data[[#This Row],[Status]],Compliance_Status[Status from OPMS],Compliance_Status[Has Course booking],"")</f>
        <v>0</v>
      </c>
      <c r="P595" t="str">
        <f>_xlfn.XLOOKUP(Data[[#This Row],[StatusKey]],Status_Key[Status_Key],Status_Key[Name],"")</f>
        <v>In Date</v>
      </c>
    </row>
    <row r="596" spans="1:16" x14ac:dyDescent="0.25">
      <c r="A596" s="1">
        <v>155</v>
      </c>
      <c r="B596" s="1" t="s">
        <v>192</v>
      </c>
      <c r="C596" s="1" t="s">
        <v>193</v>
      </c>
      <c r="D596" s="1" t="s">
        <v>194</v>
      </c>
      <c r="E596" s="1" t="s">
        <v>91</v>
      </c>
      <c r="F596" s="1" t="s">
        <v>65</v>
      </c>
      <c r="G596" s="1" t="s">
        <v>16</v>
      </c>
      <c r="H596" s="1" t="s">
        <v>120</v>
      </c>
      <c r="I596" s="1" t="s">
        <v>60</v>
      </c>
      <c r="J596" s="1" t="s">
        <v>67</v>
      </c>
      <c r="K596" s="1" t="s">
        <v>86</v>
      </c>
      <c r="L596" s="3" t="s">
        <v>79</v>
      </c>
      <c r="M596" s="3">
        <v>45921</v>
      </c>
      <c r="N596">
        <f>_xlfn.XLOOKUP(Data[[#This Row],[Status]],Compliance_Status[Status from OPMS],Compliance_Status[Status_Key],"")</f>
        <v>4</v>
      </c>
      <c r="O596">
        <f>_xlfn.XLOOKUP(Data[[#This Row],[Status]],Compliance_Status[Status from OPMS],Compliance_Status[Has Course booking],"")</f>
        <v>0</v>
      </c>
      <c r="P596" t="str">
        <f>_xlfn.XLOOKUP(Data[[#This Row],[StatusKey]],Status_Key[Status_Key],Status_Key[Name],"")</f>
        <v>In Date</v>
      </c>
    </row>
    <row r="597" spans="1:16" x14ac:dyDescent="0.25">
      <c r="A597" s="1">
        <v>155</v>
      </c>
      <c r="B597" s="1" t="s">
        <v>192</v>
      </c>
      <c r="C597" s="1" t="s">
        <v>193</v>
      </c>
      <c r="D597" s="1" t="s">
        <v>194</v>
      </c>
      <c r="E597" s="1" t="s">
        <v>93</v>
      </c>
      <c r="F597" s="1" t="s">
        <v>65</v>
      </c>
      <c r="G597" s="1" t="s">
        <v>16</v>
      </c>
      <c r="H597" s="1" t="s">
        <v>120</v>
      </c>
      <c r="I597" s="1" t="s">
        <v>60</v>
      </c>
      <c r="J597" s="1" t="s">
        <v>67</v>
      </c>
      <c r="K597" s="1" t="s">
        <v>94</v>
      </c>
      <c r="L597" s="3">
        <v>46649</v>
      </c>
      <c r="M597" s="3">
        <v>45919</v>
      </c>
      <c r="N597">
        <f>_xlfn.XLOOKUP(Data[[#This Row],[Status]],Compliance_Status[Status from OPMS],Compliance_Status[Status_Key],"")</f>
        <v>4</v>
      </c>
      <c r="O597">
        <f>_xlfn.XLOOKUP(Data[[#This Row],[Status]],Compliance_Status[Status from OPMS],Compliance_Status[Has Course booking],"")</f>
        <v>0</v>
      </c>
      <c r="P597" t="str">
        <f>_xlfn.XLOOKUP(Data[[#This Row],[StatusKey]],Status_Key[Status_Key],Status_Key[Name],"")</f>
        <v>In Date</v>
      </c>
    </row>
    <row r="598" spans="1:16" x14ac:dyDescent="0.25">
      <c r="A598" s="1">
        <v>155</v>
      </c>
      <c r="B598" s="1" t="s">
        <v>192</v>
      </c>
      <c r="C598" s="1" t="s">
        <v>193</v>
      </c>
      <c r="D598" s="1" t="s">
        <v>194</v>
      </c>
      <c r="E598" s="1" t="s">
        <v>95</v>
      </c>
      <c r="F598" s="1" t="s">
        <v>65</v>
      </c>
      <c r="G598" s="1" t="s">
        <v>16</v>
      </c>
      <c r="H598" s="1" t="s">
        <v>120</v>
      </c>
      <c r="I598" s="1" t="s">
        <v>60</v>
      </c>
      <c r="J598" s="1" t="s">
        <v>67</v>
      </c>
      <c r="K598" s="1" t="s">
        <v>94</v>
      </c>
      <c r="L598" s="3">
        <v>46647</v>
      </c>
      <c r="M598" s="3">
        <v>45917</v>
      </c>
      <c r="N598">
        <f>_xlfn.XLOOKUP(Data[[#This Row],[Status]],Compliance_Status[Status from OPMS],Compliance_Status[Status_Key],"")</f>
        <v>4</v>
      </c>
      <c r="O598">
        <f>_xlfn.XLOOKUP(Data[[#This Row],[Status]],Compliance_Status[Status from OPMS],Compliance_Status[Has Course booking],"")</f>
        <v>0</v>
      </c>
      <c r="P598" t="str">
        <f>_xlfn.XLOOKUP(Data[[#This Row],[StatusKey]],Status_Key[Status_Key],Status_Key[Name],"")</f>
        <v>In Date</v>
      </c>
    </row>
    <row r="599" spans="1:16" x14ac:dyDescent="0.25">
      <c r="A599" s="1">
        <v>155</v>
      </c>
      <c r="B599" s="1" t="s">
        <v>192</v>
      </c>
      <c r="C599" s="1" t="s">
        <v>193</v>
      </c>
      <c r="D599" s="1" t="s">
        <v>194</v>
      </c>
      <c r="E599" s="1" t="s">
        <v>96</v>
      </c>
      <c r="F599" s="1" t="s">
        <v>65</v>
      </c>
      <c r="G599" s="1" t="s">
        <v>16</v>
      </c>
      <c r="H599" s="1" t="s">
        <v>120</v>
      </c>
      <c r="I599" s="1" t="s">
        <v>60</v>
      </c>
      <c r="J599" s="1" t="s">
        <v>67</v>
      </c>
      <c r="K599" s="1" t="s">
        <v>94</v>
      </c>
      <c r="L599" s="3" t="s">
        <v>79</v>
      </c>
      <c r="M599" s="3">
        <v>45292</v>
      </c>
      <c r="N599">
        <f>_xlfn.XLOOKUP(Data[[#This Row],[Status]],Compliance_Status[Status from OPMS],Compliance_Status[Status_Key],"")</f>
        <v>4</v>
      </c>
      <c r="O599">
        <f>_xlfn.XLOOKUP(Data[[#This Row],[Status]],Compliance_Status[Status from OPMS],Compliance_Status[Has Course booking],"")</f>
        <v>0</v>
      </c>
      <c r="P599" t="str">
        <f>_xlfn.XLOOKUP(Data[[#This Row],[StatusKey]],Status_Key[Status_Key],Status_Key[Name],"")</f>
        <v>In Date</v>
      </c>
    </row>
    <row r="600" spans="1:16" x14ac:dyDescent="0.25">
      <c r="A600" s="1">
        <v>155</v>
      </c>
      <c r="B600" s="1" t="s">
        <v>192</v>
      </c>
      <c r="C600" s="1" t="s">
        <v>193</v>
      </c>
      <c r="D600" s="1" t="s">
        <v>194</v>
      </c>
      <c r="E600" s="1" t="s">
        <v>122</v>
      </c>
      <c r="F600" s="1"/>
      <c r="G600" s="1" t="s">
        <v>16</v>
      </c>
      <c r="H600" s="1" t="s">
        <v>120</v>
      </c>
      <c r="I600" s="1" t="s">
        <v>60</v>
      </c>
      <c r="J600" s="1" t="s">
        <v>67</v>
      </c>
      <c r="K600" s="1" t="s">
        <v>94</v>
      </c>
      <c r="L600" s="3" t="s">
        <v>79</v>
      </c>
      <c r="M600" s="3">
        <v>45597</v>
      </c>
      <c r="N600">
        <f>_xlfn.XLOOKUP(Data[[#This Row],[Status]],Compliance_Status[Status from OPMS],Compliance_Status[Status_Key],"")</f>
        <v>4</v>
      </c>
      <c r="O600">
        <f>_xlfn.XLOOKUP(Data[[#This Row],[Status]],Compliance_Status[Status from OPMS],Compliance_Status[Has Course booking],"")</f>
        <v>0</v>
      </c>
      <c r="P600" t="str">
        <f>_xlfn.XLOOKUP(Data[[#This Row],[StatusKey]],Status_Key[Status_Key],Status_Key[Name],"")</f>
        <v>In Date</v>
      </c>
    </row>
    <row r="601" spans="1:16" x14ac:dyDescent="0.25">
      <c r="A601" s="1">
        <v>155</v>
      </c>
      <c r="B601" s="1" t="s">
        <v>192</v>
      </c>
      <c r="C601" s="1" t="s">
        <v>193</v>
      </c>
      <c r="D601" s="1" t="s">
        <v>194</v>
      </c>
      <c r="E601" s="1" t="s">
        <v>124</v>
      </c>
      <c r="F601" s="1" t="s">
        <v>72</v>
      </c>
      <c r="G601" s="1" t="s">
        <v>18</v>
      </c>
      <c r="H601" s="1" t="s">
        <v>120</v>
      </c>
      <c r="I601" s="1" t="s">
        <v>60</v>
      </c>
      <c r="J601" s="1"/>
      <c r="K601" s="1" t="s">
        <v>125</v>
      </c>
      <c r="L601" s="3"/>
      <c r="M601" s="3"/>
      <c r="N601">
        <f>_xlfn.XLOOKUP(Data[[#This Row],[Status]],Compliance_Status[Status from OPMS],Compliance_Status[Status_Key],"")</f>
        <v>2</v>
      </c>
      <c r="O601">
        <f>_xlfn.XLOOKUP(Data[[#This Row],[Status]],Compliance_Status[Status from OPMS],Compliance_Status[Has Course booking],"")</f>
        <v>0</v>
      </c>
      <c r="P601" t="str">
        <f>_xlfn.XLOOKUP(Data[[#This Row],[StatusKey]],Status_Key[Status_Key],Status_Key[Name],"")</f>
        <v>Outstanding</v>
      </c>
    </row>
    <row r="602" spans="1:16" x14ac:dyDescent="0.25">
      <c r="A602" s="1">
        <v>155</v>
      </c>
      <c r="B602" s="1" t="s">
        <v>192</v>
      </c>
      <c r="C602" s="1" t="s">
        <v>193</v>
      </c>
      <c r="D602" s="1" t="s">
        <v>194</v>
      </c>
      <c r="E602" s="1" t="s">
        <v>97</v>
      </c>
      <c r="F602" s="1" t="s">
        <v>65</v>
      </c>
      <c r="G602" s="1" t="s">
        <v>16</v>
      </c>
      <c r="H602" s="1" t="s">
        <v>120</v>
      </c>
      <c r="I602" s="1" t="s">
        <v>60</v>
      </c>
      <c r="J602" s="1" t="s">
        <v>67</v>
      </c>
      <c r="K602" s="1" t="s">
        <v>98</v>
      </c>
      <c r="L602" s="3">
        <v>47221</v>
      </c>
      <c r="M602" s="3">
        <v>45395</v>
      </c>
      <c r="N602">
        <f>_xlfn.XLOOKUP(Data[[#This Row],[Status]],Compliance_Status[Status from OPMS],Compliance_Status[Status_Key],"")</f>
        <v>4</v>
      </c>
      <c r="O602">
        <f>_xlfn.XLOOKUP(Data[[#This Row],[Status]],Compliance_Status[Status from OPMS],Compliance_Status[Has Course booking],"")</f>
        <v>0</v>
      </c>
      <c r="P602" t="str">
        <f>_xlfn.XLOOKUP(Data[[#This Row],[StatusKey]],Status_Key[Status_Key],Status_Key[Name],"")</f>
        <v>In Date</v>
      </c>
    </row>
    <row r="603" spans="1:16" x14ac:dyDescent="0.25">
      <c r="A603" s="1">
        <v>155</v>
      </c>
      <c r="B603" s="1" t="s">
        <v>192</v>
      </c>
      <c r="C603" s="1" t="s">
        <v>193</v>
      </c>
      <c r="D603" s="1" t="s">
        <v>194</v>
      </c>
      <c r="E603" s="1" t="s">
        <v>101</v>
      </c>
      <c r="F603" s="1" t="s">
        <v>65</v>
      </c>
      <c r="G603" s="1" t="s">
        <v>16</v>
      </c>
      <c r="H603" s="1" t="s">
        <v>120</v>
      </c>
      <c r="I603" s="1" t="s">
        <v>60</v>
      </c>
      <c r="J603" s="1" t="s">
        <v>67</v>
      </c>
      <c r="K603" s="1" t="s">
        <v>102</v>
      </c>
      <c r="L603" s="3" t="s">
        <v>79</v>
      </c>
      <c r="M603" s="3">
        <v>45401</v>
      </c>
      <c r="N603">
        <f>_xlfn.XLOOKUP(Data[[#This Row],[Status]],Compliance_Status[Status from OPMS],Compliance_Status[Status_Key],"")</f>
        <v>4</v>
      </c>
      <c r="O603">
        <f>_xlfn.XLOOKUP(Data[[#This Row],[Status]],Compliance_Status[Status from OPMS],Compliance_Status[Has Course booking],"")</f>
        <v>0</v>
      </c>
      <c r="P603" t="str">
        <f>_xlfn.XLOOKUP(Data[[#This Row],[StatusKey]],Status_Key[Status_Key],Status_Key[Name],"")</f>
        <v>In Date</v>
      </c>
    </row>
    <row r="604" spans="1:16" x14ac:dyDescent="0.25">
      <c r="A604" s="1">
        <v>155</v>
      </c>
      <c r="B604" s="1" t="s">
        <v>192</v>
      </c>
      <c r="C604" s="1" t="s">
        <v>193</v>
      </c>
      <c r="D604" s="1" t="s">
        <v>194</v>
      </c>
      <c r="E604" s="1" t="s">
        <v>103</v>
      </c>
      <c r="F604" s="1" t="s">
        <v>65</v>
      </c>
      <c r="G604" s="1" t="s">
        <v>16</v>
      </c>
      <c r="H604" s="1" t="s">
        <v>120</v>
      </c>
      <c r="I604" s="1" t="s">
        <v>60</v>
      </c>
      <c r="J604" s="1" t="s">
        <v>67</v>
      </c>
      <c r="K604" s="1" t="s">
        <v>102</v>
      </c>
      <c r="L604" s="3">
        <v>46484</v>
      </c>
      <c r="M604" s="3">
        <v>45754</v>
      </c>
      <c r="N604">
        <f>_xlfn.XLOOKUP(Data[[#This Row],[Status]],Compliance_Status[Status from OPMS],Compliance_Status[Status_Key],"")</f>
        <v>4</v>
      </c>
      <c r="O604">
        <f>_xlfn.XLOOKUP(Data[[#This Row],[Status]],Compliance_Status[Status from OPMS],Compliance_Status[Has Course booking],"")</f>
        <v>0</v>
      </c>
      <c r="P604" t="str">
        <f>_xlfn.XLOOKUP(Data[[#This Row],[StatusKey]],Status_Key[Status_Key],Status_Key[Name],"")</f>
        <v>In Date</v>
      </c>
    </row>
    <row r="605" spans="1:16" x14ac:dyDescent="0.25">
      <c r="A605" s="1">
        <v>155</v>
      </c>
      <c r="B605" s="1" t="s">
        <v>192</v>
      </c>
      <c r="C605" s="1" t="s">
        <v>193</v>
      </c>
      <c r="D605" s="1" t="s">
        <v>194</v>
      </c>
      <c r="E605" s="1" t="s">
        <v>104</v>
      </c>
      <c r="F605" s="1" t="s">
        <v>65</v>
      </c>
      <c r="G605" s="1" t="s">
        <v>16</v>
      </c>
      <c r="H605" s="1" t="s">
        <v>120</v>
      </c>
      <c r="I605" s="1" t="s">
        <v>60</v>
      </c>
      <c r="J605" s="1" t="s">
        <v>67</v>
      </c>
      <c r="K605" s="1" t="s">
        <v>105</v>
      </c>
      <c r="L605" s="3">
        <v>46778</v>
      </c>
      <c r="M605" s="3">
        <v>46048</v>
      </c>
      <c r="N605">
        <f>_xlfn.XLOOKUP(Data[[#This Row],[Status]],Compliance_Status[Status from OPMS],Compliance_Status[Status_Key],"")</f>
        <v>4</v>
      </c>
      <c r="O605">
        <f>_xlfn.XLOOKUP(Data[[#This Row],[Status]],Compliance_Status[Status from OPMS],Compliance_Status[Has Course booking],"")</f>
        <v>0</v>
      </c>
      <c r="P605" t="str">
        <f>_xlfn.XLOOKUP(Data[[#This Row],[StatusKey]],Status_Key[Status_Key],Status_Key[Name],"")</f>
        <v>In Date</v>
      </c>
    </row>
    <row r="606" spans="1:16" x14ac:dyDescent="0.25">
      <c r="A606" s="1">
        <v>155</v>
      </c>
      <c r="B606" s="1" t="s">
        <v>192</v>
      </c>
      <c r="C606" s="1" t="s">
        <v>193</v>
      </c>
      <c r="D606" s="1" t="s">
        <v>194</v>
      </c>
      <c r="E606" s="1" t="s">
        <v>106</v>
      </c>
      <c r="F606" s="1" t="s">
        <v>65</v>
      </c>
      <c r="G606" s="1" t="s">
        <v>16</v>
      </c>
      <c r="H606" s="1" t="s">
        <v>120</v>
      </c>
      <c r="I606" s="1" t="s">
        <v>60</v>
      </c>
      <c r="J606" s="1" t="s">
        <v>67</v>
      </c>
      <c r="K606" s="1" t="s">
        <v>105</v>
      </c>
      <c r="L606" s="3">
        <v>47221</v>
      </c>
      <c r="M606" s="3">
        <v>45395</v>
      </c>
      <c r="N606">
        <f>_xlfn.XLOOKUP(Data[[#This Row],[Status]],Compliance_Status[Status from OPMS],Compliance_Status[Status_Key],"")</f>
        <v>4</v>
      </c>
      <c r="O606">
        <f>_xlfn.XLOOKUP(Data[[#This Row],[Status]],Compliance_Status[Status from OPMS],Compliance_Status[Has Course booking],"")</f>
        <v>0</v>
      </c>
      <c r="P606" t="str">
        <f>_xlfn.XLOOKUP(Data[[#This Row],[StatusKey]],Status_Key[Status_Key],Status_Key[Name],"")</f>
        <v>In Date</v>
      </c>
    </row>
    <row r="607" spans="1:16" x14ac:dyDescent="0.25">
      <c r="A607" s="1">
        <v>155</v>
      </c>
      <c r="B607" s="1" t="s">
        <v>192</v>
      </c>
      <c r="C607" s="1" t="s">
        <v>193</v>
      </c>
      <c r="D607" s="1" t="s">
        <v>194</v>
      </c>
      <c r="E607" s="1" t="s">
        <v>107</v>
      </c>
      <c r="F607" s="1" t="s">
        <v>65</v>
      </c>
      <c r="G607" s="1" t="s">
        <v>16</v>
      </c>
      <c r="H607" s="1" t="s">
        <v>120</v>
      </c>
      <c r="I607" s="1" t="s">
        <v>60</v>
      </c>
      <c r="J607" s="1" t="s">
        <v>67</v>
      </c>
      <c r="K607" s="1" t="s">
        <v>105</v>
      </c>
      <c r="L607" s="3">
        <v>46492</v>
      </c>
      <c r="M607" s="3">
        <v>45397</v>
      </c>
      <c r="N607">
        <f>_xlfn.XLOOKUP(Data[[#This Row],[Status]],Compliance_Status[Status from OPMS],Compliance_Status[Status_Key],"")</f>
        <v>4</v>
      </c>
      <c r="O607">
        <f>_xlfn.XLOOKUP(Data[[#This Row],[Status]],Compliance_Status[Status from OPMS],Compliance_Status[Has Course booking],"")</f>
        <v>0</v>
      </c>
      <c r="P607" t="str">
        <f>_xlfn.XLOOKUP(Data[[#This Row],[StatusKey]],Status_Key[Status_Key],Status_Key[Name],"")</f>
        <v>In Date</v>
      </c>
    </row>
    <row r="608" spans="1:16" x14ac:dyDescent="0.25">
      <c r="A608" s="1">
        <v>155</v>
      </c>
      <c r="B608" s="1" t="s">
        <v>192</v>
      </c>
      <c r="C608" s="1" t="s">
        <v>193</v>
      </c>
      <c r="D608" s="1" t="s">
        <v>194</v>
      </c>
      <c r="E608" s="1" t="s">
        <v>108</v>
      </c>
      <c r="F608" s="1" t="s">
        <v>65</v>
      </c>
      <c r="G608" s="1" t="s">
        <v>16</v>
      </c>
      <c r="H608" s="1" t="s">
        <v>120</v>
      </c>
      <c r="I608" s="1" t="s">
        <v>60</v>
      </c>
      <c r="J608" s="1" t="s">
        <v>67</v>
      </c>
      <c r="K608" s="1" t="s">
        <v>105</v>
      </c>
      <c r="L608" s="3">
        <v>47341</v>
      </c>
      <c r="M608" s="3">
        <v>46245</v>
      </c>
      <c r="N608">
        <f>_xlfn.XLOOKUP(Data[[#This Row],[Status]],Compliance_Status[Status from OPMS],Compliance_Status[Status_Key],"")</f>
        <v>4</v>
      </c>
      <c r="O608">
        <f>_xlfn.XLOOKUP(Data[[#This Row],[Status]],Compliance_Status[Status from OPMS],Compliance_Status[Has Course booking],"")</f>
        <v>0</v>
      </c>
      <c r="P608" t="str">
        <f>_xlfn.XLOOKUP(Data[[#This Row],[StatusKey]],Status_Key[Status_Key],Status_Key[Name],"")</f>
        <v>In Date</v>
      </c>
    </row>
    <row r="609" spans="1:16" x14ac:dyDescent="0.25">
      <c r="A609" s="1">
        <v>155</v>
      </c>
      <c r="B609" s="1" t="s">
        <v>192</v>
      </c>
      <c r="C609" s="1" t="s">
        <v>193</v>
      </c>
      <c r="D609" s="1" t="s">
        <v>194</v>
      </c>
      <c r="E609" s="1" t="s">
        <v>109</v>
      </c>
      <c r="F609" s="1" t="s">
        <v>65</v>
      </c>
      <c r="G609" s="1" t="s">
        <v>16</v>
      </c>
      <c r="H609" s="1" t="s">
        <v>120</v>
      </c>
      <c r="I609" s="1" t="s">
        <v>60</v>
      </c>
      <c r="J609" s="1" t="s">
        <v>67</v>
      </c>
      <c r="K609" s="1" t="s">
        <v>105</v>
      </c>
      <c r="L609" s="3">
        <v>46778</v>
      </c>
      <c r="M609" s="3">
        <v>46048</v>
      </c>
      <c r="N609">
        <f>_xlfn.XLOOKUP(Data[[#This Row],[Status]],Compliance_Status[Status from OPMS],Compliance_Status[Status_Key],"")</f>
        <v>4</v>
      </c>
      <c r="O609">
        <f>_xlfn.XLOOKUP(Data[[#This Row],[Status]],Compliance_Status[Status from OPMS],Compliance_Status[Has Course booking],"")</f>
        <v>0</v>
      </c>
      <c r="P609" t="str">
        <f>_xlfn.XLOOKUP(Data[[#This Row],[StatusKey]],Status_Key[Status_Key],Status_Key[Name],"")</f>
        <v>In Date</v>
      </c>
    </row>
    <row r="610" spans="1:16" x14ac:dyDescent="0.25">
      <c r="A610" s="1">
        <v>155</v>
      </c>
      <c r="B610" s="1" t="s">
        <v>192</v>
      </c>
      <c r="C610" s="1" t="s">
        <v>193</v>
      </c>
      <c r="D610" s="1" t="s">
        <v>194</v>
      </c>
      <c r="E610" s="1" t="s">
        <v>110</v>
      </c>
      <c r="F610" s="1" t="s">
        <v>65</v>
      </c>
      <c r="G610" s="1" t="s">
        <v>16</v>
      </c>
      <c r="H610" s="1" t="s">
        <v>120</v>
      </c>
      <c r="I610" s="1" t="s">
        <v>60</v>
      </c>
      <c r="J610" s="1" t="s">
        <v>67</v>
      </c>
      <c r="K610" s="1" t="s">
        <v>105</v>
      </c>
      <c r="L610" s="3" t="s">
        <v>79</v>
      </c>
      <c r="M610" s="3">
        <v>45397</v>
      </c>
      <c r="N610">
        <f>_xlfn.XLOOKUP(Data[[#This Row],[Status]],Compliance_Status[Status from OPMS],Compliance_Status[Status_Key],"")</f>
        <v>4</v>
      </c>
      <c r="O610">
        <f>_xlfn.XLOOKUP(Data[[#This Row],[Status]],Compliance_Status[Status from OPMS],Compliance_Status[Has Course booking],"")</f>
        <v>0</v>
      </c>
      <c r="P610" t="str">
        <f>_xlfn.XLOOKUP(Data[[#This Row],[StatusKey]],Status_Key[Status_Key],Status_Key[Name],"")</f>
        <v>In Date</v>
      </c>
    </row>
    <row r="611" spans="1:16" x14ac:dyDescent="0.25">
      <c r="A611" s="1">
        <v>155</v>
      </c>
      <c r="B611" s="1" t="s">
        <v>192</v>
      </c>
      <c r="C611" s="1" t="s">
        <v>193</v>
      </c>
      <c r="D611" s="1" t="s">
        <v>194</v>
      </c>
      <c r="E611" s="1" t="s">
        <v>111</v>
      </c>
      <c r="F611" s="1" t="s">
        <v>65</v>
      </c>
      <c r="G611" s="1" t="s">
        <v>16</v>
      </c>
      <c r="H611" s="1" t="s">
        <v>120</v>
      </c>
      <c r="I611" s="1" t="s">
        <v>60</v>
      </c>
      <c r="J611" s="1" t="s">
        <v>67</v>
      </c>
      <c r="K611" s="1" t="s">
        <v>105</v>
      </c>
      <c r="L611" s="3">
        <v>46769</v>
      </c>
      <c r="M611" s="3">
        <v>46039</v>
      </c>
      <c r="N611">
        <f>_xlfn.XLOOKUP(Data[[#This Row],[Status]],Compliance_Status[Status from OPMS],Compliance_Status[Status_Key],"")</f>
        <v>4</v>
      </c>
      <c r="O611">
        <f>_xlfn.XLOOKUP(Data[[#This Row],[Status]],Compliance_Status[Status from OPMS],Compliance_Status[Has Course booking],"")</f>
        <v>0</v>
      </c>
      <c r="P611" t="str">
        <f>_xlfn.XLOOKUP(Data[[#This Row],[StatusKey]],Status_Key[Status_Key],Status_Key[Name],"")</f>
        <v>In Date</v>
      </c>
    </row>
    <row r="612" spans="1:16" x14ac:dyDescent="0.25">
      <c r="A612" s="1">
        <v>155</v>
      </c>
      <c r="B612" s="1" t="s">
        <v>192</v>
      </c>
      <c r="C612" s="1" t="s">
        <v>193</v>
      </c>
      <c r="D612" s="1" t="s">
        <v>194</v>
      </c>
      <c r="E612" s="1" t="s">
        <v>112</v>
      </c>
      <c r="F612" s="1" t="s">
        <v>65</v>
      </c>
      <c r="G612" s="1" t="s">
        <v>16</v>
      </c>
      <c r="H612" s="1" t="s">
        <v>120</v>
      </c>
      <c r="I612" s="1" t="s">
        <v>60</v>
      </c>
      <c r="J612" s="1" t="s">
        <v>67</v>
      </c>
      <c r="K612" s="1" t="s">
        <v>105</v>
      </c>
      <c r="L612" s="3">
        <v>46772</v>
      </c>
      <c r="M612" s="3">
        <v>46042</v>
      </c>
      <c r="N612">
        <f>_xlfn.XLOOKUP(Data[[#This Row],[Status]],Compliance_Status[Status from OPMS],Compliance_Status[Status_Key],"")</f>
        <v>4</v>
      </c>
      <c r="O612">
        <f>_xlfn.XLOOKUP(Data[[#This Row],[Status]],Compliance_Status[Status from OPMS],Compliance_Status[Has Course booking],"")</f>
        <v>0</v>
      </c>
      <c r="P612" t="str">
        <f>_xlfn.XLOOKUP(Data[[#This Row],[StatusKey]],Status_Key[Status_Key],Status_Key[Name],"")</f>
        <v>In Date</v>
      </c>
    </row>
    <row r="613" spans="1:16" x14ac:dyDescent="0.25">
      <c r="A613" s="1">
        <v>155</v>
      </c>
      <c r="B613" s="1" t="s">
        <v>192</v>
      </c>
      <c r="C613" s="1" t="s">
        <v>193</v>
      </c>
      <c r="D613" s="1" t="s">
        <v>194</v>
      </c>
      <c r="E613" s="1" t="s">
        <v>113</v>
      </c>
      <c r="F613" s="1" t="s">
        <v>65</v>
      </c>
      <c r="G613" s="1" t="s">
        <v>16</v>
      </c>
      <c r="H613" s="1" t="s">
        <v>120</v>
      </c>
      <c r="I613" s="1" t="s">
        <v>60</v>
      </c>
      <c r="J613" s="1" t="s">
        <v>67</v>
      </c>
      <c r="K613" s="1" t="s">
        <v>105</v>
      </c>
      <c r="L613" s="3">
        <v>46769</v>
      </c>
      <c r="M613" s="3">
        <v>46039</v>
      </c>
      <c r="N613">
        <f>_xlfn.XLOOKUP(Data[[#This Row],[Status]],Compliance_Status[Status from OPMS],Compliance_Status[Status_Key],"")</f>
        <v>4</v>
      </c>
      <c r="O613">
        <f>_xlfn.XLOOKUP(Data[[#This Row],[Status]],Compliance_Status[Status from OPMS],Compliance_Status[Has Course booking],"")</f>
        <v>0</v>
      </c>
      <c r="P613" t="str">
        <f>_xlfn.XLOOKUP(Data[[#This Row],[StatusKey]],Status_Key[Status_Key],Status_Key[Name],"")</f>
        <v>In Date</v>
      </c>
    </row>
    <row r="614" spans="1:16" x14ac:dyDescent="0.25">
      <c r="A614" s="1">
        <v>154</v>
      </c>
      <c r="B614" s="1" t="s">
        <v>195</v>
      </c>
      <c r="C614" s="1" t="s">
        <v>196</v>
      </c>
      <c r="D614" s="1" t="s">
        <v>197</v>
      </c>
      <c r="E614" s="1" t="s">
        <v>129</v>
      </c>
      <c r="F614" s="1" t="s">
        <v>65</v>
      </c>
      <c r="G614" s="1" t="s">
        <v>16</v>
      </c>
      <c r="H614" s="1" t="s">
        <v>130</v>
      </c>
      <c r="I614" s="1" t="s">
        <v>60</v>
      </c>
      <c r="J614" s="1" t="s">
        <v>67</v>
      </c>
      <c r="K614" s="1" t="s">
        <v>68</v>
      </c>
      <c r="L614" s="3">
        <v>47754</v>
      </c>
      <c r="M614" s="3">
        <v>45929</v>
      </c>
      <c r="N614">
        <f>_xlfn.XLOOKUP(Data[[#This Row],[Status]],Compliance_Status[Status from OPMS],Compliance_Status[Status_Key],"")</f>
        <v>4</v>
      </c>
      <c r="O614">
        <f>_xlfn.XLOOKUP(Data[[#This Row],[Status]],Compliance_Status[Status from OPMS],Compliance_Status[Has Course booking],"")</f>
        <v>0</v>
      </c>
      <c r="P614" t="str">
        <f>_xlfn.XLOOKUP(Data[[#This Row],[StatusKey]],Status_Key[Status_Key],Status_Key[Name],"")</f>
        <v>In Date</v>
      </c>
    </row>
    <row r="615" spans="1:16" x14ac:dyDescent="0.25">
      <c r="A615" s="1">
        <v>154</v>
      </c>
      <c r="B615" s="1" t="s">
        <v>195</v>
      </c>
      <c r="C615" s="1" t="s">
        <v>196</v>
      </c>
      <c r="D615" s="1" t="s">
        <v>197</v>
      </c>
      <c r="E615" s="1" t="s">
        <v>131</v>
      </c>
      <c r="F615" s="1" t="s">
        <v>65</v>
      </c>
      <c r="G615" s="1" t="s">
        <v>16</v>
      </c>
      <c r="H615" s="1" t="s">
        <v>130</v>
      </c>
      <c r="I615" s="1" t="s">
        <v>60</v>
      </c>
      <c r="J615" s="1"/>
      <c r="K615" s="1" t="s">
        <v>68</v>
      </c>
      <c r="L615" s="3">
        <v>47966</v>
      </c>
      <c r="M615" s="3">
        <v>46140</v>
      </c>
      <c r="N615">
        <f>_xlfn.XLOOKUP(Data[[#This Row],[Status]],Compliance_Status[Status from OPMS],Compliance_Status[Status_Key],"")</f>
        <v>4</v>
      </c>
      <c r="O615">
        <f>_xlfn.XLOOKUP(Data[[#This Row],[Status]],Compliance_Status[Status from OPMS],Compliance_Status[Has Course booking],"")</f>
        <v>0</v>
      </c>
      <c r="P615" t="str">
        <f>_xlfn.XLOOKUP(Data[[#This Row],[StatusKey]],Status_Key[Status_Key],Status_Key[Name],"")</f>
        <v>In Date</v>
      </c>
    </row>
    <row r="616" spans="1:16" x14ac:dyDescent="0.25">
      <c r="A616" s="1">
        <v>154</v>
      </c>
      <c r="B616" s="1" t="s">
        <v>195</v>
      </c>
      <c r="C616" s="1" t="s">
        <v>196</v>
      </c>
      <c r="D616" s="1" t="s">
        <v>197</v>
      </c>
      <c r="E616" s="1" t="s">
        <v>69</v>
      </c>
      <c r="F616" s="1" t="s">
        <v>65</v>
      </c>
      <c r="G616" s="1" t="s">
        <v>16</v>
      </c>
      <c r="H616" s="1" t="s">
        <v>130</v>
      </c>
      <c r="I616" s="1" t="s">
        <v>60</v>
      </c>
      <c r="J616" s="1" t="s">
        <v>67</v>
      </c>
      <c r="K616" s="1" t="s">
        <v>68</v>
      </c>
      <c r="L616" s="3">
        <v>47966</v>
      </c>
      <c r="M616" s="3">
        <v>46140</v>
      </c>
      <c r="N616">
        <f>_xlfn.XLOOKUP(Data[[#This Row],[Status]],Compliance_Status[Status from OPMS],Compliance_Status[Status_Key],"")</f>
        <v>4</v>
      </c>
      <c r="O616">
        <f>_xlfn.XLOOKUP(Data[[#This Row],[Status]],Compliance_Status[Status from OPMS],Compliance_Status[Has Course booking],"")</f>
        <v>0</v>
      </c>
      <c r="P616" t="str">
        <f>_xlfn.XLOOKUP(Data[[#This Row],[StatusKey]],Status_Key[Status_Key],Status_Key[Name],"")</f>
        <v>In Date</v>
      </c>
    </row>
    <row r="617" spans="1:16" x14ac:dyDescent="0.25">
      <c r="A617" s="1">
        <v>154</v>
      </c>
      <c r="B617" s="1" t="s">
        <v>195</v>
      </c>
      <c r="C617" s="1" t="s">
        <v>196</v>
      </c>
      <c r="D617" s="1" t="s">
        <v>197</v>
      </c>
      <c r="E617" s="1" t="s">
        <v>70</v>
      </c>
      <c r="F617" s="1" t="s">
        <v>65</v>
      </c>
      <c r="G617" s="1" t="s">
        <v>16</v>
      </c>
      <c r="H617" s="1" t="s">
        <v>130</v>
      </c>
      <c r="I617" s="1" t="s">
        <v>60</v>
      </c>
      <c r="J617" s="1" t="s">
        <v>67</v>
      </c>
      <c r="K617" s="1" t="s">
        <v>68</v>
      </c>
      <c r="L617" s="3">
        <v>47345</v>
      </c>
      <c r="M617" s="3">
        <v>45449</v>
      </c>
      <c r="N617">
        <f>_xlfn.XLOOKUP(Data[[#This Row],[Status]],Compliance_Status[Status from OPMS],Compliance_Status[Status_Key],"")</f>
        <v>4</v>
      </c>
      <c r="O617">
        <f>_xlfn.XLOOKUP(Data[[#This Row],[Status]],Compliance_Status[Status from OPMS],Compliance_Status[Has Course booking],"")</f>
        <v>0</v>
      </c>
      <c r="P617" t="str">
        <f>_xlfn.XLOOKUP(Data[[#This Row],[StatusKey]],Status_Key[Status_Key],Status_Key[Name],"")</f>
        <v>In Date</v>
      </c>
    </row>
    <row r="618" spans="1:16" x14ac:dyDescent="0.25">
      <c r="A618" s="1">
        <v>154</v>
      </c>
      <c r="B618" s="1" t="s">
        <v>195</v>
      </c>
      <c r="C618" s="1" t="s">
        <v>196</v>
      </c>
      <c r="D618" s="1" t="s">
        <v>197</v>
      </c>
      <c r="E618" s="1" t="s">
        <v>132</v>
      </c>
      <c r="F618" s="1" t="s">
        <v>65</v>
      </c>
      <c r="G618" s="1" t="s">
        <v>16</v>
      </c>
      <c r="H618" s="1" t="s">
        <v>130</v>
      </c>
      <c r="I618" s="1" t="s">
        <v>60</v>
      </c>
      <c r="J618" s="1"/>
      <c r="K618" s="1" t="s">
        <v>68</v>
      </c>
      <c r="L618" s="3">
        <v>47345</v>
      </c>
      <c r="M618" s="3">
        <v>45449</v>
      </c>
      <c r="N618">
        <f>_xlfn.XLOOKUP(Data[[#This Row],[Status]],Compliance_Status[Status from OPMS],Compliance_Status[Status_Key],"")</f>
        <v>4</v>
      </c>
      <c r="O618">
        <f>_xlfn.XLOOKUP(Data[[#This Row],[Status]],Compliance_Status[Status from OPMS],Compliance_Status[Has Course booking],"")</f>
        <v>0</v>
      </c>
      <c r="P618" t="str">
        <f>_xlfn.XLOOKUP(Data[[#This Row],[StatusKey]],Status_Key[Status_Key],Status_Key[Name],"")</f>
        <v>In Date</v>
      </c>
    </row>
    <row r="619" spans="1:16" x14ac:dyDescent="0.25">
      <c r="A619" s="1">
        <v>154</v>
      </c>
      <c r="B619" s="1" t="s">
        <v>195</v>
      </c>
      <c r="C619" s="1" t="s">
        <v>196</v>
      </c>
      <c r="D619" s="1" t="s">
        <v>197</v>
      </c>
      <c r="E619" s="1" t="s">
        <v>71</v>
      </c>
      <c r="F619" s="1" t="s">
        <v>72</v>
      </c>
      <c r="G619" s="1" t="s">
        <v>16</v>
      </c>
      <c r="H619" s="1" t="s">
        <v>130</v>
      </c>
      <c r="I619" s="1" t="s">
        <v>60</v>
      </c>
      <c r="J619" s="1" t="s">
        <v>67</v>
      </c>
      <c r="K619" s="1" t="s">
        <v>68</v>
      </c>
      <c r="L619" s="3">
        <v>47965</v>
      </c>
      <c r="M619" s="3">
        <v>46140</v>
      </c>
      <c r="N619">
        <f>_xlfn.XLOOKUP(Data[[#This Row],[Status]],Compliance_Status[Status from OPMS],Compliance_Status[Status_Key],"")</f>
        <v>4</v>
      </c>
      <c r="O619">
        <f>_xlfn.XLOOKUP(Data[[#This Row],[Status]],Compliance_Status[Status from OPMS],Compliance_Status[Has Course booking],"")</f>
        <v>0</v>
      </c>
      <c r="P619" t="str">
        <f>_xlfn.XLOOKUP(Data[[#This Row],[StatusKey]],Status_Key[Status_Key],Status_Key[Name],"")</f>
        <v>In Date</v>
      </c>
    </row>
    <row r="620" spans="1:16" x14ac:dyDescent="0.25">
      <c r="A620" s="1">
        <v>154</v>
      </c>
      <c r="B620" s="1" t="s">
        <v>195</v>
      </c>
      <c r="C620" s="1" t="s">
        <v>196</v>
      </c>
      <c r="D620" s="1" t="s">
        <v>197</v>
      </c>
      <c r="E620" s="1" t="s">
        <v>73</v>
      </c>
      <c r="F620" s="1" t="s">
        <v>65</v>
      </c>
      <c r="G620" s="1" t="s">
        <v>16</v>
      </c>
      <c r="H620" s="1" t="s">
        <v>130</v>
      </c>
      <c r="I620" s="1" t="s">
        <v>60</v>
      </c>
      <c r="J620" s="1" t="s">
        <v>67</v>
      </c>
      <c r="K620" s="1" t="s">
        <v>68</v>
      </c>
      <c r="L620" s="3">
        <v>46410</v>
      </c>
      <c r="M620" s="3">
        <v>45680</v>
      </c>
      <c r="N620">
        <f>_xlfn.XLOOKUP(Data[[#This Row],[Status]],Compliance_Status[Status from OPMS],Compliance_Status[Status_Key],"")</f>
        <v>4</v>
      </c>
      <c r="O620">
        <f>_xlfn.XLOOKUP(Data[[#This Row],[Status]],Compliance_Status[Status from OPMS],Compliance_Status[Has Course booking],"")</f>
        <v>0</v>
      </c>
      <c r="P620" t="str">
        <f>_xlfn.XLOOKUP(Data[[#This Row],[StatusKey]],Status_Key[Status_Key],Status_Key[Name],"")</f>
        <v>In Date</v>
      </c>
    </row>
    <row r="621" spans="1:16" x14ac:dyDescent="0.25">
      <c r="A621" s="1">
        <v>154</v>
      </c>
      <c r="B621" s="1" t="s">
        <v>195</v>
      </c>
      <c r="C621" s="1" t="s">
        <v>196</v>
      </c>
      <c r="D621" s="1" t="s">
        <v>197</v>
      </c>
      <c r="E621" s="1" t="s">
        <v>74</v>
      </c>
      <c r="F621" s="1" t="s">
        <v>65</v>
      </c>
      <c r="G621" s="1" t="s">
        <v>16</v>
      </c>
      <c r="H621" s="1" t="s">
        <v>130</v>
      </c>
      <c r="I621" s="1" t="s">
        <v>60</v>
      </c>
      <c r="J621" s="1" t="s">
        <v>67</v>
      </c>
      <c r="K621" s="1" t="s">
        <v>68</v>
      </c>
      <c r="L621" s="3">
        <v>46402</v>
      </c>
      <c r="M621" s="3">
        <v>45306</v>
      </c>
      <c r="N621">
        <f>_xlfn.XLOOKUP(Data[[#This Row],[Status]],Compliance_Status[Status from OPMS],Compliance_Status[Status_Key],"")</f>
        <v>4</v>
      </c>
      <c r="O621">
        <f>_xlfn.XLOOKUP(Data[[#This Row],[Status]],Compliance_Status[Status from OPMS],Compliance_Status[Has Course booking],"")</f>
        <v>0</v>
      </c>
      <c r="P621" t="str">
        <f>_xlfn.XLOOKUP(Data[[#This Row],[StatusKey]],Status_Key[Status_Key],Status_Key[Name],"")</f>
        <v>In Date</v>
      </c>
    </row>
    <row r="622" spans="1:16" x14ac:dyDescent="0.25">
      <c r="A622" s="1">
        <v>154</v>
      </c>
      <c r="B622" s="1" t="s">
        <v>195</v>
      </c>
      <c r="C622" s="1" t="s">
        <v>196</v>
      </c>
      <c r="D622" s="1" t="s">
        <v>197</v>
      </c>
      <c r="E622" s="1" t="s">
        <v>75</v>
      </c>
      <c r="F622" s="1" t="s">
        <v>72</v>
      </c>
      <c r="G622" s="1" t="s">
        <v>24</v>
      </c>
      <c r="H622" s="1" t="s">
        <v>130</v>
      </c>
      <c r="I622" s="1" t="s">
        <v>60</v>
      </c>
      <c r="J622" s="1" t="s">
        <v>67</v>
      </c>
      <c r="K622" s="1" t="s">
        <v>68</v>
      </c>
      <c r="L622" s="3">
        <v>46385</v>
      </c>
      <c r="M622" s="3">
        <v>45723</v>
      </c>
      <c r="N622">
        <f>_xlfn.XLOOKUP(Data[[#This Row],[Status]],Compliance_Status[Status from OPMS],Compliance_Status[Status_Key],"")</f>
        <v>3</v>
      </c>
      <c r="O622">
        <f>_xlfn.XLOOKUP(Data[[#This Row],[Status]],Compliance_Status[Status from OPMS],Compliance_Status[Has Course booking],"")</f>
        <v>0</v>
      </c>
      <c r="P622" t="str">
        <f>_xlfn.XLOOKUP(Data[[#This Row],[StatusKey]],Status_Key[Status_Key],Status_Key[Name],"")</f>
        <v>About to expire</v>
      </c>
    </row>
    <row r="623" spans="1:16" x14ac:dyDescent="0.25">
      <c r="A623" s="1">
        <v>154</v>
      </c>
      <c r="B623" s="1" t="s">
        <v>195</v>
      </c>
      <c r="C623" s="1" t="s">
        <v>196</v>
      </c>
      <c r="D623" s="1" t="s">
        <v>197</v>
      </c>
      <c r="E623" s="1" t="s">
        <v>76</v>
      </c>
      <c r="F623" s="1" t="s">
        <v>65</v>
      </c>
      <c r="G623" s="1" t="s">
        <v>16</v>
      </c>
      <c r="H623" s="1" t="s">
        <v>130</v>
      </c>
      <c r="I623" s="1" t="s">
        <v>60</v>
      </c>
      <c r="J623" s="1" t="s">
        <v>67</v>
      </c>
      <c r="K623" s="1" t="s">
        <v>77</v>
      </c>
      <c r="L623" s="3">
        <v>47330</v>
      </c>
      <c r="M623" s="3">
        <v>45869</v>
      </c>
      <c r="N623">
        <f>_xlfn.XLOOKUP(Data[[#This Row],[Status]],Compliance_Status[Status from OPMS],Compliance_Status[Status_Key],"")</f>
        <v>4</v>
      </c>
      <c r="O623">
        <f>_xlfn.XLOOKUP(Data[[#This Row],[Status]],Compliance_Status[Status from OPMS],Compliance_Status[Has Course booking],"")</f>
        <v>0</v>
      </c>
      <c r="P623" t="str">
        <f>_xlfn.XLOOKUP(Data[[#This Row],[StatusKey]],Status_Key[Status_Key],Status_Key[Name],"")</f>
        <v>In Date</v>
      </c>
    </row>
    <row r="624" spans="1:16" x14ac:dyDescent="0.25">
      <c r="A624" s="1">
        <v>154</v>
      </c>
      <c r="B624" s="1" t="s">
        <v>195</v>
      </c>
      <c r="C624" s="1" t="s">
        <v>196</v>
      </c>
      <c r="D624" s="1" t="s">
        <v>197</v>
      </c>
      <c r="E624" s="1" t="s">
        <v>78</v>
      </c>
      <c r="F624" s="1" t="s">
        <v>65</v>
      </c>
      <c r="G624" s="1" t="s">
        <v>16</v>
      </c>
      <c r="H624" s="1" t="s">
        <v>130</v>
      </c>
      <c r="I624" s="1" t="s">
        <v>60</v>
      </c>
      <c r="J624" s="1" t="s">
        <v>67</v>
      </c>
      <c r="K624" s="1" t="s">
        <v>77</v>
      </c>
      <c r="L624" s="3" t="s">
        <v>79</v>
      </c>
      <c r="M624" s="3">
        <v>45326</v>
      </c>
      <c r="N624">
        <f>_xlfn.XLOOKUP(Data[[#This Row],[Status]],Compliance_Status[Status from OPMS],Compliance_Status[Status_Key],"")</f>
        <v>4</v>
      </c>
      <c r="O624">
        <f>_xlfn.XLOOKUP(Data[[#This Row],[Status]],Compliance_Status[Status from OPMS],Compliance_Status[Has Course booking],"")</f>
        <v>0</v>
      </c>
      <c r="P624" t="str">
        <f>_xlfn.XLOOKUP(Data[[#This Row],[StatusKey]],Status_Key[Status_Key],Status_Key[Name],"")</f>
        <v>In Date</v>
      </c>
    </row>
    <row r="625" spans="1:16" x14ac:dyDescent="0.25">
      <c r="A625" s="1">
        <v>154</v>
      </c>
      <c r="B625" s="1" t="s">
        <v>195</v>
      </c>
      <c r="C625" s="1" t="s">
        <v>196</v>
      </c>
      <c r="D625" s="1" t="s">
        <v>197</v>
      </c>
      <c r="E625" s="1" t="s">
        <v>80</v>
      </c>
      <c r="F625" s="1" t="s">
        <v>65</v>
      </c>
      <c r="G625" s="1" t="s">
        <v>16</v>
      </c>
      <c r="H625" s="1" t="s">
        <v>130</v>
      </c>
      <c r="I625" s="1" t="s">
        <v>60</v>
      </c>
      <c r="J625" s="1" t="s">
        <v>67</v>
      </c>
      <c r="K625" s="1" t="s">
        <v>77</v>
      </c>
      <c r="L625" s="3" t="s">
        <v>79</v>
      </c>
      <c r="M625" s="3">
        <v>45755</v>
      </c>
      <c r="N625">
        <f>_xlfn.XLOOKUP(Data[[#This Row],[Status]],Compliance_Status[Status from OPMS],Compliance_Status[Status_Key],"")</f>
        <v>4</v>
      </c>
      <c r="O625">
        <f>_xlfn.XLOOKUP(Data[[#This Row],[Status]],Compliance_Status[Status from OPMS],Compliance_Status[Has Course booking],"")</f>
        <v>0</v>
      </c>
      <c r="P625" t="str">
        <f>_xlfn.XLOOKUP(Data[[#This Row],[StatusKey]],Status_Key[Status_Key],Status_Key[Name],"")</f>
        <v>In Date</v>
      </c>
    </row>
    <row r="626" spans="1:16" x14ac:dyDescent="0.25">
      <c r="A626" s="1">
        <v>154</v>
      </c>
      <c r="B626" s="1" t="s">
        <v>195</v>
      </c>
      <c r="C626" s="1" t="s">
        <v>196</v>
      </c>
      <c r="D626" s="1" t="s">
        <v>197</v>
      </c>
      <c r="E626" s="1" t="s">
        <v>81</v>
      </c>
      <c r="F626" s="1" t="s">
        <v>65</v>
      </c>
      <c r="G626" s="1" t="s">
        <v>16</v>
      </c>
      <c r="H626" s="1" t="s">
        <v>130</v>
      </c>
      <c r="I626" s="1" t="s">
        <v>60</v>
      </c>
      <c r="J626" s="1" t="s">
        <v>67</v>
      </c>
      <c r="K626" s="1" t="s">
        <v>77</v>
      </c>
      <c r="L626" s="3">
        <v>46768</v>
      </c>
      <c r="M626" s="3">
        <v>46038</v>
      </c>
      <c r="N626">
        <f>_xlfn.XLOOKUP(Data[[#This Row],[Status]],Compliance_Status[Status from OPMS],Compliance_Status[Status_Key],"")</f>
        <v>4</v>
      </c>
      <c r="O626">
        <f>_xlfn.XLOOKUP(Data[[#This Row],[Status]],Compliance_Status[Status from OPMS],Compliance_Status[Has Course booking],"")</f>
        <v>0</v>
      </c>
      <c r="P626" t="str">
        <f>_xlfn.XLOOKUP(Data[[#This Row],[StatusKey]],Status_Key[Status_Key],Status_Key[Name],"")</f>
        <v>In Date</v>
      </c>
    </row>
    <row r="627" spans="1:16" x14ac:dyDescent="0.25">
      <c r="A627" s="1">
        <v>154</v>
      </c>
      <c r="B627" s="1" t="s">
        <v>195</v>
      </c>
      <c r="C627" s="1" t="s">
        <v>196</v>
      </c>
      <c r="D627" s="1" t="s">
        <v>197</v>
      </c>
      <c r="E627" s="1" t="s">
        <v>82</v>
      </c>
      <c r="F627" s="1" t="s">
        <v>65</v>
      </c>
      <c r="G627" s="1" t="s">
        <v>16</v>
      </c>
      <c r="H627" s="1" t="s">
        <v>130</v>
      </c>
      <c r="I627" s="1" t="s">
        <v>60</v>
      </c>
      <c r="J627" s="1" t="s">
        <v>67</v>
      </c>
      <c r="K627" s="1" t="s">
        <v>83</v>
      </c>
      <c r="L627" s="3">
        <v>46756</v>
      </c>
      <c r="M627" s="3">
        <v>46026</v>
      </c>
      <c r="N627">
        <f>_xlfn.XLOOKUP(Data[[#This Row],[Status]],Compliance_Status[Status from OPMS],Compliance_Status[Status_Key],"")</f>
        <v>4</v>
      </c>
      <c r="O627">
        <f>_xlfn.XLOOKUP(Data[[#This Row],[Status]],Compliance_Status[Status from OPMS],Compliance_Status[Has Course booking],"")</f>
        <v>0</v>
      </c>
      <c r="P627" t="str">
        <f>_xlfn.XLOOKUP(Data[[#This Row],[StatusKey]],Status_Key[Status_Key],Status_Key[Name],"")</f>
        <v>In Date</v>
      </c>
    </row>
    <row r="628" spans="1:16" x14ac:dyDescent="0.25">
      <c r="A628" s="1">
        <v>154</v>
      </c>
      <c r="B628" s="1" t="s">
        <v>195</v>
      </c>
      <c r="C628" s="1" t="s">
        <v>196</v>
      </c>
      <c r="D628" s="1" t="s">
        <v>197</v>
      </c>
      <c r="E628" s="1" t="s">
        <v>84</v>
      </c>
      <c r="F628" s="1" t="s">
        <v>65</v>
      </c>
      <c r="G628" s="1" t="s">
        <v>16</v>
      </c>
      <c r="H628" s="1" t="s">
        <v>130</v>
      </c>
      <c r="I628" s="1" t="s">
        <v>60</v>
      </c>
      <c r="J628" s="1" t="s">
        <v>67</v>
      </c>
      <c r="K628" s="1" t="s">
        <v>83</v>
      </c>
      <c r="L628" s="3">
        <v>46714</v>
      </c>
      <c r="M628" s="3">
        <v>45984</v>
      </c>
      <c r="N628">
        <f>_xlfn.XLOOKUP(Data[[#This Row],[Status]],Compliance_Status[Status from OPMS],Compliance_Status[Status_Key],"")</f>
        <v>4</v>
      </c>
      <c r="O628">
        <f>_xlfn.XLOOKUP(Data[[#This Row],[Status]],Compliance_Status[Status from OPMS],Compliance_Status[Has Course booking],"")</f>
        <v>0</v>
      </c>
      <c r="P628" t="str">
        <f>_xlfn.XLOOKUP(Data[[#This Row],[StatusKey]],Status_Key[Status_Key],Status_Key[Name],"")</f>
        <v>In Date</v>
      </c>
    </row>
    <row r="629" spans="1:16" x14ac:dyDescent="0.25">
      <c r="A629" s="1">
        <v>154</v>
      </c>
      <c r="B629" s="1" t="s">
        <v>195</v>
      </c>
      <c r="C629" s="1" t="s">
        <v>196</v>
      </c>
      <c r="D629" s="1" t="s">
        <v>197</v>
      </c>
      <c r="E629" s="1" t="s">
        <v>91</v>
      </c>
      <c r="F629" s="1" t="s">
        <v>65</v>
      </c>
      <c r="G629" s="1" t="s">
        <v>16</v>
      </c>
      <c r="H629" s="1" t="s">
        <v>130</v>
      </c>
      <c r="I629" s="1" t="s">
        <v>60</v>
      </c>
      <c r="J629" s="1" t="s">
        <v>67</v>
      </c>
      <c r="K629" s="1" t="s">
        <v>86</v>
      </c>
      <c r="L629" s="3" t="s">
        <v>79</v>
      </c>
      <c r="M629" s="3">
        <v>45980</v>
      </c>
      <c r="N629">
        <f>_xlfn.XLOOKUP(Data[[#This Row],[Status]],Compliance_Status[Status from OPMS],Compliance_Status[Status_Key],"")</f>
        <v>4</v>
      </c>
      <c r="O629">
        <f>_xlfn.XLOOKUP(Data[[#This Row],[Status]],Compliance_Status[Status from OPMS],Compliance_Status[Has Course booking],"")</f>
        <v>0</v>
      </c>
      <c r="P629" t="str">
        <f>_xlfn.XLOOKUP(Data[[#This Row],[StatusKey]],Status_Key[Status_Key],Status_Key[Name],"")</f>
        <v>In Date</v>
      </c>
    </row>
    <row r="630" spans="1:16" x14ac:dyDescent="0.25">
      <c r="A630" s="1">
        <v>154</v>
      </c>
      <c r="B630" s="1" t="s">
        <v>195</v>
      </c>
      <c r="C630" s="1" t="s">
        <v>196</v>
      </c>
      <c r="D630" s="1" t="s">
        <v>197</v>
      </c>
      <c r="E630" s="1" t="s">
        <v>93</v>
      </c>
      <c r="F630" s="1" t="s">
        <v>65</v>
      </c>
      <c r="G630" s="1" t="s">
        <v>16</v>
      </c>
      <c r="H630" s="1" t="s">
        <v>130</v>
      </c>
      <c r="I630" s="1" t="s">
        <v>60</v>
      </c>
      <c r="J630" s="1" t="s">
        <v>67</v>
      </c>
      <c r="K630" s="1" t="s">
        <v>94</v>
      </c>
      <c r="L630" s="3">
        <v>46666</v>
      </c>
      <c r="M630" s="3">
        <v>45936</v>
      </c>
      <c r="N630">
        <f>_xlfn.XLOOKUP(Data[[#This Row],[Status]],Compliance_Status[Status from OPMS],Compliance_Status[Status_Key],"")</f>
        <v>4</v>
      </c>
      <c r="O630">
        <f>_xlfn.XLOOKUP(Data[[#This Row],[Status]],Compliance_Status[Status from OPMS],Compliance_Status[Has Course booking],"")</f>
        <v>0</v>
      </c>
      <c r="P630" t="str">
        <f>_xlfn.XLOOKUP(Data[[#This Row],[StatusKey]],Status_Key[Status_Key],Status_Key[Name],"")</f>
        <v>In Date</v>
      </c>
    </row>
    <row r="631" spans="1:16" x14ac:dyDescent="0.25">
      <c r="A631" s="1">
        <v>154</v>
      </c>
      <c r="B631" s="1" t="s">
        <v>195</v>
      </c>
      <c r="C631" s="1" t="s">
        <v>196</v>
      </c>
      <c r="D631" s="1" t="s">
        <v>197</v>
      </c>
      <c r="E631" s="1" t="s">
        <v>95</v>
      </c>
      <c r="F631" s="1" t="s">
        <v>65</v>
      </c>
      <c r="G631" s="1" t="s">
        <v>16</v>
      </c>
      <c r="H631" s="1" t="s">
        <v>130</v>
      </c>
      <c r="I631" s="1" t="s">
        <v>60</v>
      </c>
      <c r="J631" s="1" t="s">
        <v>67</v>
      </c>
      <c r="K631" s="1" t="s">
        <v>94</v>
      </c>
      <c r="L631" s="3">
        <v>46666</v>
      </c>
      <c r="M631" s="3">
        <v>45936</v>
      </c>
      <c r="N631">
        <f>_xlfn.XLOOKUP(Data[[#This Row],[Status]],Compliance_Status[Status from OPMS],Compliance_Status[Status_Key],"")</f>
        <v>4</v>
      </c>
      <c r="O631">
        <f>_xlfn.XLOOKUP(Data[[#This Row],[Status]],Compliance_Status[Status from OPMS],Compliance_Status[Has Course booking],"")</f>
        <v>0</v>
      </c>
      <c r="P631" t="str">
        <f>_xlfn.XLOOKUP(Data[[#This Row],[StatusKey]],Status_Key[Status_Key],Status_Key[Name],"")</f>
        <v>In Date</v>
      </c>
    </row>
    <row r="632" spans="1:16" x14ac:dyDescent="0.25">
      <c r="A632" s="1">
        <v>154</v>
      </c>
      <c r="B632" s="1" t="s">
        <v>195</v>
      </c>
      <c r="C632" s="1" t="s">
        <v>196</v>
      </c>
      <c r="D632" s="1" t="s">
        <v>197</v>
      </c>
      <c r="E632" s="1" t="s">
        <v>96</v>
      </c>
      <c r="F632" s="1" t="s">
        <v>65</v>
      </c>
      <c r="G632" s="1" t="s">
        <v>16</v>
      </c>
      <c r="H632" s="1" t="s">
        <v>130</v>
      </c>
      <c r="I632" s="1" t="s">
        <v>60</v>
      </c>
      <c r="J632" s="1" t="s">
        <v>67</v>
      </c>
      <c r="K632" s="1" t="s">
        <v>94</v>
      </c>
      <c r="L632" s="3" t="s">
        <v>79</v>
      </c>
      <c r="M632" s="3">
        <v>46028</v>
      </c>
      <c r="N632">
        <f>_xlfn.XLOOKUP(Data[[#This Row],[Status]],Compliance_Status[Status from OPMS],Compliance_Status[Status_Key],"")</f>
        <v>4</v>
      </c>
      <c r="O632">
        <f>_xlfn.XLOOKUP(Data[[#This Row],[Status]],Compliance_Status[Status from OPMS],Compliance_Status[Has Course booking],"")</f>
        <v>0</v>
      </c>
      <c r="P632" t="str">
        <f>_xlfn.XLOOKUP(Data[[#This Row],[StatusKey]],Status_Key[Status_Key],Status_Key[Name],"")</f>
        <v>In Date</v>
      </c>
    </row>
    <row r="633" spans="1:16" x14ac:dyDescent="0.25">
      <c r="A633" s="1">
        <v>154</v>
      </c>
      <c r="B633" s="1" t="s">
        <v>195</v>
      </c>
      <c r="C633" s="1" t="s">
        <v>196</v>
      </c>
      <c r="D633" s="1" t="s">
        <v>197</v>
      </c>
      <c r="E633" s="1" t="s">
        <v>122</v>
      </c>
      <c r="F633" s="1" t="s">
        <v>65</v>
      </c>
      <c r="G633" s="1" t="s">
        <v>16</v>
      </c>
      <c r="H633" s="1" t="s">
        <v>130</v>
      </c>
      <c r="I633" s="1" t="s">
        <v>60</v>
      </c>
      <c r="J633" s="1" t="s">
        <v>67</v>
      </c>
      <c r="K633" s="1" t="s">
        <v>94</v>
      </c>
      <c r="L633" s="3" t="s">
        <v>79</v>
      </c>
      <c r="M633" s="3">
        <v>45597</v>
      </c>
      <c r="N633">
        <f>_xlfn.XLOOKUP(Data[[#This Row],[Status]],Compliance_Status[Status from OPMS],Compliance_Status[Status_Key],"")</f>
        <v>4</v>
      </c>
      <c r="O633">
        <f>_xlfn.XLOOKUP(Data[[#This Row],[Status]],Compliance_Status[Status from OPMS],Compliance_Status[Has Course booking],"")</f>
        <v>0</v>
      </c>
      <c r="P633" t="str">
        <f>_xlfn.XLOOKUP(Data[[#This Row],[StatusKey]],Status_Key[Status_Key],Status_Key[Name],"")</f>
        <v>In Date</v>
      </c>
    </row>
    <row r="634" spans="1:16" x14ac:dyDescent="0.25">
      <c r="A634" s="1">
        <v>154</v>
      </c>
      <c r="B634" s="1" t="s">
        <v>195</v>
      </c>
      <c r="C634" s="1" t="s">
        <v>196</v>
      </c>
      <c r="D634" s="1" t="s">
        <v>197</v>
      </c>
      <c r="E634" s="1" t="s">
        <v>124</v>
      </c>
      <c r="F634" s="1" t="s">
        <v>72</v>
      </c>
      <c r="G634" s="1" t="s">
        <v>18</v>
      </c>
      <c r="H634" s="1" t="s">
        <v>130</v>
      </c>
      <c r="I634" s="1" t="s">
        <v>60</v>
      </c>
      <c r="J634" s="1"/>
      <c r="K634" s="1" t="s">
        <v>125</v>
      </c>
      <c r="L634" s="3"/>
      <c r="M634" s="3"/>
      <c r="N634">
        <f>_xlfn.XLOOKUP(Data[[#This Row],[Status]],Compliance_Status[Status from OPMS],Compliance_Status[Status_Key],"")</f>
        <v>2</v>
      </c>
      <c r="O634">
        <f>_xlfn.XLOOKUP(Data[[#This Row],[Status]],Compliance_Status[Status from OPMS],Compliance_Status[Has Course booking],"")</f>
        <v>0</v>
      </c>
      <c r="P634" t="str">
        <f>_xlfn.XLOOKUP(Data[[#This Row],[StatusKey]],Status_Key[Status_Key],Status_Key[Name],"")</f>
        <v>Outstanding</v>
      </c>
    </row>
    <row r="635" spans="1:16" x14ac:dyDescent="0.25">
      <c r="A635" s="1">
        <v>154</v>
      </c>
      <c r="B635" s="1" t="s">
        <v>195</v>
      </c>
      <c r="C635" s="1" t="s">
        <v>196</v>
      </c>
      <c r="D635" s="1" t="s">
        <v>197</v>
      </c>
      <c r="E635" s="1" t="s">
        <v>97</v>
      </c>
      <c r="F635" s="1" t="s">
        <v>65</v>
      </c>
      <c r="G635" s="1" t="s">
        <v>16</v>
      </c>
      <c r="H635" s="1" t="s">
        <v>130</v>
      </c>
      <c r="I635" s="1" t="s">
        <v>60</v>
      </c>
      <c r="J635" s="1" t="s">
        <v>67</v>
      </c>
      <c r="K635" s="1" t="s">
        <v>98</v>
      </c>
      <c r="L635" s="3">
        <v>47224</v>
      </c>
      <c r="M635" s="3">
        <v>45398</v>
      </c>
      <c r="N635">
        <f>_xlfn.XLOOKUP(Data[[#This Row],[Status]],Compliance_Status[Status from OPMS],Compliance_Status[Status_Key],"")</f>
        <v>4</v>
      </c>
      <c r="O635">
        <f>_xlfn.XLOOKUP(Data[[#This Row],[Status]],Compliance_Status[Status from OPMS],Compliance_Status[Has Course booking],"")</f>
        <v>0</v>
      </c>
      <c r="P635" t="str">
        <f>_xlfn.XLOOKUP(Data[[#This Row],[StatusKey]],Status_Key[Status_Key],Status_Key[Name],"")</f>
        <v>In Date</v>
      </c>
    </row>
    <row r="636" spans="1:16" x14ac:dyDescent="0.25">
      <c r="A636" s="1">
        <v>154</v>
      </c>
      <c r="B636" s="1" t="s">
        <v>195</v>
      </c>
      <c r="C636" s="1" t="s">
        <v>196</v>
      </c>
      <c r="D636" s="1" t="s">
        <v>197</v>
      </c>
      <c r="E636" s="1" t="s">
        <v>101</v>
      </c>
      <c r="F636" s="1" t="s">
        <v>65</v>
      </c>
      <c r="G636" s="1" t="s">
        <v>16</v>
      </c>
      <c r="H636" s="1" t="s">
        <v>130</v>
      </c>
      <c r="I636" s="1" t="s">
        <v>60</v>
      </c>
      <c r="J636" s="1" t="s">
        <v>67</v>
      </c>
      <c r="K636" s="1" t="s">
        <v>102</v>
      </c>
      <c r="L636" s="3" t="s">
        <v>79</v>
      </c>
      <c r="M636" s="3">
        <v>45401</v>
      </c>
      <c r="N636">
        <f>_xlfn.XLOOKUP(Data[[#This Row],[Status]],Compliance_Status[Status from OPMS],Compliance_Status[Status_Key],"")</f>
        <v>4</v>
      </c>
      <c r="O636">
        <f>_xlfn.XLOOKUP(Data[[#This Row],[Status]],Compliance_Status[Status from OPMS],Compliance_Status[Has Course booking],"")</f>
        <v>0</v>
      </c>
      <c r="P636" t="str">
        <f>_xlfn.XLOOKUP(Data[[#This Row],[StatusKey]],Status_Key[Status_Key],Status_Key[Name],"")</f>
        <v>In Date</v>
      </c>
    </row>
    <row r="637" spans="1:16" x14ac:dyDescent="0.25">
      <c r="A637" s="1">
        <v>154</v>
      </c>
      <c r="B637" s="1" t="s">
        <v>195</v>
      </c>
      <c r="C637" s="1" t="s">
        <v>196</v>
      </c>
      <c r="D637" s="1" t="s">
        <v>197</v>
      </c>
      <c r="E637" s="1" t="s">
        <v>103</v>
      </c>
      <c r="F637" s="1" t="s">
        <v>65</v>
      </c>
      <c r="G637" s="1" t="s">
        <v>16</v>
      </c>
      <c r="H637" s="1" t="s">
        <v>130</v>
      </c>
      <c r="I637" s="1" t="s">
        <v>60</v>
      </c>
      <c r="J637" s="1" t="s">
        <v>67</v>
      </c>
      <c r="K637" s="1" t="s">
        <v>102</v>
      </c>
      <c r="L637" s="3">
        <v>46475</v>
      </c>
      <c r="M637" s="3">
        <v>45745</v>
      </c>
      <c r="N637">
        <f>_xlfn.XLOOKUP(Data[[#This Row],[Status]],Compliance_Status[Status from OPMS],Compliance_Status[Status_Key],"")</f>
        <v>4</v>
      </c>
      <c r="O637">
        <f>_xlfn.XLOOKUP(Data[[#This Row],[Status]],Compliance_Status[Status from OPMS],Compliance_Status[Has Course booking],"")</f>
        <v>0</v>
      </c>
      <c r="P637" t="str">
        <f>_xlfn.XLOOKUP(Data[[#This Row],[StatusKey]],Status_Key[Status_Key],Status_Key[Name],"")</f>
        <v>In Date</v>
      </c>
    </row>
    <row r="638" spans="1:16" x14ac:dyDescent="0.25">
      <c r="A638" s="1">
        <v>154</v>
      </c>
      <c r="B638" s="1" t="s">
        <v>195</v>
      </c>
      <c r="C638" s="1" t="s">
        <v>196</v>
      </c>
      <c r="D638" s="1" t="s">
        <v>197</v>
      </c>
      <c r="E638" s="1" t="s">
        <v>104</v>
      </c>
      <c r="F638" s="1" t="s">
        <v>65</v>
      </c>
      <c r="G638" s="1" t="s">
        <v>16</v>
      </c>
      <c r="H638" s="1" t="s">
        <v>130</v>
      </c>
      <c r="I638" s="1" t="s">
        <v>60</v>
      </c>
      <c r="J638" s="1" t="s">
        <v>67</v>
      </c>
      <c r="K638" s="1" t="s">
        <v>105</v>
      </c>
      <c r="L638" s="3">
        <v>46773</v>
      </c>
      <c r="M638" s="3">
        <v>46043</v>
      </c>
      <c r="N638">
        <f>_xlfn.XLOOKUP(Data[[#This Row],[Status]],Compliance_Status[Status from OPMS],Compliance_Status[Status_Key],"")</f>
        <v>4</v>
      </c>
      <c r="O638">
        <f>_xlfn.XLOOKUP(Data[[#This Row],[Status]],Compliance_Status[Status from OPMS],Compliance_Status[Has Course booking],"")</f>
        <v>0</v>
      </c>
      <c r="P638" t="str">
        <f>_xlfn.XLOOKUP(Data[[#This Row],[StatusKey]],Status_Key[Status_Key],Status_Key[Name],"")</f>
        <v>In Date</v>
      </c>
    </row>
    <row r="639" spans="1:16" x14ac:dyDescent="0.25">
      <c r="A639" s="1">
        <v>154</v>
      </c>
      <c r="B639" s="1" t="s">
        <v>195</v>
      </c>
      <c r="C639" s="1" t="s">
        <v>196</v>
      </c>
      <c r="D639" s="1" t="s">
        <v>197</v>
      </c>
      <c r="E639" s="1" t="s">
        <v>106</v>
      </c>
      <c r="F639" s="1" t="s">
        <v>65</v>
      </c>
      <c r="G639" s="1" t="s">
        <v>16</v>
      </c>
      <c r="H639" s="1" t="s">
        <v>130</v>
      </c>
      <c r="I639" s="1" t="s">
        <v>60</v>
      </c>
      <c r="J639" s="1" t="s">
        <v>67</v>
      </c>
      <c r="K639" s="1" t="s">
        <v>105</v>
      </c>
      <c r="L639" s="3">
        <v>47224</v>
      </c>
      <c r="M639" s="3">
        <v>45398</v>
      </c>
      <c r="N639">
        <f>_xlfn.XLOOKUP(Data[[#This Row],[Status]],Compliance_Status[Status from OPMS],Compliance_Status[Status_Key],"")</f>
        <v>4</v>
      </c>
      <c r="O639">
        <f>_xlfn.XLOOKUP(Data[[#This Row],[Status]],Compliance_Status[Status from OPMS],Compliance_Status[Has Course booking],"")</f>
        <v>0</v>
      </c>
      <c r="P639" t="str">
        <f>_xlfn.XLOOKUP(Data[[#This Row],[StatusKey]],Status_Key[Status_Key],Status_Key[Name],"")</f>
        <v>In Date</v>
      </c>
    </row>
    <row r="640" spans="1:16" x14ac:dyDescent="0.25">
      <c r="A640" s="1">
        <v>154</v>
      </c>
      <c r="B640" s="1" t="s">
        <v>195</v>
      </c>
      <c r="C640" s="1" t="s">
        <v>196</v>
      </c>
      <c r="D640" s="1" t="s">
        <v>197</v>
      </c>
      <c r="E640" s="1" t="s">
        <v>107</v>
      </c>
      <c r="F640" s="1" t="s">
        <v>65</v>
      </c>
      <c r="G640" s="1" t="s">
        <v>16</v>
      </c>
      <c r="H640" s="1" t="s">
        <v>130</v>
      </c>
      <c r="I640" s="1" t="s">
        <v>60</v>
      </c>
      <c r="J640" s="1" t="s">
        <v>67</v>
      </c>
      <c r="K640" s="1" t="s">
        <v>105</v>
      </c>
      <c r="L640" s="3">
        <v>46493</v>
      </c>
      <c r="M640" s="3">
        <v>45398</v>
      </c>
      <c r="N640">
        <f>_xlfn.XLOOKUP(Data[[#This Row],[Status]],Compliance_Status[Status from OPMS],Compliance_Status[Status_Key],"")</f>
        <v>4</v>
      </c>
      <c r="O640">
        <f>_xlfn.XLOOKUP(Data[[#This Row],[Status]],Compliance_Status[Status from OPMS],Compliance_Status[Has Course booking],"")</f>
        <v>0</v>
      </c>
      <c r="P640" t="str">
        <f>_xlfn.XLOOKUP(Data[[#This Row],[StatusKey]],Status_Key[Status_Key],Status_Key[Name],"")</f>
        <v>In Date</v>
      </c>
    </row>
    <row r="641" spans="1:16" x14ac:dyDescent="0.25">
      <c r="A641" s="1">
        <v>154</v>
      </c>
      <c r="B641" s="1" t="s">
        <v>195</v>
      </c>
      <c r="C641" s="1" t="s">
        <v>196</v>
      </c>
      <c r="D641" s="1" t="s">
        <v>197</v>
      </c>
      <c r="E641" s="1" t="s">
        <v>108</v>
      </c>
      <c r="F641" s="1" t="s">
        <v>65</v>
      </c>
      <c r="G641" s="1" t="s">
        <v>16</v>
      </c>
      <c r="H641" s="1" t="s">
        <v>130</v>
      </c>
      <c r="I641" s="1" t="s">
        <v>60</v>
      </c>
      <c r="J641" s="1" t="s">
        <v>67</v>
      </c>
      <c r="K641" s="1" t="s">
        <v>105</v>
      </c>
      <c r="L641" s="3">
        <v>47314</v>
      </c>
      <c r="M641" s="3">
        <v>46218</v>
      </c>
      <c r="N641">
        <f>_xlfn.XLOOKUP(Data[[#This Row],[Status]],Compliance_Status[Status from OPMS],Compliance_Status[Status_Key],"")</f>
        <v>4</v>
      </c>
      <c r="O641">
        <f>_xlfn.XLOOKUP(Data[[#This Row],[Status]],Compliance_Status[Status from OPMS],Compliance_Status[Has Course booking],"")</f>
        <v>0</v>
      </c>
      <c r="P641" t="str">
        <f>_xlfn.XLOOKUP(Data[[#This Row],[StatusKey]],Status_Key[Status_Key],Status_Key[Name],"")</f>
        <v>In Date</v>
      </c>
    </row>
    <row r="642" spans="1:16" x14ac:dyDescent="0.25">
      <c r="A642" s="1">
        <v>154</v>
      </c>
      <c r="B642" s="1" t="s">
        <v>195</v>
      </c>
      <c r="C642" s="1" t="s">
        <v>196</v>
      </c>
      <c r="D642" s="1" t="s">
        <v>197</v>
      </c>
      <c r="E642" s="1" t="s">
        <v>109</v>
      </c>
      <c r="F642" s="1" t="s">
        <v>65</v>
      </c>
      <c r="G642" s="1" t="s">
        <v>16</v>
      </c>
      <c r="H642" s="1" t="s">
        <v>130</v>
      </c>
      <c r="I642" s="1" t="s">
        <v>60</v>
      </c>
      <c r="J642" s="1" t="s">
        <v>67</v>
      </c>
      <c r="K642" s="1" t="s">
        <v>105</v>
      </c>
      <c r="L642" s="3">
        <v>46666</v>
      </c>
      <c r="M642" s="3">
        <v>45936</v>
      </c>
      <c r="N642">
        <f>_xlfn.XLOOKUP(Data[[#This Row],[Status]],Compliance_Status[Status from OPMS],Compliance_Status[Status_Key],"")</f>
        <v>4</v>
      </c>
      <c r="O642">
        <f>_xlfn.XLOOKUP(Data[[#This Row],[Status]],Compliance_Status[Status from OPMS],Compliance_Status[Has Course booking],"")</f>
        <v>0</v>
      </c>
      <c r="P642" t="str">
        <f>_xlfn.XLOOKUP(Data[[#This Row],[StatusKey]],Status_Key[Status_Key],Status_Key[Name],"")</f>
        <v>In Date</v>
      </c>
    </row>
    <row r="643" spans="1:16" x14ac:dyDescent="0.25">
      <c r="A643" s="1">
        <v>154</v>
      </c>
      <c r="B643" s="1" t="s">
        <v>195</v>
      </c>
      <c r="C643" s="1" t="s">
        <v>196</v>
      </c>
      <c r="D643" s="1" t="s">
        <v>197</v>
      </c>
      <c r="E643" s="1" t="s">
        <v>110</v>
      </c>
      <c r="F643" s="1" t="s">
        <v>65</v>
      </c>
      <c r="G643" s="1" t="s">
        <v>16</v>
      </c>
      <c r="H643" s="1" t="s">
        <v>130</v>
      </c>
      <c r="I643" s="1" t="s">
        <v>60</v>
      </c>
      <c r="J643" s="1" t="s">
        <v>67</v>
      </c>
      <c r="K643" s="1" t="s">
        <v>105</v>
      </c>
      <c r="L643" s="3" t="s">
        <v>79</v>
      </c>
      <c r="M643" s="3">
        <v>45398</v>
      </c>
      <c r="N643">
        <f>_xlfn.XLOOKUP(Data[[#This Row],[Status]],Compliance_Status[Status from OPMS],Compliance_Status[Status_Key],"")</f>
        <v>4</v>
      </c>
      <c r="O643">
        <f>_xlfn.XLOOKUP(Data[[#This Row],[Status]],Compliance_Status[Status from OPMS],Compliance_Status[Has Course booking],"")</f>
        <v>0</v>
      </c>
      <c r="P643" t="str">
        <f>_xlfn.XLOOKUP(Data[[#This Row],[StatusKey]],Status_Key[Status_Key],Status_Key[Name],"")</f>
        <v>In Date</v>
      </c>
    </row>
    <row r="644" spans="1:16" x14ac:dyDescent="0.25">
      <c r="A644" s="1">
        <v>154</v>
      </c>
      <c r="B644" s="1" t="s">
        <v>195</v>
      </c>
      <c r="C644" s="1" t="s">
        <v>196</v>
      </c>
      <c r="D644" s="1" t="s">
        <v>197</v>
      </c>
      <c r="E644" s="1" t="s">
        <v>111</v>
      </c>
      <c r="F644" s="1" t="s">
        <v>65</v>
      </c>
      <c r="G644" s="1" t="s">
        <v>16</v>
      </c>
      <c r="H644" s="1" t="s">
        <v>130</v>
      </c>
      <c r="I644" s="1" t="s">
        <v>60</v>
      </c>
      <c r="J644" s="1" t="s">
        <v>67</v>
      </c>
      <c r="K644" s="1" t="s">
        <v>105</v>
      </c>
      <c r="L644" s="3">
        <v>46720</v>
      </c>
      <c r="M644" s="3">
        <v>45990</v>
      </c>
      <c r="N644">
        <f>_xlfn.XLOOKUP(Data[[#This Row],[Status]],Compliance_Status[Status from OPMS],Compliance_Status[Status_Key],"")</f>
        <v>4</v>
      </c>
      <c r="O644">
        <f>_xlfn.XLOOKUP(Data[[#This Row],[Status]],Compliance_Status[Status from OPMS],Compliance_Status[Has Course booking],"")</f>
        <v>0</v>
      </c>
      <c r="P644" t="str">
        <f>_xlfn.XLOOKUP(Data[[#This Row],[StatusKey]],Status_Key[Status_Key],Status_Key[Name],"")</f>
        <v>In Date</v>
      </c>
    </row>
    <row r="645" spans="1:16" x14ac:dyDescent="0.25">
      <c r="A645" s="1">
        <v>154</v>
      </c>
      <c r="B645" s="1" t="s">
        <v>195</v>
      </c>
      <c r="C645" s="1" t="s">
        <v>196</v>
      </c>
      <c r="D645" s="1" t="s">
        <v>197</v>
      </c>
      <c r="E645" s="1" t="s">
        <v>112</v>
      </c>
      <c r="F645" s="1" t="s">
        <v>65</v>
      </c>
      <c r="G645" s="1" t="s">
        <v>16</v>
      </c>
      <c r="H645" s="1" t="s">
        <v>130</v>
      </c>
      <c r="I645" s="1" t="s">
        <v>60</v>
      </c>
      <c r="J645" s="1" t="s">
        <v>67</v>
      </c>
      <c r="K645" s="1" t="s">
        <v>105</v>
      </c>
      <c r="L645" s="3">
        <v>46757</v>
      </c>
      <c r="M645" s="3">
        <v>46027</v>
      </c>
      <c r="N645">
        <f>_xlfn.XLOOKUP(Data[[#This Row],[Status]],Compliance_Status[Status from OPMS],Compliance_Status[Status_Key],"")</f>
        <v>4</v>
      </c>
      <c r="O645">
        <f>_xlfn.XLOOKUP(Data[[#This Row],[Status]],Compliance_Status[Status from OPMS],Compliance_Status[Has Course booking],"")</f>
        <v>0</v>
      </c>
      <c r="P645" t="str">
        <f>_xlfn.XLOOKUP(Data[[#This Row],[StatusKey]],Status_Key[Status_Key],Status_Key[Name],"")</f>
        <v>In Date</v>
      </c>
    </row>
    <row r="646" spans="1:16" x14ac:dyDescent="0.25">
      <c r="A646" s="1">
        <v>154</v>
      </c>
      <c r="B646" s="1" t="s">
        <v>195</v>
      </c>
      <c r="C646" s="1" t="s">
        <v>196</v>
      </c>
      <c r="D646" s="1" t="s">
        <v>197</v>
      </c>
      <c r="E646" s="1" t="s">
        <v>113</v>
      </c>
      <c r="F646" s="1" t="s">
        <v>65</v>
      </c>
      <c r="G646" s="1" t="s">
        <v>16</v>
      </c>
      <c r="H646" s="1" t="s">
        <v>130</v>
      </c>
      <c r="I646" s="1" t="s">
        <v>60</v>
      </c>
      <c r="J646" s="1" t="s">
        <v>67</v>
      </c>
      <c r="K646" s="1" t="s">
        <v>105</v>
      </c>
      <c r="L646" s="3">
        <v>46757</v>
      </c>
      <c r="M646" s="3">
        <v>46027</v>
      </c>
      <c r="N646">
        <f>_xlfn.XLOOKUP(Data[[#This Row],[Status]],Compliance_Status[Status from OPMS],Compliance_Status[Status_Key],"")</f>
        <v>4</v>
      </c>
      <c r="O646">
        <f>_xlfn.XLOOKUP(Data[[#This Row],[Status]],Compliance_Status[Status from OPMS],Compliance_Status[Has Course booking],"")</f>
        <v>0</v>
      </c>
      <c r="P646" t="str">
        <f>_xlfn.XLOOKUP(Data[[#This Row],[StatusKey]],Status_Key[Status_Key],Status_Key[Name],"")</f>
        <v>In Date</v>
      </c>
    </row>
    <row r="647" spans="1:16" x14ac:dyDescent="0.25">
      <c r="A647" s="1">
        <v>158</v>
      </c>
      <c r="B647" s="1" t="s">
        <v>198</v>
      </c>
      <c r="C647" s="1" t="s">
        <v>199</v>
      </c>
      <c r="D647" s="1" t="s">
        <v>200</v>
      </c>
      <c r="E647" s="1" t="s">
        <v>136</v>
      </c>
      <c r="F647" s="1" t="s">
        <v>65</v>
      </c>
      <c r="G647" s="1" t="s">
        <v>16</v>
      </c>
      <c r="H647" s="1" t="s">
        <v>137</v>
      </c>
      <c r="I647" s="1" t="s">
        <v>60</v>
      </c>
      <c r="J647" s="1"/>
      <c r="K647" s="1" t="s">
        <v>68</v>
      </c>
      <c r="L647" s="3">
        <v>47296</v>
      </c>
      <c r="M647" s="3">
        <v>45622</v>
      </c>
      <c r="N647">
        <f>_xlfn.XLOOKUP(Data[[#This Row],[Status]],Compliance_Status[Status from OPMS],Compliance_Status[Status_Key],"")</f>
        <v>4</v>
      </c>
      <c r="O647">
        <f>_xlfn.XLOOKUP(Data[[#This Row],[Status]],Compliance_Status[Status from OPMS],Compliance_Status[Has Course booking],"")</f>
        <v>0</v>
      </c>
      <c r="P647" t="str">
        <f>_xlfn.XLOOKUP(Data[[#This Row],[StatusKey]],Status_Key[Status_Key],Status_Key[Name],"")</f>
        <v>In Date</v>
      </c>
    </row>
    <row r="648" spans="1:16" x14ac:dyDescent="0.25">
      <c r="A648" s="1">
        <v>158</v>
      </c>
      <c r="B648" s="1" t="s">
        <v>198</v>
      </c>
      <c r="C648" s="1" t="s">
        <v>199</v>
      </c>
      <c r="D648" s="1" t="s">
        <v>200</v>
      </c>
      <c r="E648" s="1" t="s">
        <v>131</v>
      </c>
      <c r="F648" s="1" t="s">
        <v>65</v>
      </c>
      <c r="G648" s="1" t="s">
        <v>16</v>
      </c>
      <c r="H648" s="1" t="s">
        <v>137</v>
      </c>
      <c r="I648" s="1" t="s">
        <v>60</v>
      </c>
      <c r="J648" s="1"/>
      <c r="K648" s="1" t="s">
        <v>68</v>
      </c>
      <c r="L648" s="3">
        <v>47296</v>
      </c>
      <c r="M648" s="3">
        <v>45622</v>
      </c>
      <c r="N648">
        <f>_xlfn.XLOOKUP(Data[[#This Row],[Status]],Compliance_Status[Status from OPMS],Compliance_Status[Status_Key],"")</f>
        <v>4</v>
      </c>
      <c r="O648">
        <f>_xlfn.XLOOKUP(Data[[#This Row],[Status]],Compliance_Status[Status from OPMS],Compliance_Status[Has Course booking],"")</f>
        <v>0</v>
      </c>
      <c r="P648" t="str">
        <f>_xlfn.XLOOKUP(Data[[#This Row],[StatusKey]],Status_Key[Status_Key],Status_Key[Name],"")</f>
        <v>In Date</v>
      </c>
    </row>
    <row r="649" spans="1:16" x14ac:dyDescent="0.25">
      <c r="A649" s="1">
        <v>158</v>
      </c>
      <c r="B649" s="1" t="s">
        <v>198</v>
      </c>
      <c r="C649" s="1" t="s">
        <v>199</v>
      </c>
      <c r="D649" s="1" t="s">
        <v>200</v>
      </c>
      <c r="E649" s="1" t="s">
        <v>69</v>
      </c>
      <c r="F649" s="1" t="s">
        <v>65</v>
      </c>
      <c r="G649" s="1" t="s">
        <v>16</v>
      </c>
      <c r="H649" s="1" t="s">
        <v>137</v>
      </c>
      <c r="I649" s="1" t="s">
        <v>60</v>
      </c>
      <c r="J649" s="1" t="s">
        <v>67</v>
      </c>
      <c r="K649" s="1" t="s">
        <v>68</v>
      </c>
      <c r="L649" s="3">
        <v>47296</v>
      </c>
      <c r="M649" s="3">
        <v>45622</v>
      </c>
      <c r="N649">
        <f>_xlfn.XLOOKUP(Data[[#This Row],[Status]],Compliance_Status[Status from OPMS],Compliance_Status[Status_Key],"")</f>
        <v>4</v>
      </c>
      <c r="O649">
        <f>_xlfn.XLOOKUP(Data[[#This Row],[Status]],Compliance_Status[Status from OPMS],Compliance_Status[Has Course booking],"")</f>
        <v>0</v>
      </c>
      <c r="P649" t="str">
        <f>_xlfn.XLOOKUP(Data[[#This Row],[StatusKey]],Status_Key[Status_Key],Status_Key[Name],"")</f>
        <v>In Date</v>
      </c>
    </row>
    <row r="650" spans="1:16" x14ac:dyDescent="0.25">
      <c r="A650" s="1">
        <v>158</v>
      </c>
      <c r="B650" s="1" t="s">
        <v>198</v>
      </c>
      <c r="C650" s="1" t="s">
        <v>199</v>
      </c>
      <c r="D650" s="1" t="s">
        <v>200</v>
      </c>
      <c r="E650" s="1" t="s">
        <v>70</v>
      </c>
      <c r="F650" s="1"/>
      <c r="G650" s="1" t="s">
        <v>16</v>
      </c>
      <c r="H650" s="1" t="s">
        <v>137</v>
      </c>
      <c r="I650" s="1" t="s">
        <v>60</v>
      </c>
      <c r="J650" s="1" t="s">
        <v>67</v>
      </c>
      <c r="K650" s="1" t="s">
        <v>68</v>
      </c>
      <c r="L650" s="3">
        <v>47296</v>
      </c>
      <c r="M650" s="3">
        <v>45622</v>
      </c>
      <c r="N650">
        <f>_xlfn.XLOOKUP(Data[[#This Row],[Status]],Compliance_Status[Status from OPMS],Compliance_Status[Status_Key],"")</f>
        <v>4</v>
      </c>
      <c r="O650">
        <f>_xlfn.XLOOKUP(Data[[#This Row],[Status]],Compliance_Status[Status from OPMS],Compliance_Status[Has Course booking],"")</f>
        <v>0</v>
      </c>
      <c r="P650" t="str">
        <f>_xlfn.XLOOKUP(Data[[#This Row],[StatusKey]],Status_Key[Status_Key],Status_Key[Name],"")</f>
        <v>In Date</v>
      </c>
    </row>
    <row r="651" spans="1:16" x14ac:dyDescent="0.25">
      <c r="A651" s="1">
        <v>158</v>
      </c>
      <c r="B651" s="1" t="s">
        <v>198</v>
      </c>
      <c r="C651" s="1" t="s">
        <v>199</v>
      </c>
      <c r="D651" s="1" t="s">
        <v>200</v>
      </c>
      <c r="E651" s="1" t="s">
        <v>132</v>
      </c>
      <c r="F651" s="1" t="s">
        <v>65</v>
      </c>
      <c r="G651" s="1" t="s">
        <v>16</v>
      </c>
      <c r="H651" s="1" t="s">
        <v>137</v>
      </c>
      <c r="I651" s="1" t="s">
        <v>60</v>
      </c>
      <c r="J651" s="1"/>
      <c r="K651" s="1" t="s">
        <v>68</v>
      </c>
      <c r="L651" s="3">
        <v>47296</v>
      </c>
      <c r="M651" s="3">
        <v>45622</v>
      </c>
      <c r="N651">
        <f>_xlfn.XLOOKUP(Data[[#This Row],[Status]],Compliance_Status[Status from OPMS],Compliance_Status[Status_Key],"")</f>
        <v>4</v>
      </c>
      <c r="O651">
        <f>_xlfn.XLOOKUP(Data[[#This Row],[Status]],Compliance_Status[Status from OPMS],Compliance_Status[Has Course booking],"")</f>
        <v>0</v>
      </c>
      <c r="P651" t="str">
        <f>_xlfn.XLOOKUP(Data[[#This Row],[StatusKey]],Status_Key[Status_Key],Status_Key[Name],"")</f>
        <v>In Date</v>
      </c>
    </row>
    <row r="652" spans="1:16" x14ac:dyDescent="0.25">
      <c r="A652" s="1">
        <v>158</v>
      </c>
      <c r="B652" s="1" t="s">
        <v>198</v>
      </c>
      <c r="C652" s="1" t="s">
        <v>199</v>
      </c>
      <c r="D652" s="1" t="s">
        <v>200</v>
      </c>
      <c r="E652" s="1" t="s">
        <v>71</v>
      </c>
      <c r="F652" s="1" t="s">
        <v>72</v>
      </c>
      <c r="G652" s="1" t="s">
        <v>18</v>
      </c>
      <c r="H652" s="1" t="s">
        <v>137</v>
      </c>
      <c r="I652" s="1" t="s">
        <v>60</v>
      </c>
      <c r="J652" s="1"/>
      <c r="K652" s="1" t="s">
        <v>68</v>
      </c>
      <c r="L652" s="3"/>
      <c r="M652" s="3"/>
      <c r="N652">
        <f>_xlfn.XLOOKUP(Data[[#This Row],[Status]],Compliance_Status[Status from OPMS],Compliance_Status[Status_Key],"")</f>
        <v>2</v>
      </c>
      <c r="O652">
        <f>_xlfn.XLOOKUP(Data[[#This Row],[Status]],Compliance_Status[Status from OPMS],Compliance_Status[Has Course booking],"")</f>
        <v>0</v>
      </c>
      <c r="P652" t="str">
        <f>_xlfn.XLOOKUP(Data[[#This Row],[StatusKey]],Status_Key[Status_Key],Status_Key[Name],"")</f>
        <v>Outstanding</v>
      </c>
    </row>
    <row r="653" spans="1:16" x14ac:dyDescent="0.25">
      <c r="A653" s="1">
        <v>158</v>
      </c>
      <c r="B653" s="1" t="s">
        <v>198</v>
      </c>
      <c r="C653" s="1" t="s">
        <v>199</v>
      </c>
      <c r="D653" s="1" t="s">
        <v>200</v>
      </c>
      <c r="E653" s="1" t="s">
        <v>73</v>
      </c>
      <c r="F653" s="1" t="s">
        <v>65</v>
      </c>
      <c r="G653" s="1" t="s">
        <v>16</v>
      </c>
      <c r="H653" s="1" t="s">
        <v>137</v>
      </c>
      <c r="I653" s="1" t="s">
        <v>60</v>
      </c>
      <c r="J653" s="1" t="s">
        <v>67</v>
      </c>
      <c r="K653" s="1" t="s">
        <v>68</v>
      </c>
      <c r="L653" s="3">
        <v>46465</v>
      </c>
      <c r="M653" s="3">
        <v>45735</v>
      </c>
      <c r="N653">
        <f>_xlfn.XLOOKUP(Data[[#This Row],[Status]],Compliance_Status[Status from OPMS],Compliance_Status[Status_Key],"")</f>
        <v>4</v>
      </c>
      <c r="O653">
        <f>_xlfn.XLOOKUP(Data[[#This Row],[Status]],Compliance_Status[Status from OPMS],Compliance_Status[Has Course booking],"")</f>
        <v>0</v>
      </c>
      <c r="P653" t="str">
        <f>_xlfn.XLOOKUP(Data[[#This Row],[StatusKey]],Status_Key[Status_Key],Status_Key[Name],"")</f>
        <v>In Date</v>
      </c>
    </row>
    <row r="654" spans="1:16" x14ac:dyDescent="0.25">
      <c r="A654" s="1">
        <v>158</v>
      </c>
      <c r="B654" s="1" t="s">
        <v>198</v>
      </c>
      <c r="C654" s="1" t="s">
        <v>199</v>
      </c>
      <c r="D654" s="1" t="s">
        <v>200</v>
      </c>
      <c r="E654" s="1" t="s">
        <v>74</v>
      </c>
      <c r="F654" s="1" t="s">
        <v>65</v>
      </c>
      <c r="G654" s="1" t="s">
        <v>16</v>
      </c>
      <c r="H654" s="1" t="s">
        <v>137</v>
      </c>
      <c r="I654" s="1" t="s">
        <v>60</v>
      </c>
      <c r="J654" s="1" t="s">
        <v>67</v>
      </c>
      <c r="K654" s="1" t="s">
        <v>68</v>
      </c>
      <c r="L654" s="3">
        <v>46759</v>
      </c>
      <c r="M654" s="3">
        <v>45664</v>
      </c>
      <c r="N654">
        <f>_xlfn.XLOOKUP(Data[[#This Row],[Status]],Compliance_Status[Status from OPMS],Compliance_Status[Status_Key],"")</f>
        <v>4</v>
      </c>
      <c r="O654">
        <f>_xlfn.XLOOKUP(Data[[#This Row],[Status]],Compliance_Status[Status from OPMS],Compliance_Status[Has Course booking],"")</f>
        <v>0</v>
      </c>
      <c r="P654" t="str">
        <f>_xlfn.XLOOKUP(Data[[#This Row],[StatusKey]],Status_Key[Status_Key],Status_Key[Name],"")</f>
        <v>In Date</v>
      </c>
    </row>
    <row r="655" spans="1:16" x14ac:dyDescent="0.25">
      <c r="A655" s="1">
        <v>158</v>
      </c>
      <c r="B655" s="1" t="s">
        <v>198</v>
      </c>
      <c r="C655" s="1" t="s">
        <v>199</v>
      </c>
      <c r="D655" s="1" t="s">
        <v>200</v>
      </c>
      <c r="E655" s="1" t="s">
        <v>75</v>
      </c>
      <c r="F655" s="1" t="s">
        <v>72</v>
      </c>
      <c r="G655" s="1" t="s">
        <v>18</v>
      </c>
      <c r="H655" s="1" t="s">
        <v>137</v>
      </c>
      <c r="I655" s="1" t="s">
        <v>60</v>
      </c>
      <c r="J655" s="1"/>
      <c r="K655" s="1" t="s">
        <v>68</v>
      </c>
      <c r="L655" s="3"/>
      <c r="M655" s="3"/>
      <c r="N655">
        <f>_xlfn.XLOOKUP(Data[[#This Row],[Status]],Compliance_Status[Status from OPMS],Compliance_Status[Status_Key],"")</f>
        <v>2</v>
      </c>
      <c r="O655">
        <f>_xlfn.XLOOKUP(Data[[#This Row],[Status]],Compliance_Status[Status from OPMS],Compliance_Status[Has Course booking],"")</f>
        <v>0</v>
      </c>
      <c r="P655" t="str">
        <f>_xlfn.XLOOKUP(Data[[#This Row],[StatusKey]],Status_Key[Status_Key],Status_Key[Name],"")</f>
        <v>Outstanding</v>
      </c>
    </row>
    <row r="656" spans="1:16" x14ac:dyDescent="0.25">
      <c r="A656" s="1">
        <v>158</v>
      </c>
      <c r="B656" s="1" t="s">
        <v>198</v>
      </c>
      <c r="C656" s="1" t="s">
        <v>199</v>
      </c>
      <c r="D656" s="1" t="s">
        <v>200</v>
      </c>
      <c r="E656" s="1" t="s">
        <v>76</v>
      </c>
      <c r="F656" s="1" t="s">
        <v>65</v>
      </c>
      <c r="G656" s="1" t="s">
        <v>16</v>
      </c>
      <c r="H656" s="1" t="s">
        <v>137</v>
      </c>
      <c r="I656" s="1" t="s">
        <v>60</v>
      </c>
      <c r="J656" s="1" t="s">
        <v>67</v>
      </c>
      <c r="K656" s="1" t="s">
        <v>77</v>
      </c>
      <c r="L656" s="3">
        <v>47422</v>
      </c>
      <c r="M656" s="3">
        <v>45961</v>
      </c>
      <c r="N656">
        <f>_xlfn.XLOOKUP(Data[[#This Row],[Status]],Compliance_Status[Status from OPMS],Compliance_Status[Status_Key],"")</f>
        <v>4</v>
      </c>
      <c r="O656">
        <f>_xlfn.XLOOKUP(Data[[#This Row],[Status]],Compliance_Status[Status from OPMS],Compliance_Status[Has Course booking],"")</f>
        <v>0</v>
      </c>
      <c r="P656" t="str">
        <f>_xlfn.XLOOKUP(Data[[#This Row],[StatusKey]],Status_Key[Status_Key],Status_Key[Name],"")</f>
        <v>In Date</v>
      </c>
    </row>
    <row r="657" spans="1:16" x14ac:dyDescent="0.25">
      <c r="A657" s="1">
        <v>158</v>
      </c>
      <c r="B657" s="1" t="s">
        <v>198</v>
      </c>
      <c r="C657" s="1" t="s">
        <v>199</v>
      </c>
      <c r="D657" s="1" t="s">
        <v>200</v>
      </c>
      <c r="E657" s="1" t="s">
        <v>78</v>
      </c>
      <c r="F657" s="1" t="s">
        <v>65</v>
      </c>
      <c r="G657" s="1" t="s">
        <v>16</v>
      </c>
      <c r="H657" s="1" t="s">
        <v>137</v>
      </c>
      <c r="I657" s="1" t="s">
        <v>60</v>
      </c>
      <c r="J657" s="1" t="s">
        <v>67</v>
      </c>
      <c r="K657" s="1" t="s">
        <v>77</v>
      </c>
      <c r="L657" s="3" t="s">
        <v>79</v>
      </c>
      <c r="M657" s="3">
        <v>45660</v>
      </c>
      <c r="N657">
        <f>_xlfn.XLOOKUP(Data[[#This Row],[Status]],Compliance_Status[Status from OPMS],Compliance_Status[Status_Key],"")</f>
        <v>4</v>
      </c>
      <c r="O657">
        <f>_xlfn.XLOOKUP(Data[[#This Row],[Status]],Compliance_Status[Status from OPMS],Compliance_Status[Has Course booking],"")</f>
        <v>0</v>
      </c>
      <c r="P657" t="str">
        <f>_xlfn.XLOOKUP(Data[[#This Row],[StatusKey]],Status_Key[Status_Key],Status_Key[Name],"")</f>
        <v>In Date</v>
      </c>
    </row>
    <row r="658" spans="1:16" x14ac:dyDescent="0.25">
      <c r="A658" s="1">
        <v>158</v>
      </c>
      <c r="B658" s="1" t="s">
        <v>198</v>
      </c>
      <c r="C658" s="1" t="s">
        <v>199</v>
      </c>
      <c r="D658" s="1" t="s">
        <v>200</v>
      </c>
      <c r="E658" s="1" t="s">
        <v>80</v>
      </c>
      <c r="F658" s="1" t="s">
        <v>65</v>
      </c>
      <c r="G658" s="1" t="s">
        <v>16</v>
      </c>
      <c r="H658" s="1" t="s">
        <v>137</v>
      </c>
      <c r="I658" s="1" t="s">
        <v>60</v>
      </c>
      <c r="J658" s="1" t="s">
        <v>67</v>
      </c>
      <c r="K658" s="1" t="s">
        <v>77</v>
      </c>
      <c r="L658" s="3" t="s">
        <v>79</v>
      </c>
      <c r="M658" s="3">
        <v>45766</v>
      </c>
      <c r="N658">
        <f>_xlfn.XLOOKUP(Data[[#This Row],[Status]],Compliance_Status[Status from OPMS],Compliance_Status[Status_Key],"")</f>
        <v>4</v>
      </c>
      <c r="O658">
        <f>_xlfn.XLOOKUP(Data[[#This Row],[Status]],Compliance_Status[Status from OPMS],Compliance_Status[Has Course booking],"")</f>
        <v>0</v>
      </c>
      <c r="P658" t="str">
        <f>_xlfn.XLOOKUP(Data[[#This Row],[StatusKey]],Status_Key[Status_Key],Status_Key[Name],"")</f>
        <v>In Date</v>
      </c>
    </row>
    <row r="659" spans="1:16" x14ac:dyDescent="0.25">
      <c r="A659" s="1">
        <v>158</v>
      </c>
      <c r="B659" s="1" t="s">
        <v>198</v>
      </c>
      <c r="C659" s="1" t="s">
        <v>199</v>
      </c>
      <c r="D659" s="1" t="s">
        <v>200</v>
      </c>
      <c r="E659" s="1" t="s">
        <v>81</v>
      </c>
      <c r="F659" s="1" t="s">
        <v>65</v>
      </c>
      <c r="G659" s="1" t="s">
        <v>16</v>
      </c>
      <c r="H659" s="1" t="s">
        <v>137</v>
      </c>
      <c r="I659" s="1" t="s">
        <v>60</v>
      </c>
      <c r="J659" s="1" t="s">
        <v>67</v>
      </c>
      <c r="K659" s="1" t="s">
        <v>77</v>
      </c>
      <c r="L659" s="3">
        <v>46769</v>
      </c>
      <c r="M659" s="3">
        <v>46039</v>
      </c>
      <c r="N659">
        <f>_xlfn.XLOOKUP(Data[[#This Row],[Status]],Compliance_Status[Status from OPMS],Compliance_Status[Status_Key],"")</f>
        <v>4</v>
      </c>
      <c r="O659">
        <f>_xlfn.XLOOKUP(Data[[#This Row],[Status]],Compliance_Status[Status from OPMS],Compliance_Status[Has Course booking],"")</f>
        <v>0</v>
      </c>
      <c r="P659" t="str">
        <f>_xlfn.XLOOKUP(Data[[#This Row],[StatusKey]],Status_Key[Status_Key],Status_Key[Name],"")</f>
        <v>In Date</v>
      </c>
    </row>
    <row r="660" spans="1:16" x14ac:dyDescent="0.25">
      <c r="A660" s="1">
        <v>158</v>
      </c>
      <c r="B660" s="1" t="s">
        <v>198</v>
      </c>
      <c r="C660" s="1" t="s">
        <v>199</v>
      </c>
      <c r="D660" s="1" t="s">
        <v>200</v>
      </c>
      <c r="E660" s="1" t="s">
        <v>82</v>
      </c>
      <c r="F660" s="1" t="s">
        <v>65</v>
      </c>
      <c r="G660" s="1" t="s">
        <v>16</v>
      </c>
      <c r="H660" s="1" t="s">
        <v>137</v>
      </c>
      <c r="I660" s="1" t="s">
        <v>60</v>
      </c>
      <c r="J660" s="1" t="s">
        <v>67</v>
      </c>
      <c r="K660" s="1" t="s">
        <v>83</v>
      </c>
      <c r="L660" s="3">
        <v>46766</v>
      </c>
      <c r="M660" s="3">
        <v>46036</v>
      </c>
      <c r="N660">
        <f>_xlfn.XLOOKUP(Data[[#This Row],[Status]],Compliance_Status[Status from OPMS],Compliance_Status[Status_Key],"")</f>
        <v>4</v>
      </c>
      <c r="O660">
        <f>_xlfn.XLOOKUP(Data[[#This Row],[Status]],Compliance_Status[Status from OPMS],Compliance_Status[Has Course booking],"")</f>
        <v>0</v>
      </c>
      <c r="P660" t="str">
        <f>_xlfn.XLOOKUP(Data[[#This Row],[StatusKey]],Status_Key[Status_Key],Status_Key[Name],"")</f>
        <v>In Date</v>
      </c>
    </row>
    <row r="661" spans="1:16" x14ac:dyDescent="0.25">
      <c r="A661" s="1">
        <v>158</v>
      </c>
      <c r="B661" s="1" t="s">
        <v>198</v>
      </c>
      <c r="C661" s="1" t="s">
        <v>199</v>
      </c>
      <c r="D661" s="1" t="s">
        <v>200</v>
      </c>
      <c r="E661" s="1" t="s">
        <v>84</v>
      </c>
      <c r="F661" s="1" t="s">
        <v>65</v>
      </c>
      <c r="G661" s="1" t="s">
        <v>16</v>
      </c>
      <c r="H661" s="1" t="s">
        <v>137</v>
      </c>
      <c r="I661" s="1" t="s">
        <v>60</v>
      </c>
      <c r="J661" s="1" t="s">
        <v>67</v>
      </c>
      <c r="K661" s="1" t="s">
        <v>83</v>
      </c>
      <c r="L661" s="3">
        <v>46716</v>
      </c>
      <c r="M661" s="3">
        <v>45986</v>
      </c>
      <c r="N661">
        <f>_xlfn.XLOOKUP(Data[[#This Row],[Status]],Compliance_Status[Status from OPMS],Compliance_Status[Status_Key],"")</f>
        <v>4</v>
      </c>
      <c r="O661">
        <f>_xlfn.XLOOKUP(Data[[#This Row],[Status]],Compliance_Status[Status from OPMS],Compliance_Status[Has Course booking],"")</f>
        <v>0</v>
      </c>
      <c r="P661" t="str">
        <f>_xlfn.XLOOKUP(Data[[#This Row],[StatusKey]],Status_Key[Status_Key],Status_Key[Name],"")</f>
        <v>In Date</v>
      </c>
    </row>
    <row r="662" spans="1:16" x14ac:dyDescent="0.25">
      <c r="A662" s="1">
        <v>158</v>
      </c>
      <c r="B662" s="1" t="s">
        <v>198</v>
      </c>
      <c r="C662" s="1" t="s">
        <v>199</v>
      </c>
      <c r="D662" s="1" t="s">
        <v>200</v>
      </c>
      <c r="E662" s="1" t="s">
        <v>93</v>
      </c>
      <c r="F662" s="1" t="s">
        <v>65</v>
      </c>
      <c r="G662" s="1" t="s">
        <v>16</v>
      </c>
      <c r="H662" s="1" t="s">
        <v>137</v>
      </c>
      <c r="I662" s="1" t="s">
        <v>60</v>
      </c>
      <c r="J662" s="1" t="s">
        <v>67</v>
      </c>
      <c r="K662" s="1" t="s">
        <v>94</v>
      </c>
      <c r="L662" s="3">
        <v>46652</v>
      </c>
      <c r="M662" s="3">
        <v>45922</v>
      </c>
      <c r="N662">
        <f>_xlfn.XLOOKUP(Data[[#This Row],[Status]],Compliance_Status[Status from OPMS],Compliance_Status[Status_Key],"")</f>
        <v>4</v>
      </c>
      <c r="O662">
        <f>_xlfn.XLOOKUP(Data[[#This Row],[Status]],Compliance_Status[Status from OPMS],Compliance_Status[Has Course booking],"")</f>
        <v>0</v>
      </c>
      <c r="P662" t="str">
        <f>_xlfn.XLOOKUP(Data[[#This Row],[StatusKey]],Status_Key[Status_Key],Status_Key[Name],"")</f>
        <v>In Date</v>
      </c>
    </row>
    <row r="663" spans="1:16" x14ac:dyDescent="0.25">
      <c r="A663" s="1">
        <v>158</v>
      </c>
      <c r="B663" s="1" t="s">
        <v>198</v>
      </c>
      <c r="C663" s="1" t="s">
        <v>199</v>
      </c>
      <c r="D663" s="1" t="s">
        <v>200</v>
      </c>
      <c r="E663" s="1" t="s">
        <v>95</v>
      </c>
      <c r="F663" s="1" t="s">
        <v>65</v>
      </c>
      <c r="G663" s="1" t="s">
        <v>16</v>
      </c>
      <c r="H663" s="1" t="s">
        <v>137</v>
      </c>
      <c r="I663" s="1" t="s">
        <v>60</v>
      </c>
      <c r="J663" s="1" t="s">
        <v>67</v>
      </c>
      <c r="K663" s="1" t="s">
        <v>94</v>
      </c>
      <c r="L663" s="3">
        <v>46651</v>
      </c>
      <c r="M663" s="3">
        <v>45921</v>
      </c>
      <c r="N663">
        <f>_xlfn.XLOOKUP(Data[[#This Row],[Status]],Compliance_Status[Status from OPMS],Compliance_Status[Status_Key],"")</f>
        <v>4</v>
      </c>
      <c r="O663">
        <f>_xlfn.XLOOKUP(Data[[#This Row],[Status]],Compliance_Status[Status from OPMS],Compliance_Status[Has Course booking],"")</f>
        <v>0</v>
      </c>
      <c r="P663" t="str">
        <f>_xlfn.XLOOKUP(Data[[#This Row],[StatusKey]],Status_Key[Status_Key],Status_Key[Name],"")</f>
        <v>In Date</v>
      </c>
    </row>
    <row r="664" spans="1:16" x14ac:dyDescent="0.25">
      <c r="A664" s="1">
        <v>158</v>
      </c>
      <c r="B664" s="1" t="s">
        <v>198</v>
      </c>
      <c r="C664" s="1" t="s">
        <v>199</v>
      </c>
      <c r="D664" s="1" t="s">
        <v>200</v>
      </c>
      <c r="E664" s="1" t="s">
        <v>96</v>
      </c>
      <c r="F664" s="1" t="s">
        <v>65</v>
      </c>
      <c r="G664" s="1" t="s">
        <v>16</v>
      </c>
      <c r="H664" s="1" t="s">
        <v>137</v>
      </c>
      <c r="I664" s="1" t="s">
        <v>60</v>
      </c>
      <c r="J664" s="1" t="s">
        <v>67</v>
      </c>
      <c r="K664" s="1" t="s">
        <v>94</v>
      </c>
      <c r="L664" s="3" t="s">
        <v>79</v>
      </c>
      <c r="M664" s="3">
        <v>46010</v>
      </c>
      <c r="N664">
        <f>_xlfn.XLOOKUP(Data[[#This Row],[Status]],Compliance_Status[Status from OPMS],Compliance_Status[Status_Key],"")</f>
        <v>4</v>
      </c>
      <c r="O664">
        <f>_xlfn.XLOOKUP(Data[[#This Row],[Status]],Compliance_Status[Status from OPMS],Compliance_Status[Has Course booking],"")</f>
        <v>0</v>
      </c>
      <c r="P664" t="str">
        <f>_xlfn.XLOOKUP(Data[[#This Row],[StatusKey]],Status_Key[Status_Key],Status_Key[Name],"")</f>
        <v>In Date</v>
      </c>
    </row>
    <row r="665" spans="1:16" x14ac:dyDescent="0.25">
      <c r="A665" s="1">
        <v>158</v>
      </c>
      <c r="B665" s="1" t="s">
        <v>198</v>
      </c>
      <c r="C665" s="1" t="s">
        <v>199</v>
      </c>
      <c r="D665" s="1" t="s">
        <v>200</v>
      </c>
      <c r="E665" s="1" t="s">
        <v>124</v>
      </c>
      <c r="F665" s="1" t="s">
        <v>72</v>
      </c>
      <c r="G665" s="1" t="s">
        <v>18</v>
      </c>
      <c r="H665" s="1" t="s">
        <v>137</v>
      </c>
      <c r="I665" s="1" t="s">
        <v>60</v>
      </c>
      <c r="J665" s="1"/>
      <c r="K665" s="1" t="s">
        <v>125</v>
      </c>
      <c r="L665" s="3"/>
      <c r="M665" s="3"/>
      <c r="N665">
        <f>_xlfn.XLOOKUP(Data[[#This Row],[Status]],Compliance_Status[Status from OPMS],Compliance_Status[Status_Key],"")</f>
        <v>2</v>
      </c>
      <c r="O665">
        <f>_xlfn.XLOOKUP(Data[[#This Row],[Status]],Compliance_Status[Status from OPMS],Compliance_Status[Has Course booking],"")</f>
        <v>0</v>
      </c>
      <c r="P665" t="str">
        <f>_xlfn.XLOOKUP(Data[[#This Row],[StatusKey]],Status_Key[Status_Key],Status_Key[Name],"")</f>
        <v>Outstanding</v>
      </c>
    </row>
    <row r="666" spans="1:16" x14ac:dyDescent="0.25">
      <c r="A666" s="1">
        <v>158</v>
      </c>
      <c r="B666" s="1" t="s">
        <v>198</v>
      </c>
      <c r="C666" s="1" t="s">
        <v>199</v>
      </c>
      <c r="D666" s="1" t="s">
        <v>200</v>
      </c>
      <c r="E666" s="1" t="s">
        <v>97</v>
      </c>
      <c r="F666" s="1" t="s">
        <v>65</v>
      </c>
      <c r="G666" s="1" t="s">
        <v>16</v>
      </c>
      <c r="H666" s="1" t="s">
        <v>137</v>
      </c>
      <c r="I666" s="1" t="s">
        <v>60</v>
      </c>
      <c r="J666" s="1" t="s">
        <v>67</v>
      </c>
      <c r="K666" s="1" t="s">
        <v>98</v>
      </c>
      <c r="L666" s="3">
        <v>47488</v>
      </c>
      <c r="M666" s="3">
        <v>45662</v>
      </c>
      <c r="N666">
        <f>_xlfn.XLOOKUP(Data[[#This Row],[Status]],Compliance_Status[Status from OPMS],Compliance_Status[Status_Key],"")</f>
        <v>4</v>
      </c>
      <c r="O666">
        <f>_xlfn.XLOOKUP(Data[[#This Row],[Status]],Compliance_Status[Status from OPMS],Compliance_Status[Has Course booking],"")</f>
        <v>0</v>
      </c>
      <c r="P666" t="str">
        <f>_xlfn.XLOOKUP(Data[[#This Row],[StatusKey]],Status_Key[Status_Key],Status_Key[Name],"")</f>
        <v>In Date</v>
      </c>
    </row>
    <row r="667" spans="1:16" x14ac:dyDescent="0.25">
      <c r="A667" s="1">
        <v>158</v>
      </c>
      <c r="B667" s="1" t="s">
        <v>198</v>
      </c>
      <c r="C667" s="1" t="s">
        <v>199</v>
      </c>
      <c r="D667" s="1" t="s">
        <v>200</v>
      </c>
      <c r="E667" s="1" t="s">
        <v>101</v>
      </c>
      <c r="F667" s="1" t="s">
        <v>65</v>
      </c>
      <c r="G667" s="1" t="s">
        <v>16</v>
      </c>
      <c r="H667" s="1" t="s">
        <v>137</v>
      </c>
      <c r="I667" s="1" t="s">
        <v>60</v>
      </c>
      <c r="J667" s="1" t="s">
        <v>67</v>
      </c>
      <c r="K667" s="1" t="s">
        <v>102</v>
      </c>
      <c r="L667" s="3" t="s">
        <v>79</v>
      </c>
      <c r="M667" s="3">
        <v>45717</v>
      </c>
      <c r="N667">
        <f>_xlfn.XLOOKUP(Data[[#This Row],[Status]],Compliance_Status[Status from OPMS],Compliance_Status[Status_Key],"")</f>
        <v>4</v>
      </c>
      <c r="O667">
        <f>_xlfn.XLOOKUP(Data[[#This Row],[Status]],Compliance_Status[Status from OPMS],Compliance_Status[Has Course booking],"")</f>
        <v>0</v>
      </c>
      <c r="P667" t="str">
        <f>_xlfn.XLOOKUP(Data[[#This Row],[StatusKey]],Status_Key[Status_Key],Status_Key[Name],"")</f>
        <v>In Date</v>
      </c>
    </row>
    <row r="668" spans="1:16" x14ac:dyDescent="0.25">
      <c r="A668" s="1">
        <v>158</v>
      </c>
      <c r="B668" s="1" t="s">
        <v>198</v>
      </c>
      <c r="C668" s="1" t="s">
        <v>199</v>
      </c>
      <c r="D668" s="1" t="s">
        <v>200</v>
      </c>
      <c r="E668" s="1" t="s">
        <v>103</v>
      </c>
      <c r="F668" s="1" t="s">
        <v>65</v>
      </c>
      <c r="G668" s="1" t="s">
        <v>16</v>
      </c>
      <c r="H668" s="1" t="s">
        <v>137</v>
      </c>
      <c r="I668" s="1" t="s">
        <v>60</v>
      </c>
      <c r="J668" s="1" t="s">
        <v>67</v>
      </c>
      <c r="K668" s="1" t="s">
        <v>102</v>
      </c>
      <c r="L668" s="3">
        <v>46474</v>
      </c>
      <c r="M668" s="3">
        <v>45744</v>
      </c>
      <c r="N668">
        <f>_xlfn.XLOOKUP(Data[[#This Row],[Status]],Compliance_Status[Status from OPMS],Compliance_Status[Status_Key],"")</f>
        <v>4</v>
      </c>
      <c r="O668">
        <f>_xlfn.XLOOKUP(Data[[#This Row],[Status]],Compliance_Status[Status from OPMS],Compliance_Status[Has Course booking],"")</f>
        <v>0</v>
      </c>
      <c r="P668" t="str">
        <f>_xlfn.XLOOKUP(Data[[#This Row],[StatusKey]],Status_Key[Status_Key],Status_Key[Name],"")</f>
        <v>In Date</v>
      </c>
    </row>
    <row r="669" spans="1:16" x14ac:dyDescent="0.25">
      <c r="A669" s="1">
        <v>158</v>
      </c>
      <c r="B669" s="1" t="s">
        <v>198</v>
      </c>
      <c r="C669" s="1" t="s">
        <v>199</v>
      </c>
      <c r="D669" s="1" t="s">
        <v>200</v>
      </c>
      <c r="E669" s="1" t="s">
        <v>104</v>
      </c>
      <c r="F669" s="1" t="s">
        <v>65</v>
      </c>
      <c r="G669" s="1" t="s">
        <v>16</v>
      </c>
      <c r="H669" s="1" t="s">
        <v>137</v>
      </c>
      <c r="I669" s="1" t="s">
        <v>60</v>
      </c>
      <c r="J669" s="1" t="s">
        <v>67</v>
      </c>
      <c r="K669" s="1" t="s">
        <v>105</v>
      </c>
      <c r="L669" s="3">
        <v>46769</v>
      </c>
      <c r="M669" s="3">
        <v>46039</v>
      </c>
      <c r="N669">
        <f>_xlfn.XLOOKUP(Data[[#This Row],[Status]],Compliance_Status[Status from OPMS],Compliance_Status[Status_Key],"")</f>
        <v>4</v>
      </c>
      <c r="O669">
        <f>_xlfn.XLOOKUP(Data[[#This Row],[Status]],Compliance_Status[Status from OPMS],Compliance_Status[Has Course booking],"")</f>
        <v>0</v>
      </c>
      <c r="P669" t="str">
        <f>_xlfn.XLOOKUP(Data[[#This Row],[StatusKey]],Status_Key[Status_Key],Status_Key[Name],"")</f>
        <v>In Date</v>
      </c>
    </row>
    <row r="670" spans="1:16" x14ac:dyDescent="0.25">
      <c r="A670" s="1">
        <v>158</v>
      </c>
      <c r="B670" s="1" t="s">
        <v>198</v>
      </c>
      <c r="C670" s="1" t="s">
        <v>199</v>
      </c>
      <c r="D670" s="1" t="s">
        <v>200</v>
      </c>
      <c r="E670" s="1" t="s">
        <v>106</v>
      </c>
      <c r="F670" s="1" t="s">
        <v>65</v>
      </c>
      <c r="G670" s="1" t="s">
        <v>16</v>
      </c>
      <c r="H670" s="1" t="s">
        <v>137</v>
      </c>
      <c r="I670" s="1" t="s">
        <v>60</v>
      </c>
      <c r="J670" s="1" t="s">
        <v>67</v>
      </c>
      <c r="K670" s="1" t="s">
        <v>105</v>
      </c>
      <c r="L670" s="3">
        <v>47488</v>
      </c>
      <c r="M670" s="3">
        <v>45662</v>
      </c>
      <c r="N670">
        <f>_xlfn.XLOOKUP(Data[[#This Row],[Status]],Compliance_Status[Status from OPMS],Compliance_Status[Status_Key],"")</f>
        <v>4</v>
      </c>
      <c r="O670">
        <f>_xlfn.XLOOKUP(Data[[#This Row],[Status]],Compliance_Status[Status from OPMS],Compliance_Status[Has Course booking],"")</f>
        <v>0</v>
      </c>
      <c r="P670" t="str">
        <f>_xlfn.XLOOKUP(Data[[#This Row],[StatusKey]],Status_Key[Status_Key],Status_Key[Name],"")</f>
        <v>In Date</v>
      </c>
    </row>
    <row r="671" spans="1:16" x14ac:dyDescent="0.25">
      <c r="A671" s="1">
        <v>158</v>
      </c>
      <c r="B671" s="1" t="s">
        <v>198</v>
      </c>
      <c r="C671" s="1" t="s">
        <v>199</v>
      </c>
      <c r="D671" s="1" t="s">
        <v>200</v>
      </c>
      <c r="E671" s="1" t="s">
        <v>107</v>
      </c>
      <c r="F671" s="1" t="s">
        <v>65</v>
      </c>
      <c r="G671" s="1" t="s">
        <v>16</v>
      </c>
      <c r="H671" s="1" t="s">
        <v>137</v>
      </c>
      <c r="I671" s="1" t="s">
        <v>60</v>
      </c>
      <c r="J671" s="1" t="s">
        <v>67</v>
      </c>
      <c r="K671" s="1" t="s">
        <v>105</v>
      </c>
      <c r="L671" s="3">
        <v>46757</v>
      </c>
      <c r="M671" s="3">
        <v>45662</v>
      </c>
      <c r="N671">
        <f>_xlfn.XLOOKUP(Data[[#This Row],[Status]],Compliance_Status[Status from OPMS],Compliance_Status[Status_Key],"")</f>
        <v>4</v>
      </c>
      <c r="O671">
        <f>_xlfn.XLOOKUP(Data[[#This Row],[Status]],Compliance_Status[Status from OPMS],Compliance_Status[Has Course booking],"")</f>
        <v>0</v>
      </c>
      <c r="P671" t="str">
        <f>_xlfn.XLOOKUP(Data[[#This Row],[StatusKey]],Status_Key[Status_Key],Status_Key[Name],"")</f>
        <v>In Date</v>
      </c>
    </row>
    <row r="672" spans="1:16" x14ac:dyDescent="0.25">
      <c r="A672" s="1">
        <v>158</v>
      </c>
      <c r="B672" s="1" t="s">
        <v>198</v>
      </c>
      <c r="C672" s="1" t="s">
        <v>199</v>
      </c>
      <c r="D672" s="1" t="s">
        <v>200</v>
      </c>
      <c r="E672" s="1" t="s">
        <v>108</v>
      </c>
      <c r="F672" s="1" t="s">
        <v>65</v>
      </c>
      <c r="G672" s="1" t="s">
        <v>16</v>
      </c>
      <c r="H672" s="1" t="s">
        <v>137</v>
      </c>
      <c r="I672" s="1" t="s">
        <v>60</v>
      </c>
      <c r="J672" s="1" t="s">
        <v>67</v>
      </c>
      <c r="K672" s="1" t="s">
        <v>105</v>
      </c>
      <c r="L672" s="3">
        <v>47340</v>
      </c>
      <c r="M672" s="3">
        <v>46244</v>
      </c>
      <c r="N672">
        <f>_xlfn.XLOOKUP(Data[[#This Row],[Status]],Compliance_Status[Status from OPMS],Compliance_Status[Status_Key],"")</f>
        <v>4</v>
      </c>
      <c r="O672">
        <f>_xlfn.XLOOKUP(Data[[#This Row],[Status]],Compliance_Status[Status from OPMS],Compliance_Status[Has Course booking],"")</f>
        <v>0</v>
      </c>
      <c r="P672" t="str">
        <f>_xlfn.XLOOKUP(Data[[#This Row],[StatusKey]],Status_Key[Status_Key],Status_Key[Name],"")</f>
        <v>In Date</v>
      </c>
    </row>
    <row r="673" spans="1:16" x14ac:dyDescent="0.25">
      <c r="A673" s="1">
        <v>158</v>
      </c>
      <c r="B673" s="1" t="s">
        <v>198</v>
      </c>
      <c r="C673" s="1" t="s">
        <v>199</v>
      </c>
      <c r="D673" s="1" t="s">
        <v>200</v>
      </c>
      <c r="E673" s="1" t="s">
        <v>109</v>
      </c>
      <c r="F673" s="1" t="s">
        <v>65</v>
      </c>
      <c r="G673" s="1" t="s">
        <v>16</v>
      </c>
      <c r="H673" s="1" t="s">
        <v>137</v>
      </c>
      <c r="I673" s="1" t="s">
        <v>60</v>
      </c>
      <c r="J673" s="1" t="s">
        <v>67</v>
      </c>
      <c r="K673" s="1" t="s">
        <v>105</v>
      </c>
      <c r="L673" s="3">
        <v>46769</v>
      </c>
      <c r="M673" s="3">
        <v>46039</v>
      </c>
      <c r="N673">
        <f>_xlfn.XLOOKUP(Data[[#This Row],[Status]],Compliance_Status[Status from OPMS],Compliance_Status[Status_Key],"")</f>
        <v>4</v>
      </c>
      <c r="O673">
        <f>_xlfn.XLOOKUP(Data[[#This Row],[Status]],Compliance_Status[Status from OPMS],Compliance_Status[Has Course booking],"")</f>
        <v>0</v>
      </c>
      <c r="P673" t="str">
        <f>_xlfn.XLOOKUP(Data[[#This Row],[StatusKey]],Status_Key[Status_Key],Status_Key[Name],"")</f>
        <v>In Date</v>
      </c>
    </row>
    <row r="674" spans="1:16" x14ac:dyDescent="0.25">
      <c r="A674" s="1">
        <v>158</v>
      </c>
      <c r="B674" s="1" t="s">
        <v>198</v>
      </c>
      <c r="C674" s="1" t="s">
        <v>199</v>
      </c>
      <c r="D674" s="1" t="s">
        <v>200</v>
      </c>
      <c r="E674" s="1" t="s">
        <v>110</v>
      </c>
      <c r="F674" s="1" t="s">
        <v>65</v>
      </c>
      <c r="G674" s="1" t="s">
        <v>16</v>
      </c>
      <c r="H674" s="1" t="s">
        <v>137</v>
      </c>
      <c r="I674" s="1" t="s">
        <v>60</v>
      </c>
      <c r="J674" s="1" t="s">
        <v>67</v>
      </c>
      <c r="K674" s="1" t="s">
        <v>105</v>
      </c>
      <c r="L674" s="3" t="s">
        <v>79</v>
      </c>
      <c r="M674" s="3">
        <v>45662</v>
      </c>
      <c r="N674">
        <f>_xlfn.XLOOKUP(Data[[#This Row],[Status]],Compliance_Status[Status from OPMS],Compliance_Status[Status_Key],"")</f>
        <v>4</v>
      </c>
      <c r="O674">
        <f>_xlfn.XLOOKUP(Data[[#This Row],[Status]],Compliance_Status[Status from OPMS],Compliance_Status[Has Course booking],"")</f>
        <v>0</v>
      </c>
      <c r="P674" t="str">
        <f>_xlfn.XLOOKUP(Data[[#This Row],[StatusKey]],Status_Key[Status_Key],Status_Key[Name],"")</f>
        <v>In Date</v>
      </c>
    </row>
    <row r="675" spans="1:16" x14ac:dyDescent="0.25">
      <c r="A675" s="1">
        <v>158</v>
      </c>
      <c r="B675" s="1" t="s">
        <v>198</v>
      </c>
      <c r="C675" s="1" t="s">
        <v>199</v>
      </c>
      <c r="D675" s="1" t="s">
        <v>200</v>
      </c>
      <c r="E675" s="1" t="s">
        <v>111</v>
      </c>
      <c r="F675" s="1" t="s">
        <v>65</v>
      </c>
      <c r="G675" s="1" t="s">
        <v>16</v>
      </c>
      <c r="H675" s="1" t="s">
        <v>137</v>
      </c>
      <c r="I675" s="1" t="s">
        <v>60</v>
      </c>
      <c r="J675" s="1" t="s">
        <v>67</v>
      </c>
      <c r="K675" s="1" t="s">
        <v>105</v>
      </c>
      <c r="L675" s="3">
        <v>46770</v>
      </c>
      <c r="M675" s="3">
        <v>46040</v>
      </c>
      <c r="N675">
        <f>_xlfn.XLOOKUP(Data[[#This Row],[Status]],Compliance_Status[Status from OPMS],Compliance_Status[Status_Key],"")</f>
        <v>4</v>
      </c>
      <c r="O675">
        <f>_xlfn.XLOOKUP(Data[[#This Row],[Status]],Compliance_Status[Status from OPMS],Compliance_Status[Has Course booking],"")</f>
        <v>0</v>
      </c>
      <c r="P675" t="str">
        <f>_xlfn.XLOOKUP(Data[[#This Row],[StatusKey]],Status_Key[Status_Key],Status_Key[Name],"")</f>
        <v>In Date</v>
      </c>
    </row>
    <row r="676" spans="1:16" x14ac:dyDescent="0.25">
      <c r="A676" s="1">
        <v>158</v>
      </c>
      <c r="B676" s="1" t="s">
        <v>198</v>
      </c>
      <c r="C676" s="1" t="s">
        <v>199</v>
      </c>
      <c r="D676" s="1" t="s">
        <v>200</v>
      </c>
      <c r="E676" s="1" t="s">
        <v>112</v>
      </c>
      <c r="F676" s="1" t="s">
        <v>65</v>
      </c>
      <c r="G676" s="1" t="s">
        <v>16</v>
      </c>
      <c r="H676" s="1" t="s">
        <v>137</v>
      </c>
      <c r="I676" s="1" t="s">
        <v>60</v>
      </c>
      <c r="J676" s="1" t="s">
        <v>67</v>
      </c>
      <c r="K676" s="1" t="s">
        <v>105</v>
      </c>
      <c r="L676" s="3">
        <v>46770</v>
      </c>
      <c r="M676" s="3">
        <v>46040</v>
      </c>
      <c r="N676">
        <f>_xlfn.XLOOKUP(Data[[#This Row],[Status]],Compliance_Status[Status from OPMS],Compliance_Status[Status_Key],"")</f>
        <v>4</v>
      </c>
      <c r="O676">
        <f>_xlfn.XLOOKUP(Data[[#This Row],[Status]],Compliance_Status[Status from OPMS],Compliance_Status[Has Course booking],"")</f>
        <v>0</v>
      </c>
      <c r="P676" t="str">
        <f>_xlfn.XLOOKUP(Data[[#This Row],[StatusKey]],Status_Key[Status_Key],Status_Key[Name],"")</f>
        <v>In Date</v>
      </c>
    </row>
    <row r="677" spans="1:16" x14ac:dyDescent="0.25">
      <c r="A677" s="1">
        <v>158</v>
      </c>
      <c r="B677" s="1" t="s">
        <v>198</v>
      </c>
      <c r="C677" s="1" t="s">
        <v>199</v>
      </c>
      <c r="D677" s="1" t="s">
        <v>200</v>
      </c>
      <c r="E677" s="1" t="s">
        <v>113</v>
      </c>
      <c r="F677" s="1" t="s">
        <v>65</v>
      </c>
      <c r="G677" s="1" t="s">
        <v>16</v>
      </c>
      <c r="H677" s="1" t="s">
        <v>137</v>
      </c>
      <c r="I677" s="1" t="s">
        <v>60</v>
      </c>
      <c r="J677" s="1" t="s">
        <v>67</v>
      </c>
      <c r="K677" s="1" t="s">
        <v>105</v>
      </c>
      <c r="L677" s="3">
        <v>46769</v>
      </c>
      <c r="M677" s="3">
        <v>46039</v>
      </c>
      <c r="N677">
        <f>_xlfn.XLOOKUP(Data[[#This Row],[Status]],Compliance_Status[Status from OPMS],Compliance_Status[Status_Key],"")</f>
        <v>4</v>
      </c>
      <c r="O677">
        <f>_xlfn.XLOOKUP(Data[[#This Row],[Status]],Compliance_Status[Status from OPMS],Compliance_Status[Has Course booking],"")</f>
        <v>0</v>
      </c>
      <c r="P677" t="str">
        <f>_xlfn.XLOOKUP(Data[[#This Row],[StatusKey]],Status_Key[Status_Key],Status_Key[Name],"")</f>
        <v>In Date</v>
      </c>
    </row>
    <row r="678" spans="1:16" x14ac:dyDescent="0.25">
      <c r="A678" s="1">
        <v>159</v>
      </c>
      <c r="B678" s="1" t="s">
        <v>201</v>
      </c>
      <c r="C678" s="1" t="s">
        <v>202</v>
      </c>
      <c r="D678" s="1" t="s">
        <v>203</v>
      </c>
      <c r="E678" s="1" t="s">
        <v>136</v>
      </c>
      <c r="F678" s="1" t="s">
        <v>65</v>
      </c>
      <c r="G678" s="1" t="s">
        <v>16</v>
      </c>
      <c r="H678" s="1" t="s">
        <v>137</v>
      </c>
      <c r="I678" s="1" t="s">
        <v>60</v>
      </c>
      <c r="J678" s="1" t="s">
        <v>67</v>
      </c>
      <c r="K678" s="1" t="s">
        <v>68</v>
      </c>
      <c r="L678" s="3">
        <v>47096</v>
      </c>
      <c r="M678" s="3">
        <v>45270</v>
      </c>
      <c r="N678">
        <f>_xlfn.XLOOKUP(Data[[#This Row],[Status]],Compliance_Status[Status from OPMS],Compliance_Status[Status_Key],"")</f>
        <v>4</v>
      </c>
      <c r="O678">
        <f>_xlfn.XLOOKUP(Data[[#This Row],[Status]],Compliance_Status[Status from OPMS],Compliance_Status[Has Course booking],"")</f>
        <v>0</v>
      </c>
      <c r="P678" t="str">
        <f>_xlfn.XLOOKUP(Data[[#This Row],[StatusKey]],Status_Key[Status_Key],Status_Key[Name],"")</f>
        <v>In Date</v>
      </c>
    </row>
    <row r="679" spans="1:16" x14ac:dyDescent="0.25">
      <c r="A679" s="1">
        <v>159</v>
      </c>
      <c r="B679" s="1" t="s">
        <v>201</v>
      </c>
      <c r="C679" s="1" t="s">
        <v>202</v>
      </c>
      <c r="D679" s="1" t="s">
        <v>203</v>
      </c>
      <c r="E679" s="1" t="s">
        <v>131</v>
      </c>
      <c r="F679" s="1" t="s">
        <v>65</v>
      </c>
      <c r="G679" s="1" t="s">
        <v>16</v>
      </c>
      <c r="H679" s="1" t="s">
        <v>137</v>
      </c>
      <c r="I679" s="1" t="s">
        <v>60</v>
      </c>
      <c r="J679" s="1" t="s">
        <v>67</v>
      </c>
      <c r="K679" s="1" t="s">
        <v>68</v>
      </c>
      <c r="L679" s="3">
        <v>46973</v>
      </c>
      <c r="M679" s="3">
        <v>45147</v>
      </c>
      <c r="N679">
        <f>_xlfn.XLOOKUP(Data[[#This Row],[Status]],Compliance_Status[Status from OPMS],Compliance_Status[Status_Key],"")</f>
        <v>4</v>
      </c>
      <c r="O679">
        <f>_xlfn.XLOOKUP(Data[[#This Row],[Status]],Compliance_Status[Status from OPMS],Compliance_Status[Has Course booking],"")</f>
        <v>0</v>
      </c>
      <c r="P679" t="str">
        <f>_xlfn.XLOOKUP(Data[[#This Row],[StatusKey]],Status_Key[Status_Key],Status_Key[Name],"")</f>
        <v>In Date</v>
      </c>
    </row>
    <row r="680" spans="1:16" x14ac:dyDescent="0.25">
      <c r="A680" s="1">
        <v>159</v>
      </c>
      <c r="B680" s="1" t="s">
        <v>201</v>
      </c>
      <c r="C680" s="1" t="s">
        <v>202</v>
      </c>
      <c r="D680" s="1" t="s">
        <v>203</v>
      </c>
      <c r="E680" s="1" t="s">
        <v>69</v>
      </c>
      <c r="F680" s="1" t="s">
        <v>65</v>
      </c>
      <c r="G680" s="1" t="s">
        <v>16</v>
      </c>
      <c r="H680" s="1" t="s">
        <v>137</v>
      </c>
      <c r="I680" s="1" t="s">
        <v>60</v>
      </c>
      <c r="J680" s="1" t="s">
        <v>67</v>
      </c>
      <c r="K680" s="1" t="s">
        <v>68</v>
      </c>
      <c r="L680" s="3">
        <v>47209</v>
      </c>
      <c r="M680" s="3">
        <v>45384</v>
      </c>
      <c r="N680">
        <f>_xlfn.XLOOKUP(Data[[#This Row],[Status]],Compliance_Status[Status from OPMS],Compliance_Status[Status_Key],"")</f>
        <v>4</v>
      </c>
      <c r="O680">
        <f>_xlfn.XLOOKUP(Data[[#This Row],[Status]],Compliance_Status[Status from OPMS],Compliance_Status[Has Course booking],"")</f>
        <v>0</v>
      </c>
      <c r="P680" t="str">
        <f>_xlfn.XLOOKUP(Data[[#This Row],[StatusKey]],Status_Key[Status_Key],Status_Key[Name],"")</f>
        <v>In Date</v>
      </c>
    </row>
    <row r="681" spans="1:16" x14ac:dyDescent="0.25">
      <c r="A681" s="1">
        <v>159</v>
      </c>
      <c r="B681" s="1" t="s">
        <v>201</v>
      </c>
      <c r="C681" s="1" t="s">
        <v>202</v>
      </c>
      <c r="D681" s="1" t="s">
        <v>203</v>
      </c>
      <c r="E681" s="1" t="s">
        <v>70</v>
      </c>
      <c r="F681" s="1"/>
      <c r="G681" s="1" t="s">
        <v>16</v>
      </c>
      <c r="H681" s="1" t="s">
        <v>137</v>
      </c>
      <c r="I681" s="1" t="s">
        <v>60</v>
      </c>
      <c r="J681" s="1" t="s">
        <v>67</v>
      </c>
      <c r="K681" s="1" t="s">
        <v>68</v>
      </c>
      <c r="L681" s="3">
        <v>47344</v>
      </c>
      <c r="M681" s="3">
        <v>45519</v>
      </c>
      <c r="N681">
        <f>_xlfn.XLOOKUP(Data[[#This Row],[Status]],Compliance_Status[Status from OPMS],Compliance_Status[Status_Key],"")</f>
        <v>4</v>
      </c>
      <c r="O681">
        <f>_xlfn.XLOOKUP(Data[[#This Row],[Status]],Compliance_Status[Status from OPMS],Compliance_Status[Has Course booking],"")</f>
        <v>0</v>
      </c>
      <c r="P681" t="str">
        <f>_xlfn.XLOOKUP(Data[[#This Row],[StatusKey]],Status_Key[Status_Key],Status_Key[Name],"")</f>
        <v>In Date</v>
      </c>
    </row>
    <row r="682" spans="1:16" x14ac:dyDescent="0.25">
      <c r="A682" s="1">
        <v>159</v>
      </c>
      <c r="B682" s="1" t="s">
        <v>201</v>
      </c>
      <c r="C682" s="1" t="s">
        <v>202</v>
      </c>
      <c r="D682" s="1" t="s">
        <v>203</v>
      </c>
      <c r="E682" s="1" t="s">
        <v>132</v>
      </c>
      <c r="F682" s="1" t="s">
        <v>65</v>
      </c>
      <c r="G682" s="1" t="s">
        <v>16</v>
      </c>
      <c r="H682" s="1" t="s">
        <v>137</v>
      </c>
      <c r="I682" s="1" t="s">
        <v>60</v>
      </c>
      <c r="J682" s="1"/>
      <c r="K682" s="1" t="s">
        <v>68</v>
      </c>
      <c r="L682" s="3">
        <v>47344</v>
      </c>
      <c r="M682" s="3">
        <v>45519</v>
      </c>
      <c r="N682">
        <f>_xlfn.XLOOKUP(Data[[#This Row],[Status]],Compliance_Status[Status from OPMS],Compliance_Status[Status_Key],"")</f>
        <v>4</v>
      </c>
      <c r="O682">
        <f>_xlfn.XLOOKUP(Data[[#This Row],[Status]],Compliance_Status[Status from OPMS],Compliance_Status[Has Course booking],"")</f>
        <v>0</v>
      </c>
      <c r="P682" t="str">
        <f>_xlfn.XLOOKUP(Data[[#This Row],[StatusKey]],Status_Key[Status_Key],Status_Key[Name],"")</f>
        <v>In Date</v>
      </c>
    </row>
    <row r="683" spans="1:16" x14ac:dyDescent="0.25">
      <c r="A683" s="1">
        <v>159</v>
      </c>
      <c r="B683" s="1" t="s">
        <v>201</v>
      </c>
      <c r="C683" s="1" t="s">
        <v>202</v>
      </c>
      <c r="D683" s="1" t="s">
        <v>203</v>
      </c>
      <c r="E683" s="1" t="s">
        <v>71</v>
      </c>
      <c r="F683" s="1" t="s">
        <v>72</v>
      </c>
      <c r="G683" s="1" t="s">
        <v>18</v>
      </c>
      <c r="H683" s="1" t="s">
        <v>137</v>
      </c>
      <c r="I683" s="1" t="s">
        <v>60</v>
      </c>
      <c r="J683" s="1"/>
      <c r="K683" s="1" t="s">
        <v>68</v>
      </c>
      <c r="L683" s="3"/>
      <c r="M683" s="3"/>
      <c r="N683">
        <f>_xlfn.XLOOKUP(Data[[#This Row],[Status]],Compliance_Status[Status from OPMS],Compliance_Status[Status_Key],"")</f>
        <v>2</v>
      </c>
      <c r="O683">
        <f>_xlfn.XLOOKUP(Data[[#This Row],[Status]],Compliance_Status[Status from OPMS],Compliance_Status[Has Course booking],"")</f>
        <v>0</v>
      </c>
      <c r="P683" t="str">
        <f>_xlfn.XLOOKUP(Data[[#This Row],[StatusKey]],Status_Key[Status_Key],Status_Key[Name],"")</f>
        <v>Outstanding</v>
      </c>
    </row>
    <row r="684" spans="1:16" x14ac:dyDescent="0.25">
      <c r="A684" s="1">
        <v>159</v>
      </c>
      <c r="B684" s="1" t="s">
        <v>201</v>
      </c>
      <c r="C684" s="1" t="s">
        <v>202</v>
      </c>
      <c r="D684" s="1" t="s">
        <v>203</v>
      </c>
      <c r="E684" s="1" t="s">
        <v>73</v>
      </c>
      <c r="F684" s="1" t="s">
        <v>65</v>
      </c>
      <c r="G684" s="1" t="s">
        <v>16</v>
      </c>
      <c r="H684" s="1" t="s">
        <v>137</v>
      </c>
      <c r="I684" s="1" t="s">
        <v>60</v>
      </c>
      <c r="J684" s="1" t="s">
        <v>67</v>
      </c>
      <c r="K684" s="1" t="s">
        <v>68</v>
      </c>
      <c r="L684" s="3">
        <v>46856</v>
      </c>
      <c r="M684" s="3">
        <v>46126</v>
      </c>
      <c r="N684">
        <f>_xlfn.XLOOKUP(Data[[#This Row],[Status]],Compliance_Status[Status from OPMS],Compliance_Status[Status_Key],"")</f>
        <v>4</v>
      </c>
      <c r="O684">
        <f>_xlfn.XLOOKUP(Data[[#This Row],[Status]],Compliance_Status[Status from OPMS],Compliance_Status[Has Course booking],"")</f>
        <v>0</v>
      </c>
      <c r="P684" t="str">
        <f>_xlfn.XLOOKUP(Data[[#This Row],[StatusKey]],Status_Key[Status_Key],Status_Key[Name],"")</f>
        <v>In Date</v>
      </c>
    </row>
    <row r="685" spans="1:16" x14ac:dyDescent="0.25">
      <c r="A685" s="1">
        <v>159</v>
      </c>
      <c r="B685" s="1" t="s">
        <v>201</v>
      </c>
      <c r="C685" s="1" t="s">
        <v>202</v>
      </c>
      <c r="D685" s="1" t="s">
        <v>203</v>
      </c>
      <c r="E685" s="1" t="s">
        <v>74</v>
      </c>
      <c r="F685" s="1" t="s">
        <v>65</v>
      </c>
      <c r="G685" s="1" t="s">
        <v>16</v>
      </c>
      <c r="H685" s="1" t="s">
        <v>137</v>
      </c>
      <c r="I685" s="1" t="s">
        <v>60</v>
      </c>
      <c r="J685" s="1" t="s">
        <v>67</v>
      </c>
      <c r="K685" s="1" t="s">
        <v>68</v>
      </c>
      <c r="L685" s="3">
        <v>46985</v>
      </c>
      <c r="M685" s="3">
        <v>45889</v>
      </c>
      <c r="N685">
        <f>_xlfn.XLOOKUP(Data[[#This Row],[Status]],Compliance_Status[Status from OPMS],Compliance_Status[Status_Key],"")</f>
        <v>4</v>
      </c>
      <c r="O685">
        <f>_xlfn.XLOOKUP(Data[[#This Row],[Status]],Compliance_Status[Status from OPMS],Compliance_Status[Has Course booking],"")</f>
        <v>0</v>
      </c>
      <c r="P685" t="str">
        <f>_xlfn.XLOOKUP(Data[[#This Row],[StatusKey]],Status_Key[Status_Key],Status_Key[Name],"")</f>
        <v>In Date</v>
      </c>
    </row>
    <row r="686" spans="1:16" x14ac:dyDescent="0.25">
      <c r="A686" s="1">
        <v>159</v>
      </c>
      <c r="B686" s="1" t="s">
        <v>201</v>
      </c>
      <c r="C686" s="1" t="s">
        <v>202</v>
      </c>
      <c r="D686" s="1" t="s">
        <v>203</v>
      </c>
      <c r="E686" s="1" t="s">
        <v>75</v>
      </c>
      <c r="F686" s="1" t="s">
        <v>72</v>
      </c>
      <c r="G686" s="1" t="s">
        <v>18</v>
      </c>
      <c r="H686" s="1" t="s">
        <v>137</v>
      </c>
      <c r="I686" s="1" t="s">
        <v>60</v>
      </c>
      <c r="J686" s="1"/>
      <c r="K686" s="1" t="s">
        <v>68</v>
      </c>
      <c r="L686" s="3"/>
      <c r="M686" s="3"/>
      <c r="N686">
        <f>_xlfn.XLOOKUP(Data[[#This Row],[Status]],Compliance_Status[Status from OPMS],Compliance_Status[Status_Key],"")</f>
        <v>2</v>
      </c>
      <c r="O686">
        <f>_xlfn.XLOOKUP(Data[[#This Row],[Status]],Compliance_Status[Status from OPMS],Compliance_Status[Has Course booking],"")</f>
        <v>0</v>
      </c>
      <c r="P686" t="str">
        <f>_xlfn.XLOOKUP(Data[[#This Row],[StatusKey]],Status_Key[Status_Key],Status_Key[Name],"")</f>
        <v>Outstanding</v>
      </c>
    </row>
    <row r="687" spans="1:16" x14ac:dyDescent="0.25">
      <c r="A687" s="1">
        <v>159</v>
      </c>
      <c r="B687" s="1" t="s">
        <v>201</v>
      </c>
      <c r="C687" s="1" t="s">
        <v>202</v>
      </c>
      <c r="D687" s="1" t="s">
        <v>203</v>
      </c>
      <c r="E687" s="1" t="s">
        <v>76</v>
      </c>
      <c r="F687" s="1" t="s">
        <v>65</v>
      </c>
      <c r="G687" s="1" t="s">
        <v>16</v>
      </c>
      <c r="H687" s="1" t="s">
        <v>137</v>
      </c>
      <c r="I687" s="1" t="s">
        <v>60</v>
      </c>
      <c r="J687" s="1" t="s">
        <v>67</v>
      </c>
      <c r="K687" s="1" t="s">
        <v>77</v>
      </c>
      <c r="L687" s="3">
        <v>46660</v>
      </c>
      <c r="M687" s="3">
        <v>45199</v>
      </c>
      <c r="N687">
        <f>_xlfn.XLOOKUP(Data[[#This Row],[Status]],Compliance_Status[Status from OPMS],Compliance_Status[Status_Key],"")</f>
        <v>4</v>
      </c>
      <c r="O687">
        <f>_xlfn.XLOOKUP(Data[[#This Row],[Status]],Compliance_Status[Status from OPMS],Compliance_Status[Has Course booking],"")</f>
        <v>0</v>
      </c>
      <c r="P687" t="str">
        <f>_xlfn.XLOOKUP(Data[[#This Row],[StatusKey]],Status_Key[Status_Key],Status_Key[Name],"")</f>
        <v>In Date</v>
      </c>
    </row>
    <row r="688" spans="1:16" x14ac:dyDescent="0.25">
      <c r="A688" s="1">
        <v>159</v>
      </c>
      <c r="B688" s="1" t="s">
        <v>201</v>
      </c>
      <c r="C688" s="1" t="s">
        <v>202</v>
      </c>
      <c r="D688" s="1" t="s">
        <v>203</v>
      </c>
      <c r="E688" s="1" t="s">
        <v>78</v>
      </c>
      <c r="F688" s="1" t="s">
        <v>65</v>
      </c>
      <c r="G688" s="1" t="s">
        <v>16</v>
      </c>
      <c r="H688" s="1" t="s">
        <v>137</v>
      </c>
      <c r="I688" s="1" t="s">
        <v>60</v>
      </c>
      <c r="J688" s="1" t="s">
        <v>67</v>
      </c>
      <c r="K688" s="1" t="s">
        <v>77</v>
      </c>
      <c r="L688" s="3" t="s">
        <v>79</v>
      </c>
      <c r="M688" s="3">
        <v>45385</v>
      </c>
      <c r="N688">
        <f>_xlfn.XLOOKUP(Data[[#This Row],[Status]],Compliance_Status[Status from OPMS],Compliance_Status[Status_Key],"")</f>
        <v>4</v>
      </c>
      <c r="O688">
        <f>_xlfn.XLOOKUP(Data[[#This Row],[Status]],Compliance_Status[Status from OPMS],Compliance_Status[Has Course booking],"")</f>
        <v>0</v>
      </c>
      <c r="P688" t="str">
        <f>_xlfn.XLOOKUP(Data[[#This Row],[StatusKey]],Status_Key[Status_Key],Status_Key[Name],"")</f>
        <v>In Date</v>
      </c>
    </row>
    <row r="689" spans="1:16" x14ac:dyDescent="0.25">
      <c r="A689" s="1">
        <v>159</v>
      </c>
      <c r="B689" s="1" t="s">
        <v>201</v>
      </c>
      <c r="C689" s="1" t="s">
        <v>202</v>
      </c>
      <c r="D689" s="1" t="s">
        <v>203</v>
      </c>
      <c r="E689" s="1" t="s">
        <v>80</v>
      </c>
      <c r="F689" s="1" t="s">
        <v>65</v>
      </c>
      <c r="G689" s="1" t="s">
        <v>16</v>
      </c>
      <c r="H689" s="1" t="s">
        <v>137</v>
      </c>
      <c r="I689" s="1" t="s">
        <v>60</v>
      </c>
      <c r="J689" s="1" t="s">
        <v>67</v>
      </c>
      <c r="K689" s="1" t="s">
        <v>77</v>
      </c>
      <c r="L689" s="3" t="s">
        <v>79</v>
      </c>
      <c r="M689" s="3">
        <v>45398</v>
      </c>
      <c r="N689">
        <f>_xlfn.XLOOKUP(Data[[#This Row],[Status]],Compliance_Status[Status from OPMS],Compliance_Status[Status_Key],"")</f>
        <v>4</v>
      </c>
      <c r="O689">
        <f>_xlfn.XLOOKUP(Data[[#This Row],[Status]],Compliance_Status[Status from OPMS],Compliance_Status[Has Course booking],"")</f>
        <v>0</v>
      </c>
      <c r="P689" t="str">
        <f>_xlfn.XLOOKUP(Data[[#This Row],[StatusKey]],Status_Key[Status_Key],Status_Key[Name],"")</f>
        <v>In Date</v>
      </c>
    </row>
    <row r="690" spans="1:16" x14ac:dyDescent="0.25">
      <c r="A690" s="1">
        <v>159</v>
      </c>
      <c r="B690" s="1" t="s">
        <v>201</v>
      </c>
      <c r="C690" s="1" t="s">
        <v>202</v>
      </c>
      <c r="D690" s="1" t="s">
        <v>203</v>
      </c>
      <c r="E690" s="1" t="s">
        <v>81</v>
      </c>
      <c r="F690" s="1" t="s">
        <v>65</v>
      </c>
      <c r="G690" s="1" t="s">
        <v>16</v>
      </c>
      <c r="H690" s="1" t="s">
        <v>137</v>
      </c>
      <c r="I690" s="1" t="s">
        <v>60</v>
      </c>
      <c r="J690" s="1" t="s">
        <v>67</v>
      </c>
      <c r="K690" s="1" t="s">
        <v>77</v>
      </c>
      <c r="L690" s="3">
        <v>46756</v>
      </c>
      <c r="M690" s="3">
        <v>46026</v>
      </c>
      <c r="N690">
        <f>_xlfn.XLOOKUP(Data[[#This Row],[Status]],Compliance_Status[Status from OPMS],Compliance_Status[Status_Key],"")</f>
        <v>4</v>
      </c>
      <c r="O690">
        <f>_xlfn.XLOOKUP(Data[[#This Row],[Status]],Compliance_Status[Status from OPMS],Compliance_Status[Has Course booking],"")</f>
        <v>0</v>
      </c>
      <c r="P690" t="str">
        <f>_xlfn.XLOOKUP(Data[[#This Row],[StatusKey]],Status_Key[Status_Key],Status_Key[Name],"")</f>
        <v>In Date</v>
      </c>
    </row>
    <row r="691" spans="1:16" x14ac:dyDescent="0.25">
      <c r="A691" s="1">
        <v>159</v>
      </c>
      <c r="B691" s="1" t="s">
        <v>201</v>
      </c>
      <c r="C691" s="1" t="s">
        <v>202</v>
      </c>
      <c r="D691" s="1" t="s">
        <v>203</v>
      </c>
      <c r="E691" s="1" t="s">
        <v>82</v>
      </c>
      <c r="F691" s="1" t="s">
        <v>65</v>
      </c>
      <c r="G691" s="1" t="s">
        <v>16</v>
      </c>
      <c r="H691" s="1" t="s">
        <v>137</v>
      </c>
      <c r="I691" s="1" t="s">
        <v>60</v>
      </c>
      <c r="J691" s="1" t="s">
        <v>67</v>
      </c>
      <c r="K691" s="1" t="s">
        <v>83</v>
      </c>
      <c r="L691" s="3">
        <v>46756</v>
      </c>
      <c r="M691" s="3">
        <v>46026</v>
      </c>
      <c r="N691">
        <f>_xlfn.XLOOKUP(Data[[#This Row],[Status]],Compliance_Status[Status from OPMS],Compliance_Status[Status_Key],"")</f>
        <v>4</v>
      </c>
      <c r="O691">
        <f>_xlfn.XLOOKUP(Data[[#This Row],[Status]],Compliance_Status[Status from OPMS],Compliance_Status[Has Course booking],"")</f>
        <v>0</v>
      </c>
      <c r="P691" t="str">
        <f>_xlfn.XLOOKUP(Data[[#This Row],[StatusKey]],Status_Key[Status_Key],Status_Key[Name],"")</f>
        <v>In Date</v>
      </c>
    </row>
    <row r="692" spans="1:16" x14ac:dyDescent="0.25">
      <c r="A692" s="1">
        <v>159</v>
      </c>
      <c r="B692" s="1" t="s">
        <v>201</v>
      </c>
      <c r="C692" s="1" t="s">
        <v>202</v>
      </c>
      <c r="D692" s="1" t="s">
        <v>203</v>
      </c>
      <c r="E692" s="1" t="s">
        <v>84</v>
      </c>
      <c r="F692" s="1" t="s">
        <v>65</v>
      </c>
      <c r="G692" s="1" t="s">
        <v>16</v>
      </c>
      <c r="H692" s="1" t="s">
        <v>137</v>
      </c>
      <c r="I692" s="1" t="s">
        <v>60</v>
      </c>
      <c r="J692" s="1" t="s">
        <v>67</v>
      </c>
      <c r="K692" s="1" t="s">
        <v>83</v>
      </c>
      <c r="L692" s="3">
        <v>46714</v>
      </c>
      <c r="M692" s="3">
        <v>45984</v>
      </c>
      <c r="N692">
        <f>_xlfn.XLOOKUP(Data[[#This Row],[Status]],Compliance_Status[Status from OPMS],Compliance_Status[Status_Key],"")</f>
        <v>4</v>
      </c>
      <c r="O692">
        <f>_xlfn.XLOOKUP(Data[[#This Row],[Status]],Compliance_Status[Status from OPMS],Compliance_Status[Has Course booking],"")</f>
        <v>0</v>
      </c>
      <c r="P692" t="str">
        <f>_xlfn.XLOOKUP(Data[[#This Row],[StatusKey]],Status_Key[Status_Key],Status_Key[Name],"")</f>
        <v>In Date</v>
      </c>
    </row>
    <row r="693" spans="1:16" x14ac:dyDescent="0.25">
      <c r="A693" s="1">
        <v>159</v>
      </c>
      <c r="B693" s="1" t="s">
        <v>201</v>
      </c>
      <c r="C693" s="1" t="s">
        <v>202</v>
      </c>
      <c r="D693" s="1" t="s">
        <v>203</v>
      </c>
      <c r="E693" s="1" t="s">
        <v>93</v>
      </c>
      <c r="F693" s="1" t="s">
        <v>65</v>
      </c>
      <c r="G693" s="1" t="s">
        <v>16</v>
      </c>
      <c r="H693" s="1" t="s">
        <v>137</v>
      </c>
      <c r="I693" s="1" t="s">
        <v>60</v>
      </c>
      <c r="J693" s="1" t="s">
        <v>67</v>
      </c>
      <c r="K693" s="1" t="s">
        <v>94</v>
      </c>
      <c r="L693" s="3">
        <v>46665</v>
      </c>
      <c r="M693" s="3">
        <v>45935</v>
      </c>
      <c r="N693">
        <f>_xlfn.XLOOKUP(Data[[#This Row],[Status]],Compliance_Status[Status from OPMS],Compliance_Status[Status_Key],"")</f>
        <v>4</v>
      </c>
      <c r="O693">
        <f>_xlfn.XLOOKUP(Data[[#This Row],[Status]],Compliance_Status[Status from OPMS],Compliance_Status[Has Course booking],"")</f>
        <v>0</v>
      </c>
      <c r="P693" t="str">
        <f>_xlfn.XLOOKUP(Data[[#This Row],[StatusKey]],Status_Key[Status_Key],Status_Key[Name],"")</f>
        <v>In Date</v>
      </c>
    </row>
    <row r="694" spans="1:16" x14ac:dyDescent="0.25">
      <c r="A694" s="1">
        <v>159</v>
      </c>
      <c r="B694" s="1" t="s">
        <v>201</v>
      </c>
      <c r="C694" s="1" t="s">
        <v>202</v>
      </c>
      <c r="D694" s="1" t="s">
        <v>203</v>
      </c>
      <c r="E694" s="1" t="s">
        <v>95</v>
      </c>
      <c r="F694" s="1" t="s">
        <v>65</v>
      </c>
      <c r="G694" s="1" t="s">
        <v>16</v>
      </c>
      <c r="H694" s="1" t="s">
        <v>137</v>
      </c>
      <c r="I694" s="1" t="s">
        <v>60</v>
      </c>
      <c r="J694" s="1" t="s">
        <v>67</v>
      </c>
      <c r="K694" s="1" t="s">
        <v>94</v>
      </c>
      <c r="L694" s="3">
        <v>46665</v>
      </c>
      <c r="M694" s="3">
        <v>45935</v>
      </c>
      <c r="N694">
        <f>_xlfn.XLOOKUP(Data[[#This Row],[Status]],Compliance_Status[Status from OPMS],Compliance_Status[Status_Key],"")</f>
        <v>4</v>
      </c>
      <c r="O694">
        <f>_xlfn.XLOOKUP(Data[[#This Row],[Status]],Compliance_Status[Status from OPMS],Compliance_Status[Has Course booking],"")</f>
        <v>0</v>
      </c>
      <c r="P694" t="str">
        <f>_xlfn.XLOOKUP(Data[[#This Row],[StatusKey]],Status_Key[Status_Key],Status_Key[Name],"")</f>
        <v>In Date</v>
      </c>
    </row>
    <row r="695" spans="1:16" x14ac:dyDescent="0.25">
      <c r="A695" s="1">
        <v>159</v>
      </c>
      <c r="B695" s="1" t="s">
        <v>201</v>
      </c>
      <c r="C695" s="1" t="s">
        <v>202</v>
      </c>
      <c r="D695" s="1" t="s">
        <v>203</v>
      </c>
      <c r="E695" s="1" t="s">
        <v>96</v>
      </c>
      <c r="F695" s="1" t="s">
        <v>65</v>
      </c>
      <c r="G695" s="1" t="s">
        <v>16</v>
      </c>
      <c r="H695" s="1" t="s">
        <v>137</v>
      </c>
      <c r="I695" s="1" t="s">
        <v>60</v>
      </c>
      <c r="J695" s="1" t="s">
        <v>67</v>
      </c>
      <c r="K695" s="1" t="s">
        <v>94</v>
      </c>
      <c r="L695" s="3" t="s">
        <v>79</v>
      </c>
      <c r="M695" s="3">
        <v>46010</v>
      </c>
      <c r="N695">
        <f>_xlfn.XLOOKUP(Data[[#This Row],[Status]],Compliance_Status[Status from OPMS],Compliance_Status[Status_Key],"")</f>
        <v>4</v>
      </c>
      <c r="O695">
        <f>_xlfn.XLOOKUP(Data[[#This Row],[Status]],Compliance_Status[Status from OPMS],Compliance_Status[Has Course booking],"")</f>
        <v>0</v>
      </c>
      <c r="P695" t="str">
        <f>_xlfn.XLOOKUP(Data[[#This Row],[StatusKey]],Status_Key[Status_Key],Status_Key[Name],"")</f>
        <v>In Date</v>
      </c>
    </row>
    <row r="696" spans="1:16" x14ac:dyDescent="0.25">
      <c r="A696" s="1">
        <v>159</v>
      </c>
      <c r="B696" s="1" t="s">
        <v>201</v>
      </c>
      <c r="C696" s="1" t="s">
        <v>202</v>
      </c>
      <c r="D696" s="1" t="s">
        <v>203</v>
      </c>
      <c r="E696" s="1" t="s">
        <v>124</v>
      </c>
      <c r="F696" s="1" t="s">
        <v>72</v>
      </c>
      <c r="G696" s="1" t="s">
        <v>18</v>
      </c>
      <c r="H696" s="1" t="s">
        <v>137</v>
      </c>
      <c r="I696" s="1" t="s">
        <v>60</v>
      </c>
      <c r="J696" s="1"/>
      <c r="K696" s="1" t="s">
        <v>125</v>
      </c>
      <c r="L696" s="3"/>
      <c r="M696" s="3"/>
      <c r="N696">
        <f>_xlfn.XLOOKUP(Data[[#This Row],[Status]],Compliance_Status[Status from OPMS],Compliance_Status[Status_Key],"")</f>
        <v>2</v>
      </c>
      <c r="O696">
        <f>_xlfn.XLOOKUP(Data[[#This Row],[Status]],Compliance_Status[Status from OPMS],Compliance_Status[Has Course booking],"")</f>
        <v>0</v>
      </c>
      <c r="P696" t="str">
        <f>_xlfn.XLOOKUP(Data[[#This Row],[StatusKey]],Status_Key[Status_Key],Status_Key[Name],"")</f>
        <v>Outstanding</v>
      </c>
    </row>
    <row r="697" spans="1:16" x14ac:dyDescent="0.25">
      <c r="A697" s="1">
        <v>159</v>
      </c>
      <c r="B697" s="1" t="s">
        <v>201</v>
      </c>
      <c r="C697" s="1" t="s">
        <v>202</v>
      </c>
      <c r="D697" s="1" t="s">
        <v>203</v>
      </c>
      <c r="E697" s="1" t="s">
        <v>97</v>
      </c>
      <c r="F697" s="1" t="s">
        <v>65</v>
      </c>
      <c r="G697" s="1" t="s">
        <v>16</v>
      </c>
      <c r="H697" s="1" t="s">
        <v>137</v>
      </c>
      <c r="I697" s="1" t="s">
        <v>60</v>
      </c>
      <c r="J697" s="1" t="s">
        <v>67</v>
      </c>
      <c r="K697" s="1" t="s">
        <v>98</v>
      </c>
      <c r="L697" s="3">
        <v>47246</v>
      </c>
      <c r="M697" s="3">
        <v>45420</v>
      </c>
      <c r="N697">
        <f>_xlfn.XLOOKUP(Data[[#This Row],[Status]],Compliance_Status[Status from OPMS],Compliance_Status[Status_Key],"")</f>
        <v>4</v>
      </c>
      <c r="O697">
        <f>_xlfn.XLOOKUP(Data[[#This Row],[Status]],Compliance_Status[Status from OPMS],Compliance_Status[Has Course booking],"")</f>
        <v>0</v>
      </c>
      <c r="P697" t="str">
        <f>_xlfn.XLOOKUP(Data[[#This Row],[StatusKey]],Status_Key[Status_Key],Status_Key[Name],"")</f>
        <v>In Date</v>
      </c>
    </row>
    <row r="698" spans="1:16" x14ac:dyDescent="0.25">
      <c r="A698" s="1">
        <v>159</v>
      </c>
      <c r="B698" s="1" t="s">
        <v>201</v>
      </c>
      <c r="C698" s="1" t="s">
        <v>202</v>
      </c>
      <c r="D698" s="1" t="s">
        <v>203</v>
      </c>
      <c r="E698" s="1" t="s">
        <v>101</v>
      </c>
      <c r="F698" s="1" t="s">
        <v>65</v>
      </c>
      <c r="G698" s="1" t="s">
        <v>16</v>
      </c>
      <c r="H698" s="1" t="s">
        <v>137</v>
      </c>
      <c r="I698" s="1" t="s">
        <v>60</v>
      </c>
      <c r="J698" s="1" t="s">
        <v>67</v>
      </c>
      <c r="K698" s="1" t="s">
        <v>102</v>
      </c>
      <c r="L698" s="3" t="s">
        <v>79</v>
      </c>
      <c r="M698" s="3">
        <v>45405</v>
      </c>
      <c r="N698">
        <f>_xlfn.XLOOKUP(Data[[#This Row],[Status]],Compliance_Status[Status from OPMS],Compliance_Status[Status_Key],"")</f>
        <v>4</v>
      </c>
      <c r="O698">
        <f>_xlfn.XLOOKUP(Data[[#This Row],[Status]],Compliance_Status[Status from OPMS],Compliance_Status[Has Course booking],"")</f>
        <v>0</v>
      </c>
      <c r="P698" t="str">
        <f>_xlfn.XLOOKUP(Data[[#This Row],[StatusKey]],Status_Key[Status_Key],Status_Key[Name],"")</f>
        <v>In Date</v>
      </c>
    </row>
    <row r="699" spans="1:16" x14ac:dyDescent="0.25">
      <c r="A699" s="1">
        <v>159</v>
      </c>
      <c r="B699" s="1" t="s">
        <v>201</v>
      </c>
      <c r="C699" s="1" t="s">
        <v>202</v>
      </c>
      <c r="D699" s="1" t="s">
        <v>203</v>
      </c>
      <c r="E699" s="1" t="s">
        <v>103</v>
      </c>
      <c r="F699" s="1" t="s">
        <v>65</v>
      </c>
      <c r="G699" s="1" t="s">
        <v>16</v>
      </c>
      <c r="H699" s="1" t="s">
        <v>137</v>
      </c>
      <c r="I699" s="1" t="s">
        <v>60</v>
      </c>
      <c r="J699" s="1" t="s">
        <v>67</v>
      </c>
      <c r="K699" s="1" t="s">
        <v>102</v>
      </c>
      <c r="L699" s="3">
        <v>46460</v>
      </c>
      <c r="M699" s="3">
        <v>45730</v>
      </c>
      <c r="N699">
        <f>_xlfn.XLOOKUP(Data[[#This Row],[Status]],Compliance_Status[Status from OPMS],Compliance_Status[Status_Key],"")</f>
        <v>4</v>
      </c>
      <c r="O699">
        <f>_xlfn.XLOOKUP(Data[[#This Row],[Status]],Compliance_Status[Status from OPMS],Compliance_Status[Has Course booking],"")</f>
        <v>0</v>
      </c>
      <c r="P699" t="str">
        <f>_xlfn.XLOOKUP(Data[[#This Row],[StatusKey]],Status_Key[Status_Key],Status_Key[Name],"")</f>
        <v>In Date</v>
      </c>
    </row>
    <row r="700" spans="1:16" x14ac:dyDescent="0.25">
      <c r="A700" s="1">
        <v>159</v>
      </c>
      <c r="B700" s="1" t="s">
        <v>201</v>
      </c>
      <c r="C700" s="1" t="s">
        <v>202</v>
      </c>
      <c r="D700" s="1" t="s">
        <v>203</v>
      </c>
      <c r="E700" s="1" t="s">
        <v>104</v>
      </c>
      <c r="F700" s="1" t="s">
        <v>65</v>
      </c>
      <c r="G700" s="1" t="s">
        <v>16</v>
      </c>
      <c r="H700" s="1" t="s">
        <v>137</v>
      </c>
      <c r="I700" s="1" t="s">
        <v>60</v>
      </c>
      <c r="J700" s="1" t="s">
        <v>67</v>
      </c>
      <c r="K700" s="1" t="s">
        <v>105</v>
      </c>
      <c r="L700" s="3">
        <v>46769</v>
      </c>
      <c r="M700" s="3">
        <v>46039</v>
      </c>
      <c r="N700">
        <f>_xlfn.XLOOKUP(Data[[#This Row],[Status]],Compliance_Status[Status from OPMS],Compliance_Status[Status_Key],"")</f>
        <v>4</v>
      </c>
      <c r="O700">
        <f>_xlfn.XLOOKUP(Data[[#This Row],[Status]],Compliance_Status[Status from OPMS],Compliance_Status[Has Course booking],"")</f>
        <v>0</v>
      </c>
      <c r="P700" t="str">
        <f>_xlfn.XLOOKUP(Data[[#This Row],[StatusKey]],Status_Key[Status_Key],Status_Key[Name],"")</f>
        <v>In Date</v>
      </c>
    </row>
    <row r="701" spans="1:16" x14ac:dyDescent="0.25">
      <c r="A701" s="1">
        <v>159</v>
      </c>
      <c r="B701" s="1" t="s">
        <v>201</v>
      </c>
      <c r="C701" s="1" t="s">
        <v>202</v>
      </c>
      <c r="D701" s="1" t="s">
        <v>203</v>
      </c>
      <c r="E701" s="1" t="s">
        <v>106</v>
      </c>
      <c r="F701" s="1" t="s">
        <v>65</v>
      </c>
      <c r="G701" s="1" t="s">
        <v>16</v>
      </c>
      <c r="H701" s="1" t="s">
        <v>137</v>
      </c>
      <c r="I701" s="1" t="s">
        <v>60</v>
      </c>
      <c r="J701" s="1" t="s">
        <v>67</v>
      </c>
      <c r="K701" s="1" t="s">
        <v>105</v>
      </c>
      <c r="L701" s="3">
        <v>47246</v>
      </c>
      <c r="M701" s="3">
        <v>45420</v>
      </c>
      <c r="N701">
        <f>_xlfn.XLOOKUP(Data[[#This Row],[Status]],Compliance_Status[Status from OPMS],Compliance_Status[Status_Key],"")</f>
        <v>4</v>
      </c>
      <c r="O701">
        <f>_xlfn.XLOOKUP(Data[[#This Row],[Status]],Compliance_Status[Status from OPMS],Compliance_Status[Has Course booking],"")</f>
        <v>0</v>
      </c>
      <c r="P701" t="str">
        <f>_xlfn.XLOOKUP(Data[[#This Row],[StatusKey]],Status_Key[Status_Key],Status_Key[Name],"")</f>
        <v>In Date</v>
      </c>
    </row>
    <row r="702" spans="1:16" x14ac:dyDescent="0.25">
      <c r="A702" s="1">
        <v>159</v>
      </c>
      <c r="B702" s="1" t="s">
        <v>201</v>
      </c>
      <c r="C702" s="1" t="s">
        <v>202</v>
      </c>
      <c r="D702" s="1" t="s">
        <v>203</v>
      </c>
      <c r="E702" s="1" t="s">
        <v>107</v>
      </c>
      <c r="F702" s="1" t="s">
        <v>65</v>
      </c>
      <c r="G702" s="1" t="s">
        <v>16</v>
      </c>
      <c r="H702" s="1" t="s">
        <v>137</v>
      </c>
      <c r="I702" s="1" t="s">
        <v>60</v>
      </c>
      <c r="J702" s="1" t="s">
        <v>67</v>
      </c>
      <c r="K702" s="1" t="s">
        <v>105</v>
      </c>
      <c r="L702" s="3">
        <v>46515</v>
      </c>
      <c r="M702" s="3">
        <v>45420</v>
      </c>
      <c r="N702">
        <f>_xlfn.XLOOKUP(Data[[#This Row],[Status]],Compliance_Status[Status from OPMS],Compliance_Status[Status_Key],"")</f>
        <v>4</v>
      </c>
      <c r="O702">
        <f>_xlfn.XLOOKUP(Data[[#This Row],[Status]],Compliance_Status[Status from OPMS],Compliance_Status[Has Course booking],"")</f>
        <v>0</v>
      </c>
      <c r="P702" t="str">
        <f>_xlfn.XLOOKUP(Data[[#This Row],[StatusKey]],Status_Key[Status_Key],Status_Key[Name],"")</f>
        <v>In Date</v>
      </c>
    </row>
    <row r="703" spans="1:16" x14ac:dyDescent="0.25">
      <c r="A703" s="1">
        <v>159</v>
      </c>
      <c r="B703" s="1" t="s">
        <v>201</v>
      </c>
      <c r="C703" s="1" t="s">
        <v>202</v>
      </c>
      <c r="D703" s="1" t="s">
        <v>203</v>
      </c>
      <c r="E703" s="1" t="s">
        <v>108</v>
      </c>
      <c r="F703" s="1" t="s">
        <v>65</v>
      </c>
      <c r="G703" s="1" t="s">
        <v>16</v>
      </c>
      <c r="H703" s="1" t="s">
        <v>137</v>
      </c>
      <c r="I703" s="1" t="s">
        <v>60</v>
      </c>
      <c r="J703" s="1" t="s">
        <v>67</v>
      </c>
      <c r="K703" s="1" t="s">
        <v>105</v>
      </c>
      <c r="L703" s="3">
        <v>47313</v>
      </c>
      <c r="M703" s="3">
        <v>46217</v>
      </c>
      <c r="N703">
        <f>_xlfn.XLOOKUP(Data[[#This Row],[Status]],Compliance_Status[Status from OPMS],Compliance_Status[Status_Key],"")</f>
        <v>4</v>
      </c>
      <c r="O703">
        <f>_xlfn.XLOOKUP(Data[[#This Row],[Status]],Compliance_Status[Status from OPMS],Compliance_Status[Has Course booking],"")</f>
        <v>0</v>
      </c>
      <c r="P703" t="str">
        <f>_xlfn.XLOOKUP(Data[[#This Row],[StatusKey]],Status_Key[Status_Key],Status_Key[Name],"")</f>
        <v>In Date</v>
      </c>
    </row>
    <row r="704" spans="1:16" x14ac:dyDescent="0.25">
      <c r="A704" s="1">
        <v>159</v>
      </c>
      <c r="B704" s="1" t="s">
        <v>201</v>
      </c>
      <c r="C704" s="1" t="s">
        <v>202</v>
      </c>
      <c r="D704" s="1" t="s">
        <v>203</v>
      </c>
      <c r="E704" s="1" t="s">
        <v>109</v>
      </c>
      <c r="F704" s="1" t="s">
        <v>65</v>
      </c>
      <c r="G704" s="1" t="s">
        <v>16</v>
      </c>
      <c r="H704" s="1" t="s">
        <v>137</v>
      </c>
      <c r="I704" s="1" t="s">
        <v>60</v>
      </c>
      <c r="J704" s="1" t="s">
        <v>67</v>
      </c>
      <c r="K704" s="1" t="s">
        <v>105</v>
      </c>
      <c r="L704" s="3">
        <v>46769</v>
      </c>
      <c r="M704" s="3">
        <v>46039</v>
      </c>
      <c r="N704">
        <f>_xlfn.XLOOKUP(Data[[#This Row],[Status]],Compliance_Status[Status from OPMS],Compliance_Status[Status_Key],"")</f>
        <v>4</v>
      </c>
      <c r="O704">
        <f>_xlfn.XLOOKUP(Data[[#This Row],[Status]],Compliance_Status[Status from OPMS],Compliance_Status[Has Course booking],"")</f>
        <v>0</v>
      </c>
      <c r="P704" t="str">
        <f>_xlfn.XLOOKUP(Data[[#This Row],[StatusKey]],Status_Key[Status_Key],Status_Key[Name],"")</f>
        <v>In Date</v>
      </c>
    </row>
    <row r="705" spans="1:16" x14ac:dyDescent="0.25">
      <c r="A705" s="1">
        <v>159</v>
      </c>
      <c r="B705" s="1" t="s">
        <v>201</v>
      </c>
      <c r="C705" s="1" t="s">
        <v>202</v>
      </c>
      <c r="D705" s="1" t="s">
        <v>203</v>
      </c>
      <c r="E705" s="1" t="s">
        <v>110</v>
      </c>
      <c r="F705" s="1" t="s">
        <v>65</v>
      </c>
      <c r="G705" s="1" t="s">
        <v>16</v>
      </c>
      <c r="H705" s="1" t="s">
        <v>137</v>
      </c>
      <c r="I705" s="1" t="s">
        <v>60</v>
      </c>
      <c r="J705" s="1" t="s">
        <v>67</v>
      </c>
      <c r="K705" s="1" t="s">
        <v>105</v>
      </c>
      <c r="L705" s="3" t="s">
        <v>79</v>
      </c>
      <c r="M705" s="3">
        <v>45420</v>
      </c>
      <c r="N705">
        <f>_xlfn.XLOOKUP(Data[[#This Row],[Status]],Compliance_Status[Status from OPMS],Compliance_Status[Status_Key],"")</f>
        <v>4</v>
      </c>
      <c r="O705">
        <f>_xlfn.XLOOKUP(Data[[#This Row],[Status]],Compliance_Status[Status from OPMS],Compliance_Status[Has Course booking],"")</f>
        <v>0</v>
      </c>
      <c r="P705" t="str">
        <f>_xlfn.XLOOKUP(Data[[#This Row],[StatusKey]],Status_Key[Status_Key],Status_Key[Name],"")</f>
        <v>In Date</v>
      </c>
    </row>
    <row r="706" spans="1:16" x14ac:dyDescent="0.25">
      <c r="A706" s="1">
        <v>159</v>
      </c>
      <c r="B706" s="1" t="s">
        <v>201</v>
      </c>
      <c r="C706" s="1" t="s">
        <v>202</v>
      </c>
      <c r="D706" s="1" t="s">
        <v>203</v>
      </c>
      <c r="E706" s="1" t="s">
        <v>111</v>
      </c>
      <c r="F706" s="1" t="s">
        <v>65</v>
      </c>
      <c r="G706" s="1" t="s">
        <v>16</v>
      </c>
      <c r="H706" s="1" t="s">
        <v>137</v>
      </c>
      <c r="I706" s="1" t="s">
        <v>60</v>
      </c>
      <c r="J706" s="1" t="s">
        <v>67</v>
      </c>
      <c r="K706" s="1" t="s">
        <v>105</v>
      </c>
      <c r="L706" s="3">
        <v>46714</v>
      </c>
      <c r="M706" s="3">
        <v>45984</v>
      </c>
      <c r="N706">
        <f>_xlfn.XLOOKUP(Data[[#This Row],[Status]],Compliance_Status[Status from OPMS],Compliance_Status[Status_Key],"")</f>
        <v>4</v>
      </c>
      <c r="O706">
        <f>_xlfn.XLOOKUP(Data[[#This Row],[Status]],Compliance_Status[Status from OPMS],Compliance_Status[Has Course booking],"")</f>
        <v>0</v>
      </c>
      <c r="P706" t="str">
        <f>_xlfn.XLOOKUP(Data[[#This Row],[StatusKey]],Status_Key[Status_Key],Status_Key[Name],"")</f>
        <v>In Date</v>
      </c>
    </row>
    <row r="707" spans="1:16" x14ac:dyDescent="0.25">
      <c r="A707" s="1">
        <v>159</v>
      </c>
      <c r="B707" s="1" t="s">
        <v>201</v>
      </c>
      <c r="C707" s="1" t="s">
        <v>202</v>
      </c>
      <c r="D707" s="1" t="s">
        <v>203</v>
      </c>
      <c r="E707" s="1" t="s">
        <v>112</v>
      </c>
      <c r="F707" s="1" t="s">
        <v>65</v>
      </c>
      <c r="G707" s="1" t="s">
        <v>16</v>
      </c>
      <c r="H707" s="1" t="s">
        <v>137</v>
      </c>
      <c r="I707" s="1" t="s">
        <v>60</v>
      </c>
      <c r="J707" s="1" t="s">
        <v>67</v>
      </c>
      <c r="K707" s="1" t="s">
        <v>105</v>
      </c>
      <c r="L707" s="3">
        <v>46769</v>
      </c>
      <c r="M707" s="3">
        <v>46039</v>
      </c>
      <c r="N707">
        <f>_xlfn.XLOOKUP(Data[[#This Row],[Status]],Compliance_Status[Status from OPMS],Compliance_Status[Status_Key],"")</f>
        <v>4</v>
      </c>
      <c r="O707">
        <f>_xlfn.XLOOKUP(Data[[#This Row],[Status]],Compliance_Status[Status from OPMS],Compliance_Status[Has Course booking],"")</f>
        <v>0</v>
      </c>
      <c r="P707" t="str">
        <f>_xlfn.XLOOKUP(Data[[#This Row],[StatusKey]],Status_Key[Status_Key],Status_Key[Name],"")</f>
        <v>In Date</v>
      </c>
    </row>
    <row r="708" spans="1:16" x14ac:dyDescent="0.25">
      <c r="A708" s="1">
        <v>159</v>
      </c>
      <c r="B708" s="1" t="s">
        <v>201</v>
      </c>
      <c r="C708" s="1" t="s">
        <v>202</v>
      </c>
      <c r="D708" s="1" t="s">
        <v>203</v>
      </c>
      <c r="E708" s="1" t="s">
        <v>113</v>
      </c>
      <c r="F708" s="1" t="s">
        <v>65</v>
      </c>
      <c r="G708" s="1" t="s">
        <v>16</v>
      </c>
      <c r="H708" s="1" t="s">
        <v>137</v>
      </c>
      <c r="I708" s="1" t="s">
        <v>60</v>
      </c>
      <c r="J708" s="1" t="s">
        <v>67</v>
      </c>
      <c r="K708" s="1" t="s">
        <v>105</v>
      </c>
      <c r="L708" s="3">
        <v>46756</v>
      </c>
      <c r="M708" s="3">
        <v>46026</v>
      </c>
      <c r="N708">
        <f>_xlfn.XLOOKUP(Data[[#This Row],[Status]],Compliance_Status[Status from OPMS],Compliance_Status[Status_Key],"")</f>
        <v>4</v>
      </c>
      <c r="O708">
        <f>_xlfn.XLOOKUP(Data[[#This Row],[Status]],Compliance_Status[Status from OPMS],Compliance_Status[Has Course booking],"")</f>
        <v>0</v>
      </c>
      <c r="P708" t="str">
        <f>_xlfn.XLOOKUP(Data[[#This Row],[StatusKey]],Status_Key[Status_Key],Status_Key[Name],"")</f>
        <v>In Date</v>
      </c>
    </row>
    <row r="709" spans="1:16" x14ac:dyDescent="0.25">
      <c r="A709" s="1">
        <v>161</v>
      </c>
      <c r="B709" s="1" t="s">
        <v>204</v>
      </c>
      <c r="C709" s="1" t="s">
        <v>205</v>
      </c>
      <c r="D709" s="1" t="s">
        <v>206</v>
      </c>
      <c r="E709" s="1" t="s">
        <v>144</v>
      </c>
      <c r="F709" s="1" t="s">
        <v>65</v>
      </c>
      <c r="G709" s="1" t="s">
        <v>16</v>
      </c>
      <c r="H709" s="1" t="s">
        <v>145</v>
      </c>
      <c r="I709" s="1" t="s">
        <v>60</v>
      </c>
      <c r="J709" s="1" t="s">
        <v>67</v>
      </c>
      <c r="K709" s="1" t="s">
        <v>68</v>
      </c>
      <c r="L709" s="3">
        <v>47453</v>
      </c>
      <c r="M709" s="3">
        <v>45547</v>
      </c>
      <c r="N709">
        <f>_xlfn.XLOOKUP(Data[[#This Row],[Status]],Compliance_Status[Status from OPMS],Compliance_Status[Status_Key],"")</f>
        <v>4</v>
      </c>
      <c r="O709">
        <f>_xlfn.XLOOKUP(Data[[#This Row],[Status]],Compliance_Status[Status from OPMS],Compliance_Status[Has Course booking],"")</f>
        <v>0</v>
      </c>
      <c r="P709" t="str">
        <f>_xlfn.XLOOKUP(Data[[#This Row],[StatusKey]],Status_Key[Status_Key],Status_Key[Name],"")</f>
        <v>In Date</v>
      </c>
    </row>
    <row r="710" spans="1:16" x14ac:dyDescent="0.25">
      <c r="A710" s="1">
        <v>161</v>
      </c>
      <c r="B710" s="1" t="s">
        <v>204</v>
      </c>
      <c r="C710" s="1" t="s">
        <v>205</v>
      </c>
      <c r="D710" s="1" t="s">
        <v>206</v>
      </c>
      <c r="E710" s="1" t="s">
        <v>71</v>
      </c>
      <c r="F710" s="1" t="s">
        <v>72</v>
      </c>
      <c r="G710" s="1" t="s">
        <v>18</v>
      </c>
      <c r="H710" s="1" t="s">
        <v>145</v>
      </c>
      <c r="I710" s="1" t="s">
        <v>60</v>
      </c>
      <c r="J710" s="1"/>
      <c r="K710" s="1" t="s">
        <v>68</v>
      </c>
      <c r="L710" s="3"/>
      <c r="M710" s="3"/>
      <c r="N710">
        <f>_xlfn.XLOOKUP(Data[[#This Row],[Status]],Compliance_Status[Status from OPMS],Compliance_Status[Status_Key],"")</f>
        <v>2</v>
      </c>
      <c r="O710">
        <f>_xlfn.XLOOKUP(Data[[#This Row],[Status]],Compliance_Status[Status from OPMS],Compliance_Status[Has Course booking],"")</f>
        <v>0</v>
      </c>
      <c r="P710" t="str">
        <f>_xlfn.XLOOKUP(Data[[#This Row],[StatusKey]],Status_Key[Status_Key],Status_Key[Name],"")</f>
        <v>Outstanding</v>
      </c>
    </row>
    <row r="711" spans="1:16" x14ac:dyDescent="0.25">
      <c r="A711" s="1">
        <v>161</v>
      </c>
      <c r="B711" s="1" t="s">
        <v>204</v>
      </c>
      <c r="C711" s="1" t="s">
        <v>205</v>
      </c>
      <c r="D711" s="1" t="s">
        <v>206</v>
      </c>
      <c r="E711" s="1" t="s">
        <v>73</v>
      </c>
      <c r="F711" s="1" t="s">
        <v>65</v>
      </c>
      <c r="G711" s="1" t="s">
        <v>16</v>
      </c>
      <c r="H711" s="1" t="s">
        <v>145</v>
      </c>
      <c r="I711" s="1" t="s">
        <v>60</v>
      </c>
      <c r="J711" s="1" t="s">
        <v>67</v>
      </c>
      <c r="K711" s="1" t="s">
        <v>68</v>
      </c>
      <c r="L711" s="3">
        <v>46731</v>
      </c>
      <c r="M711" s="3">
        <v>46001</v>
      </c>
      <c r="N711">
        <f>_xlfn.XLOOKUP(Data[[#This Row],[Status]],Compliance_Status[Status from OPMS],Compliance_Status[Status_Key],"")</f>
        <v>4</v>
      </c>
      <c r="O711">
        <f>_xlfn.XLOOKUP(Data[[#This Row],[Status]],Compliance_Status[Status from OPMS],Compliance_Status[Has Course booking],"")</f>
        <v>0</v>
      </c>
      <c r="P711" t="str">
        <f>_xlfn.XLOOKUP(Data[[#This Row],[StatusKey]],Status_Key[Status_Key],Status_Key[Name],"")</f>
        <v>In Date</v>
      </c>
    </row>
    <row r="712" spans="1:16" x14ac:dyDescent="0.25">
      <c r="A712" s="1">
        <v>161</v>
      </c>
      <c r="B712" s="1" t="s">
        <v>204</v>
      </c>
      <c r="C712" s="1" t="s">
        <v>205</v>
      </c>
      <c r="D712" s="1" t="s">
        <v>206</v>
      </c>
      <c r="E712" s="1" t="s">
        <v>74</v>
      </c>
      <c r="F712" s="1" t="s">
        <v>65</v>
      </c>
      <c r="G712" s="1" t="s">
        <v>16</v>
      </c>
      <c r="H712" s="1" t="s">
        <v>145</v>
      </c>
      <c r="I712" s="1" t="s">
        <v>60</v>
      </c>
      <c r="J712" s="1" t="s">
        <v>67</v>
      </c>
      <c r="K712" s="1" t="s">
        <v>68</v>
      </c>
      <c r="L712" s="3">
        <v>46769</v>
      </c>
      <c r="M712" s="3">
        <v>45674</v>
      </c>
      <c r="N712">
        <f>_xlfn.XLOOKUP(Data[[#This Row],[Status]],Compliance_Status[Status from OPMS],Compliance_Status[Status_Key],"")</f>
        <v>4</v>
      </c>
      <c r="O712">
        <f>_xlfn.XLOOKUP(Data[[#This Row],[Status]],Compliance_Status[Status from OPMS],Compliance_Status[Has Course booking],"")</f>
        <v>0</v>
      </c>
      <c r="P712" t="str">
        <f>_xlfn.XLOOKUP(Data[[#This Row],[StatusKey]],Status_Key[Status_Key],Status_Key[Name],"")</f>
        <v>In Date</v>
      </c>
    </row>
    <row r="713" spans="1:16" x14ac:dyDescent="0.25">
      <c r="A713" s="1">
        <v>161</v>
      </c>
      <c r="B713" s="1" t="s">
        <v>204</v>
      </c>
      <c r="C713" s="1" t="s">
        <v>205</v>
      </c>
      <c r="D713" s="1" t="s">
        <v>206</v>
      </c>
      <c r="E713" s="1" t="s">
        <v>75</v>
      </c>
      <c r="F713" s="1" t="s">
        <v>72</v>
      </c>
      <c r="G713" s="1" t="s">
        <v>18</v>
      </c>
      <c r="H713" s="1" t="s">
        <v>145</v>
      </c>
      <c r="I713" s="1" t="s">
        <v>60</v>
      </c>
      <c r="J713" s="1"/>
      <c r="K713" s="1" t="s">
        <v>68</v>
      </c>
      <c r="L713" s="3"/>
      <c r="M713" s="3"/>
      <c r="N713">
        <f>_xlfn.XLOOKUP(Data[[#This Row],[Status]],Compliance_Status[Status from OPMS],Compliance_Status[Status_Key],"")</f>
        <v>2</v>
      </c>
      <c r="O713">
        <f>_xlfn.XLOOKUP(Data[[#This Row],[Status]],Compliance_Status[Status from OPMS],Compliance_Status[Has Course booking],"")</f>
        <v>0</v>
      </c>
      <c r="P713" t="str">
        <f>_xlfn.XLOOKUP(Data[[#This Row],[StatusKey]],Status_Key[Status_Key],Status_Key[Name],"")</f>
        <v>Outstanding</v>
      </c>
    </row>
    <row r="714" spans="1:16" x14ac:dyDescent="0.25">
      <c r="A714" s="1">
        <v>161</v>
      </c>
      <c r="B714" s="1" t="s">
        <v>204</v>
      </c>
      <c r="C714" s="1" t="s">
        <v>205</v>
      </c>
      <c r="D714" s="1" t="s">
        <v>206</v>
      </c>
      <c r="E714" s="1" t="s">
        <v>76</v>
      </c>
      <c r="F714" s="1" t="s">
        <v>65</v>
      </c>
      <c r="G714" s="1" t="s">
        <v>16</v>
      </c>
      <c r="H714" s="1" t="s">
        <v>145</v>
      </c>
      <c r="I714" s="1" t="s">
        <v>60</v>
      </c>
      <c r="J714" s="1" t="s">
        <v>67</v>
      </c>
      <c r="K714" s="1" t="s">
        <v>77</v>
      </c>
      <c r="L714" s="3">
        <v>46783</v>
      </c>
      <c r="M714" s="3">
        <v>45322</v>
      </c>
      <c r="N714">
        <f>_xlfn.XLOOKUP(Data[[#This Row],[Status]],Compliance_Status[Status from OPMS],Compliance_Status[Status_Key],"")</f>
        <v>4</v>
      </c>
      <c r="O714">
        <f>_xlfn.XLOOKUP(Data[[#This Row],[Status]],Compliance_Status[Status from OPMS],Compliance_Status[Has Course booking],"")</f>
        <v>0</v>
      </c>
      <c r="P714" t="str">
        <f>_xlfn.XLOOKUP(Data[[#This Row],[StatusKey]],Status_Key[Status_Key],Status_Key[Name],"")</f>
        <v>In Date</v>
      </c>
    </row>
    <row r="715" spans="1:16" x14ac:dyDescent="0.25">
      <c r="A715" s="1">
        <v>161</v>
      </c>
      <c r="B715" s="1" t="s">
        <v>204</v>
      </c>
      <c r="C715" s="1" t="s">
        <v>205</v>
      </c>
      <c r="D715" s="1" t="s">
        <v>206</v>
      </c>
      <c r="E715" s="1" t="s">
        <v>80</v>
      </c>
      <c r="F715" s="1" t="s">
        <v>65</v>
      </c>
      <c r="G715" s="1" t="s">
        <v>16</v>
      </c>
      <c r="H715" s="1" t="s">
        <v>145</v>
      </c>
      <c r="I715" s="1" t="s">
        <v>60</v>
      </c>
      <c r="J715" s="1" t="s">
        <v>67</v>
      </c>
      <c r="K715" s="1" t="s">
        <v>77</v>
      </c>
      <c r="L715" s="3" t="s">
        <v>79</v>
      </c>
      <c r="M715" s="3">
        <v>45779</v>
      </c>
      <c r="N715">
        <f>_xlfn.XLOOKUP(Data[[#This Row],[Status]],Compliance_Status[Status from OPMS],Compliance_Status[Status_Key],"")</f>
        <v>4</v>
      </c>
      <c r="O715">
        <f>_xlfn.XLOOKUP(Data[[#This Row],[Status]],Compliance_Status[Status from OPMS],Compliance_Status[Has Course booking],"")</f>
        <v>0</v>
      </c>
      <c r="P715" t="str">
        <f>_xlfn.XLOOKUP(Data[[#This Row],[StatusKey]],Status_Key[Status_Key],Status_Key[Name],"")</f>
        <v>In Date</v>
      </c>
    </row>
    <row r="716" spans="1:16" x14ac:dyDescent="0.25">
      <c r="A716" s="1">
        <v>161</v>
      </c>
      <c r="B716" s="1" t="s">
        <v>204</v>
      </c>
      <c r="C716" s="1" t="s">
        <v>205</v>
      </c>
      <c r="D716" s="1" t="s">
        <v>206</v>
      </c>
      <c r="E716" s="1" t="s">
        <v>81</v>
      </c>
      <c r="F716" s="1"/>
      <c r="G716" s="1" t="s">
        <v>16</v>
      </c>
      <c r="H716" s="1" t="s">
        <v>145</v>
      </c>
      <c r="I716" s="1" t="s">
        <v>60</v>
      </c>
      <c r="J716" s="1" t="s">
        <v>67</v>
      </c>
      <c r="K716" s="1" t="s">
        <v>77</v>
      </c>
      <c r="L716" s="3">
        <v>46756</v>
      </c>
      <c r="M716" s="3">
        <v>46026</v>
      </c>
      <c r="N716">
        <f>_xlfn.XLOOKUP(Data[[#This Row],[Status]],Compliance_Status[Status from OPMS],Compliance_Status[Status_Key],"")</f>
        <v>4</v>
      </c>
      <c r="O716">
        <f>_xlfn.XLOOKUP(Data[[#This Row],[Status]],Compliance_Status[Status from OPMS],Compliance_Status[Has Course booking],"")</f>
        <v>0</v>
      </c>
      <c r="P716" t="str">
        <f>_xlfn.XLOOKUP(Data[[#This Row],[StatusKey]],Status_Key[Status_Key],Status_Key[Name],"")</f>
        <v>In Date</v>
      </c>
    </row>
    <row r="717" spans="1:16" x14ac:dyDescent="0.25">
      <c r="A717" s="1">
        <v>161</v>
      </c>
      <c r="B717" s="1" t="s">
        <v>204</v>
      </c>
      <c r="C717" s="1" t="s">
        <v>205</v>
      </c>
      <c r="D717" s="1" t="s">
        <v>206</v>
      </c>
      <c r="E717" s="1" t="s">
        <v>84</v>
      </c>
      <c r="F717" s="1" t="s">
        <v>65</v>
      </c>
      <c r="G717" s="1" t="s">
        <v>16</v>
      </c>
      <c r="H717" s="1" t="s">
        <v>145</v>
      </c>
      <c r="I717" s="1" t="s">
        <v>60</v>
      </c>
      <c r="J717" s="1" t="s">
        <v>67</v>
      </c>
      <c r="K717" s="1" t="s">
        <v>83</v>
      </c>
      <c r="L717" s="3">
        <v>46717</v>
      </c>
      <c r="M717" s="3">
        <v>45987</v>
      </c>
      <c r="N717">
        <f>_xlfn.XLOOKUP(Data[[#This Row],[Status]],Compliance_Status[Status from OPMS],Compliance_Status[Status_Key],"")</f>
        <v>4</v>
      </c>
      <c r="O717">
        <f>_xlfn.XLOOKUP(Data[[#This Row],[Status]],Compliance_Status[Status from OPMS],Compliance_Status[Has Course booking],"")</f>
        <v>0</v>
      </c>
      <c r="P717" t="str">
        <f>_xlfn.XLOOKUP(Data[[#This Row],[StatusKey]],Status_Key[Status_Key],Status_Key[Name],"")</f>
        <v>In Date</v>
      </c>
    </row>
    <row r="718" spans="1:16" x14ac:dyDescent="0.25">
      <c r="A718" s="1">
        <v>161</v>
      </c>
      <c r="B718" s="1" t="s">
        <v>204</v>
      </c>
      <c r="C718" s="1" t="s">
        <v>205</v>
      </c>
      <c r="D718" s="1" t="s">
        <v>206</v>
      </c>
      <c r="E718" s="1" t="s">
        <v>93</v>
      </c>
      <c r="F718" s="1" t="s">
        <v>65</v>
      </c>
      <c r="G718" s="1" t="s">
        <v>16</v>
      </c>
      <c r="H718" s="1" t="s">
        <v>145</v>
      </c>
      <c r="I718" s="1" t="s">
        <v>60</v>
      </c>
      <c r="J718" s="1" t="s">
        <v>67</v>
      </c>
      <c r="K718" s="1" t="s">
        <v>94</v>
      </c>
      <c r="L718" s="3">
        <v>46643</v>
      </c>
      <c r="M718" s="3">
        <v>45913</v>
      </c>
      <c r="N718">
        <f>_xlfn.XLOOKUP(Data[[#This Row],[Status]],Compliance_Status[Status from OPMS],Compliance_Status[Status_Key],"")</f>
        <v>4</v>
      </c>
      <c r="O718">
        <f>_xlfn.XLOOKUP(Data[[#This Row],[Status]],Compliance_Status[Status from OPMS],Compliance_Status[Has Course booking],"")</f>
        <v>0</v>
      </c>
      <c r="P718" t="str">
        <f>_xlfn.XLOOKUP(Data[[#This Row],[StatusKey]],Status_Key[Status_Key],Status_Key[Name],"")</f>
        <v>In Date</v>
      </c>
    </row>
    <row r="719" spans="1:16" x14ac:dyDescent="0.25">
      <c r="A719" s="1">
        <v>161</v>
      </c>
      <c r="B719" s="1" t="s">
        <v>204</v>
      </c>
      <c r="C719" s="1" t="s">
        <v>205</v>
      </c>
      <c r="D719" s="1" t="s">
        <v>206</v>
      </c>
      <c r="E719" s="1" t="s">
        <v>95</v>
      </c>
      <c r="F719" s="1" t="s">
        <v>65</v>
      </c>
      <c r="G719" s="1" t="s">
        <v>16</v>
      </c>
      <c r="H719" s="1" t="s">
        <v>145</v>
      </c>
      <c r="I719" s="1" t="s">
        <v>60</v>
      </c>
      <c r="J719" s="1" t="s">
        <v>67</v>
      </c>
      <c r="K719" s="1" t="s">
        <v>94</v>
      </c>
      <c r="L719" s="3">
        <v>46643</v>
      </c>
      <c r="M719" s="3">
        <v>45913</v>
      </c>
      <c r="N719">
        <f>_xlfn.XLOOKUP(Data[[#This Row],[Status]],Compliance_Status[Status from OPMS],Compliance_Status[Status_Key],"")</f>
        <v>4</v>
      </c>
      <c r="O719">
        <f>_xlfn.XLOOKUP(Data[[#This Row],[Status]],Compliance_Status[Status from OPMS],Compliance_Status[Has Course booking],"")</f>
        <v>0</v>
      </c>
      <c r="P719" t="str">
        <f>_xlfn.XLOOKUP(Data[[#This Row],[StatusKey]],Status_Key[Status_Key],Status_Key[Name],"")</f>
        <v>In Date</v>
      </c>
    </row>
    <row r="720" spans="1:16" x14ac:dyDescent="0.25">
      <c r="A720" s="1">
        <v>161</v>
      </c>
      <c r="B720" s="1" t="s">
        <v>204</v>
      </c>
      <c r="C720" s="1" t="s">
        <v>205</v>
      </c>
      <c r="D720" s="1" t="s">
        <v>206</v>
      </c>
      <c r="E720" s="1" t="s">
        <v>97</v>
      </c>
      <c r="F720" s="1" t="s">
        <v>65</v>
      </c>
      <c r="G720" s="1" t="s">
        <v>16</v>
      </c>
      <c r="H720" s="1" t="s">
        <v>145</v>
      </c>
      <c r="I720" s="1" t="s">
        <v>60</v>
      </c>
      <c r="J720" s="1" t="s">
        <v>67</v>
      </c>
      <c r="K720" s="1" t="s">
        <v>98</v>
      </c>
      <c r="L720" s="3">
        <v>47246</v>
      </c>
      <c r="M720" s="3">
        <v>45420</v>
      </c>
      <c r="N720">
        <f>_xlfn.XLOOKUP(Data[[#This Row],[Status]],Compliance_Status[Status from OPMS],Compliance_Status[Status_Key],"")</f>
        <v>4</v>
      </c>
      <c r="O720">
        <f>_xlfn.XLOOKUP(Data[[#This Row],[Status]],Compliance_Status[Status from OPMS],Compliance_Status[Has Course booking],"")</f>
        <v>0</v>
      </c>
      <c r="P720" t="str">
        <f>_xlfn.XLOOKUP(Data[[#This Row],[StatusKey]],Status_Key[Status_Key],Status_Key[Name],"")</f>
        <v>In Date</v>
      </c>
    </row>
    <row r="721" spans="1:16" x14ac:dyDescent="0.25">
      <c r="A721" s="1">
        <v>161</v>
      </c>
      <c r="B721" s="1" t="s">
        <v>204</v>
      </c>
      <c r="C721" s="1" t="s">
        <v>205</v>
      </c>
      <c r="D721" s="1" t="s">
        <v>206</v>
      </c>
      <c r="E721" s="1" t="s">
        <v>99</v>
      </c>
      <c r="F721" s="1" t="s">
        <v>65</v>
      </c>
      <c r="G721" s="1" t="s">
        <v>16</v>
      </c>
      <c r="H721" s="1" t="s">
        <v>145</v>
      </c>
      <c r="I721" s="1" t="s">
        <v>60</v>
      </c>
      <c r="J721" s="1" t="s">
        <v>67</v>
      </c>
      <c r="K721" s="1" t="s">
        <v>98</v>
      </c>
      <c r="L721" s="3">
        <v>46678</v>
      </c>
      <c r="M721" s="3">
        <v>45948</v>
      </c>
      <c r="N721">
        <f>_xlfn.XLOOKUP(Data[[#This Row],[Status]],Compliance_Status[Status from OPMS],Compliance_Status[Status_Key],"")</f>
        <v>4</v>
      </c>
      <c r="O721">
        <f>_xlfn.XLOOKUP(Data[[#This Row],[Status]],Compliance_Status[Status from OPMS],Compliance_Status[Has Course booking],"")</f>
        <v>0</v>
      </c>
      <c r="P721" t="str">
        <f>_xlfn.XLOOKUP(Data[[#This Row],[StatusKey]],Status_Key[Status_Key],Status_Key[Name],"")</f>
        <v>In Date</v>
      </c>
    </row>
    <row r="722" spans="1:16" x14ac:dyDescent="0.25">
      <c r="A722" s="1">
        <v>161</v>
      </c>
      <c r="B722" s="1" t="s">
        <v>204</v>
      </c>
      <c r="C722" s="1" t="s">
        <v>205</v>
      </c>
      <c r="D722" s="1" t="s">
        <v>206</v>
      </c>
      <c r="E722" s="1" t="s">
        <v>100</v>
      </c>
      <c r="F722" s="1" t="s">
        <v>65</v>
      </c>
      <c r="G722" s="1" t="s">
        <v>16</v>
      </c>
      <c r="H722" s="1" t="s">
        <v>145</v>
      </c>
      <c r="I722" s="1" t="s">
        <v>60</v>
      </c>
      <c r="J722" s="1" t="s">
        <v>67</v>
      </c>
      <c r="K722" s="1" t="s">
        <v>98</v>
      </c>
      <c r="L722" s="3">
        <v>46678</v>
      </c>
      <c r="M722" s="3">
        <v>45948</v>
      </c>
      <c r="N722">
        <f>_xlfn.XLOOKUP(Data[[#This Row],[Status]],Compliance_Status[Status from OPMS],Compliance_Status[Status_Key],"")</f>
        <v>4</v>
      </c>
      <c r="O722">
        <f>_xlfn.XLOOKUP(Data[[#This Row],[Status]],Compliance_Status[Status from OPMS],Compliance_Status[Has Course booking],"")</f>
        <v>0</v>
      </c>
      <c r="P722" t="str">
        <f>_xlfn.XLOOKUP(Data[[#This Row],[StatusKey]],Status_Key[Status_Key],Status_Key[Name],"")</f>
        <v>In Date</v>
      </c>
    </row>
    <row r="723" spans="1:16" x14ac:dyDescent="0.25">
      <c r="A723" s="1">
        <v>161</v>
      </c>
      <c r="B723" s="1" t="s">
        <v>204</v>
      </c>
      <c r="C723" s="1" t="s">
        <v>205</v>
      </c>
      <c r="D723" s="1" t="s">
        <v>206</v>
      </c>
      <c r="E723" s="1" t="s">
        <v>101</v>
      </c>
      <c r="F723" s="1" t="s">
        <v>65</v>
      </c>
      <c r="G723" s="1" t="s">
        <v>16</v>
      </c>
      <c r="H723" s="1" t="s">
        <v>145</v>
      </c>
      <c r="I723" s="1" t="s">
        <v>60</v>
      </c>
      <c r="J723" s="1" t="s">
        <v>67</v>
      </c>
      <c r="K723" s="1" t="s">
        <v>102</v>
      </c>
      <c r="L723" s="3" t="s">
        <v>79</v>
      </c>
      <c r="M723" s="3">
        <v>45432</v>
      </c>
      <c r="N723">
        <f>_xlfn.XLOOKUP(Data[[#This Row],[Status]],Compliance_Status[Status from OPMS],Compliance_Status[Status_Key],"")</f>
        <v>4</v>
      </c>
      <c r="O723">
        <f>_xlfn.XLOOKUP(Data[[#This Row],[Status]],Compliance_Status[Status from OPMS],Compliance_Status[Has Course booking],"")</f>
        <v>0</v>
      </c>
      <c r="P723" t="str">
        <f>_xlfn.XLOOKUP(Data[[#This Row],[StatusKey]],Status_Key[Status_Key],Status_Key[Name],"")</f>
        <v>In Date</v>
      </c>
    </row>
    <row r="724" spans="1:16" x14ac:dyDescent="0.25">
      <c r="A724" s="1">
        <v>161</v>
      </c>
      <c r="B724" s="1" t="s">
        <v>204</v>
      </c>
      <c r="C724" s="1" t="s">
        <v>205</v>
      </c>
      <c r="D724" s="1" t="s">
        <v>206</v>
      </c>
      <c r="E724" s="1" t="s">
        <v>103</v>
      </c>
      <c r="F724" s="1" t="s">
        <v>65</v>
      </c>
      <c r="G724" s="1" t="s">
        <v>16</v>
      </c>
      <c r="H724" s="1" t="s">
        <v>145</v>
      </c>
      <c r="I724" s="1" t="s">
        <v>60</v>
      </c>
      <c r="J724" s="1" t="s">
        <v>67</v>
      </c>
      <c r="K724" s="1" t="s">
        <v>102</v>
      </c>
      <c r="L724" s="3">
        <v>46722</v>
      </c>
      <c r="M724" s="3">
        <v>45992</v>
      </c>
      <c r="N724">
        <f>_xlfn.XLOOKUP(Data[[#This Row],[Status]],Compliance_Status[Status from OPMS],Compliance_Status[Status_Key],"")</f>
        <v>4</v>
      </c>
      <c r="O724">
        <f>_xlfn.XLOOKUP(Data[[#This Row],[Status]],Compliance_Status[Status from OPMS],Compliance_Status[Has Course booking],"")</f>
        <v>0</v>
      </c>
      <c r="P724" t="str">
        <f>_xlfn.XLOOKUP(Data[[#This Row],[StatusKey]],Status_Key[Status_Key],Status_Key[Name],"")</f>
        <v>In Date</v>
      </c>
    </row>
    <row r="725" spans="1:16" x14ac:dyDescent="0.25">
      <c r="A725" s="1">
        <v>161</v>
      </c>
      <c r="B725" s="1" t="s">
        <v>204</v>
      </c>
      <c r="C725" s="1" t="s">
        <v>205</v>
      </c>
      <c r="D725" s="1" t="s">
        <v>206</v>
      </c>
      <c r="E725" s="1" t="s">
        <v>104</v>
      </c>
      <c r="F725" s="1" t="s">
        <v>65</v>
      </c>
      <c r="G725" s="1" t="s">
        <v>16</v>
      </c>
      <c r="H725" s="1" t="s">
        <v>145</v>
      </c>
      <c r="I725" s="1" t="s">
        <v>60</v>
      </c>
      <c r="J725" s="1" t="s">
        <v>67</v>
      </c>
      <c r="K725" s="1" t="s">
        <v>105</v>
      </c>
      <c r="L725" s="3">
        <v>46769</v>
      </c>
      <c r="M725" s="3">
        <v>46039</v>
      </c>
      <c r="N725">
        <f>_xlfn.XLOOKUP(Data[[#This Row],[Status]],Compliance_Status[Status from OPMS],Compliance_Status[Status_Key],"")</f>
        <v>4</v>
      </c>
      <c r="O725">
        <f>_xlfn.XLOOKUP(Data[[#This Row],[Status]],Compliance_Status[Status from OPMS],Compliance_Status[Has Course booking],"")</f>
        <v>0</v>
      </c>
      <c r="P725" t="str">
        <f>_xlfn.XLOOKUP(Data[[#This Row],[StatusKey]],Status_Key[Status_Key],Status_Key[Name],"")</f>
        <v>In Date</v>
      </c>
    </row>
    <row r="726" spans="1:16" x14ac:dyDescent="0.25">
      <c r="A726" s="1">
        <v>161</v>
      </c>
      <c r="B726" s="1" t="s">
        <v>204</v>
      </c>
      <c r="C726" s="1" t="s">
        <v>205</v>
      </c>
      <c r="D726" s="1" t="s">
        <v>206</v>
      </c>
      <c r="E726" s="1" t="s">
        <v>106</v>
      </c>
      <c r="F726" s="1" t="s">
        <v>65</v>
      </c>
      <c r="G726" s="1" t="s">
        <v>16</v>
      </c>
      <c r="H726" s="1" t="s">
        <v>145</v>
      </c>
      <c r="I726" s="1" t="s">
        <v>60</v>
      </c>
      <c r="J726" s="1" t="s">
        <v>67</v>
      </c>
      <c r="K726" s="1" t="s">
        <v>105</v>
      </c>
      <c r="L726" s="3">
        <v>47246</v>
      </c>
      <c r="M726" s="3">
        <v>45420</v>
      </c>
      <c r="N726">
        <f>_xlfn.XLOOKUP(Data[[#This Row],[Status]],Compliance_Status[Status from OPMS],Compliance_Status[Status_Key],"")</f>
        <v>4</v>
      </c>
      <c r="O726">
        <f>_xlfn.XLOOKUP(Data[[#This Row],[Status]],Compliance_Status[Status from OPMS],Compliance_Status[Has Course booking],"")</f>
        <v>0</v>
      </c>
      <c r="P726" t="str">
        <f>_xlfn.XLOOKUP(Data[[#This Row],[StatusKey]],Status_Key[Status_Key],Status_Key[Name],"")</f>
        <v>In Date</v>
      </c>
    </row>
    <row r="727" spans="1:16" x14ac:dyDescent="0.25">
      <c r="A727" s="1">
        <v>161</v>
      </c>
      <c r="B727" s="1" t="s">
        <v>204</v>
      </c>
      <c r="C727" s="1" t="s">
        <v>205</v>
      </c>
      <c r="D727" s="1" t="s">
        <v>206</v>
      </c>
      <c r="E727" s="1" t="s">
        <v>107</v>
      </c>
      <c r="F727" s="1" t="s">
        <v>65</v>
      </c>
      <c r="G727" s="1" t="s">
        <v>16</v>
      </c>
      <c r="H727" s="1" t="s">
        <v>145</v>
      </c>
      <c r="I727" s="1" t="s">
        <v>60</v>
      </c>
      <c r="J727" s="1" t="s">
        <v>67</v>
      </c>
      <c r="K727" s="1" t="s">
        <v>105</v>
      </c>
      <c r="L727" s="3">
        <v>46515</v>
      </c>
      <c r="M727" s="3">
        <v>45420</v>
      </c>
      <c r="N727">
        <f>_xlfn.XLOOKUP(Data[[#This Row],[Status]],Compliance_Status[Status from OPMS],Compliance_Status[Status_Key],"")</f>
        <v>4</v>
      </c>
      <c r="O727">
        <f>_xlfn.XLOOKUP(Data[[#This Row],[Status]],Compliance_Status[Status from OPMS],Compliance_Status[Has Course booking],"")</f>
        <v>0</v>
      </c>
      <c r="P727" t="str">
        <f>_xlfn.XLOOKUP(Data[[#This Row],[StatusKey]],Status_Key[Status_Key],Status_Key[Name],"")</f>
        <v>In Date</v>
      </c>
    </row>
    <row r="728" spans="1:16" x14ac:dyDescent="0.25">
      <c r="A728" s="1">
        <v>161</v>
      </c>
      <c r="B728" s="1" t="s">
        <v>204</v>
      </c>
      <c r="C728" s="1" t="s">
        <v>205</v>
      </c>
      <c r="D728" s="1" t="s">
        <v>206</v>
      </c>
      <c r="E728" s="1" t="s">
        <v>108</v>
      </c>
      <c r="F728" s="1" t="s">
        <v>65</v>
      </c>
      <c r="G728" s="1" t="s">
        <v>16</v>
      </c>
      <c r="H728" s="1" t="s">
        <v>145</v>
      </c>
      <c r="I728" s="1" t="s">
        <v>60</v>
      </c>
      <c r="J728" s="1" t="s">
        <v>67</v>
      </c>
      <c r="K728" s="1" t="s">
        <v>105</v>
      </c>
      <c r="L728" s="3">
        <v>47313</v>
      </c>
      <c r="M728" s="3">
        <v>46217</v>
      </c>
      <c r="N728">
        <f>_xlfn.XLOOKUP(Data[[#This Row],[Status]],Compliance_Status[Status from OPMS],Compliance_Status[Status_Key],"")</f>
        <v>4</v>
      </c>
      <c r="O728">
        <f>_xlfn.XLOOKUP(Data[[#This Row],[Status]],Compliance_Status[Status from OPMS],Compliance_Status[Has Course booking],"")</f>
        <v>0</v>
      </c>
      <c r="P728" t="str">
        <f>_xlfn.XLOOKUP(Data[[#This Row],[StatusKey]],Status_Key[Status_Key],Status_Key[Name],"")</f>
        <v>In Date</v>
      </c>
    </row>
    <row r="729" spans="1:16" x14ac:dyDescent="0.25">
      <c r="A729" s="1">
        <v>161</v>
      </c>
      <c r="B729" s="1" t="s">
        <v>204</v>
      </c>
      <c r="C729" s="1" t="s">
        <v>205</v>
      </c>
      <c r="D729" s="1" t="s">
        <v>206</v>
      </c>
      <c r="E729" s="1" t="s">
        <v>109</v>
      </c>
      <c r="F729" s="1" t="s">
        <v>65</v>
      </c>
      <c r="G729" s="1" t="s">
        <v>16</v>
      </c>
      <c r="H729" s="1" t="s">
        <v>145</v>
      </c>
      <c r="I729" s="1" t="s">
        <v>60</v>
      </c>
      <c r="J729" s="1" t="s">
        <v>67</v>
      </c>
      <c r="K729" s="1" t="s">
        <v>105</v>
      </c>
      <c r="L729" s="3">
        <v>46769</v>
      </c>
      <c r="M729" s="3">
        <v>46039</v>
      </c>
      <c r="N729">
        <f>_xlfn.XLOOKUP(Data[[#This Row],[Status]],Compliance_Status[Status from OPMS],Compliance_Status[Status_Key],"")</f>
        <v>4</v>
      </c>
      <c r="O729">
        <f>_xlfn.XLOOKUP(Data[[#This Row],[Status]],Compliance_Status[Status from OPMS],Compliance_Status[Has Course booking],"")</f>
        <v>0</v>
      </c>
      <c r="P729" t="str">
        <f>_xlfn.XLOOKUP(Data[[#This Row],[StatusKey]],Status_Key[Status_Key],Status_Key[Name],"")</f>
        <v>In Date</v>
      </c>
    </row>
    <row r="730" spans="1:16" x14ac:dyDescent="0.25">
      <c r="A730" s="1">
        <v>161</v>
      </c>
      <c r="B730" s="1" t="s">
        <v>204</v>
      </c>
      <c r="C730" s="1" t="s">
        <v>205</v>
      </c>
      <c r="D730" s="1" t="s">
        <v>206</v>
      </c>
      <c r="E730" s="1" t="s">
        <v>110</v>
      </c>
      <c r="F730" s="1" t="s">
        <v>65</v>
      </c>
      <c r="G730" s="1" t="s">
        <v>16</v>
      </c>
      <c r="H730" s="1" t="s">
        <v>145</v>
      </c>
      <c r="I730" s="1" t="s">
        <v>60</v>
      </c>
      <c r="J730" s="1" t="s">
        <v>67</v>
      </c>
      <c r="K730" s="1" t="s">
        <v>105</v>
      </c>
      <c r="L730" s="3" t="s">
        <v>79</v>
      </c>
      <c r="M730" s="3">
        <v>45420</v>
      </c>
      <c r="N730">
        <f>_xlfn.XLOOKUP(Data[[#This Row],[Status]],Compliance_Status[Status from OPMS],Compliance_Status[Status_Key],"")</f>
        <v>4</v>
      </c>
      <c r="O730">
        <f>_xlfn.XLOOKUP(Data[[#This Row],[Status]],Compliance_Status[Status from OPMS],Compliance_Status[Has Course booking],"")</f>
        <v>0</v>
      </c>
      <c r="P730" t="str">
        <f>_xlfn.XLOOKUP(Data[[#This Row],[StatusKey]],Status_Key[Status_Key],Status_Key[Name],"")</f>
        <v>In Date</v>
      </c>
    </row>
    <row r="731" spans="1:16" x14ac:dyDescent="0.25">
      <c r="A731" s="1">
        <v>161</v>
      </c>
      <c r="B731" s="1" t="s">
        <v>204</v>
      </c>
      <c r="C731" s="1" t="s">
        <v>205</v>
      </c>
      <c r="D731" s="1" t="s">
        <v>206</v>
      </c>
      <c r="E731" s="1" t="s">
        <v>111</v>
      </c>
      <c r="F731" s="1" t="s">
        <v>65</v>
      </c>
      <c r="G731" s="1" t="s">
        <v>16</v>
      </c>
      <c r="H731" s="1" t="s">
        <v>145</v>
      </c>
      <c r="I731" s="1" t="s">
        <v>60</v>
      </c>
      <c r="J731" s="1" t="s">
        <v>67</v>
      </c>
      <c r="K731" s="1" t="s">
        <v>105</v>
      </c>
      <c r="L731" s="3">
        <v>46717</v>
      </c>
      <c r="M731" s="3">
        <v>45987</v>
      </c>
      <c r="N731">
        <f>_xlfn.XLOOKUP(Data[[#This Row],[Status]],Compliance_Status[Status from OPMS],Compliance_Status[Status_Key],"")</f>
        <v>4</v>
      </c>
      <c r="O731">
        <f>_xlfn.XLOOKUP(Data[[#This Row],[Status]],Compliance_Status[Status from OPMS],Compliance_Status[Has Course booking],"")</f>
        <v>0</v>
      </c>
      <c r="P731" t="str">
        <f>_xlfn.XLOOKUP(Data[[#This Row],[StatusKey]],Status_Key[Status_Key],Status_Key[Name],"")</f>
        <v>In Date</v>
      </c>
    </row>
    <row r="732" spans="1:16" x14ac:dyDescent="0.25">
      <c r="A732" s="1">
        <v>161</v>
      </c>
      <c r="B732" s="1" t="s">
        <v>204</v>
      </c>
      <c r="C732" s="1" t="s">
        <v>205</v>
      </c>
      <c r="D732" s="1" t="s">
        <v>206</v>
      </c>
      <c r="E732" s="1" t="s">
        <v>112</v>
      </c>
      <c r="F732" s="1" t="s">
        <v>65</v>
      </c>
      <c r="G732" s="1" t="s">
        <v>16</v>
      </c>
      <c r="H732" s="1" t="s">
        <v>145</v>
      </c>
      <c r="I732" s="1" t="s">
        <v>60</v>
      </c>
      <c r="J732" s="1" t="s">
        <v>67</v>
      </c>
      <c r="K732" s="1" t="s">
        <v>105</v>
      </c>
      <c r="L732" s="3">
        <v>46643</v>
      </c>
      <c r="M732" s="3">
        <v>45913</v>
      </c>
      <c r="N732">
        <f>_xlfn.XLOOKUP(Data[[#This Row],[Status]],Compliance_Status[Status from OPMS],Compliance_Status[Status_Key],"")</f>
        <v>4</v>
      </c>
      <c r="O732">
        <f>_xlfn.XLOOKUP(Data[[#This Row],[Status]],Compliance_Status[Status from OPMS],Compliance_Status[Has Course booking],"")</f>
        <v>0</v>
      </c>
      <c r="P732" t="str">
        <f>_xlfn.XLOOKUP(Data[[#This Row],[StatusKey]],Status_Key[Status_Key],Status_Key[Name],"")</f>
        <v>In Date</v>
      </c>
    </row>
    <row r="733" spans="1:16" x14ac:dyDescent="0.25">
      <c r="A733" s="1">
        <v>161</v>
      </c>
      <c r="B733" s="1" t="s">
        <v>204</v>
      </c>
      <c r="C733" s="1" t="s">
        <v>205</v>
      </c>
      <c r="D733" s="1" t="s">
        <v>206</v>
      </c>
      <c r="E733" s="1" t="s">
        <v>113</v>
      </c>
      <c r="F733" s="1" t="s">
        <v>65</v>
      </c>
      <c r="G733" s="1" t="s">
        <v>16</v>
      </c>
      <c r="H733" s="1" t="s">
        <v>145</v>
      </c>
      <c r="I733" s="1" t="s">
        <v>60</v>
      </c>
      <c r="J733" s="1" t="s">
        <v>67</v>
      </c>
      <c r="K733" s="1" t="s">
        <v>105</v>
      </c>
      <c r="L733" s="3">
        <v>46756</v>
      </c>
      <c r="M733" s="3">
        <v>46026</v>
      </c>
      <c r="N733">
        <f>_xlfn.XLOOKUP(Data[[#This Row],[Status]],Compliance_Status[Status from OPMS],Compliance_Status[Status_Key],"")</f>
        <v>4</v>
      </c>
      <c r="O733">
        <f>_xlfn.XLOOKUP(Data[[#This Row],[Status]],Compliance_Status[Status from OPMS],Compliance_Status[Has Course booking],"")</f>
        <v>0</v>
      </c>
      <c r="P733" t="str">
        <f>_xlfn.XLOOKUP(Data[[#This Row],[StatusKey]],Status_Key[Status_Key],Status_Key[Name],"")</f>
        <v>In Date</v>
      </c>
    </row>
    <row r="734" spans="1:16" x14ac:dyDescent="0.25">
      <c r="A734" s="1">
        <v>163</v>
      </c>
      <c r="B734" s="1" t="s">
        <v>207</v>
      </c>
      <c r="C734" s="1" t="s">
        <v>208</v>
      </c>
      <c r="D734" s="1" t="s">
        <v>209</v>
      </c>
      <c r="E734" s="1" t="s">
        <v>149</v>
      </c>
      <c r="F734" s="1" t="s">
        <v>65</v>
      </c>
      <c r="G734" s="1" t="s">
        <v>16</v>
      </c>
      <c r="H734" s="1" t="s">
        <v>150</v>
      </c>
      <c r="I734" s="1" t="s">
        <v>60</v>
      </c>
      <c r="J734" s="1" t="s">
        <v>67</v>
      </c>
      <c r="K734" s="1" t="s">
        <v>68</v>
      </c>
      <c r="L734" s="3">
        <v>46855</v>
      </c>
      <c r="M734" s="3">
        <v>45111</v>
      </c>
      <c r="N734">
        <f>_xlfn.XLOOKUP(Data[[#This Row],[Status]],Compliance_Status[Status from OPMS],Compliance_Status[Status_Key],"")</f>
        <v>4</v>
      </c>
      <c r="O734">
        <f>_xlfn.XLOOKUP(Data[[#This Row],[Status]],Compliance_Status[Status from OPMS],Compliance_Status[Has Course booking],"")</f>
        <v>0</v>
      </c>
      <c r="P734" t="str">
        <f>_xlfn.XLOOKUP(Data[[#This Row],[StatusKey]],Status_Key[Status_Key],Status_Key[Name],"")</f>
        <v>In Date</v>
      </c>
    </row>
    <row r="735" spans="1:16" x14ac:dyDescent="0.25">
      <c r="A735" s="1">
        <v>163</v>
      </c>
      <c r="B735" s="1" t="s">
        <v>207</v>
      </c>
      <c r="C735" s="1" t="s">
        <v>208</v>
      </c>
      <c r="D735" s="1" t="s">
        <v>209</v>
      </c>
      <c r="E735" s="1" t="s">
        <v>71</v>
      </c>
      <c r="F735" s="1" t="s">
        <v>72</v>
      </c>
      <c r="G735" s="1" t="s">
        <v>18</v>
      </c>
      <c r="H735" s="1" t="s">
        <v>150</v>
      </c>
      <c r="I735" s="1" t="s">
        <v>60</v>
      </c>
      <c r="J735" s="1"/>
      <c r="K735" s="1" t="s">
        <v>68</v>
      </c>
      <c r="L735" s="3"/>
      <c r="M735" s="3"/>
      <c r="N735">
        <f>_xlfn.XLOOKUP(Data[[#This Row],[Status]],Compliance_Status[Status from OPMS],Compliance_Status[Status_Key],"")</f>
        <v>2</v>
      </c>
      <c r="O735">
        <f>_xlfn.XLOOKUP(Data[[#This Row],[Status]],Compliance_Status[Status from OPMS],Compliance_Status[Has Course booking],"")</f>
        <v>0</v>
      </c>
      <c r="P735" t="str">
        <f>_xlfn.XLOOKUP(Data[[#This Row],[StatusKey]],Status_Key[Status_Key],Status_Key[Name],"")</f>
        <v>Outstanding</v>
      </c>
    </row>
    <row r="736" spans="1:16" x14ac:dyDescent="0.25">
      <c r="A736" s="1">
        <v>163</v>
      </c>
      <c r="B736" s="1" t="s">
        <v>207</v>
      </c>
      <c r="C736" s="1" t="s">
        <v>208</v>
      </c>
      <c r="D736" s="1" t="s">
        <v>209</v>
      </c>
      <c r="E736" s="1" t="s">
        <v>73</v>
      </c>
      <c r="F736" s="1" t="s">
        <v>65</v>
      </c>
      <c r="G736" s="1" t="s">
        <v>16</v>
      </c>
      <c r="H736" s="1" t="s">
        <v>150</v>
      </c>
      <c r="I736" s="1" t="s">
        <v>60</v>
      </c>
      <c r="J736" s="1" t="s">
        <v>67</v>
      </c>
      <c r="K736" s="1" t="s">
        <v>68</v>
      </c>
      <c r="L736" s="3">
        <v>46955</v>
      </c>
      <c r="M736" s="3">
        <v>46224</v>
      </c>
      <c r="N736">
        <f>_xlfn.XLOOKUP(Data[[#This Row],[Status]],Compliance_Status[Status from OPMS],Compliance_Status[Status_Key],"")</f>
        <v>4</v>
      </c>
      <c r="O736">
        <f>_xlfn.XLOOKUP(Data[[#This Row],[Status]],Compliance_Status[Status from OPMS],Compliance_Status[Has Course booking],"")</f>
        <v>0</v>
      </c>
      <c r="P736" t="str">
        <f>_xlfn.XLOOKUP(Data[[#This Row],[StatusKey]],Status_Key[Status_Key],Status_Key[Name],"")</f>
        <v>In Date</v>
      </c>
    </row>
    <row r="737" spans="1:16" x14ac:dyDescent="0.25">
      <c r="A737" s="1">
        <v>163</v>
      </c>
      <c r="B737" s="1" t="s">
        <v>207</v>
      </c>
      <c r="C737" s="1" t="s">
        <v>208</v>
      </c>
      <c r="D737" s="1" t="s">
        <v>209</v>
      </c>
      <c r="E737" s="1" t="s">
        <v>74</v>
      </c>
      <c r="F737" s="1" t="s">
        <v>65</v>
      </c>
      <c r="G737" s="1" t="s">
        <v>16</v>
      </c>
      <c r="H737" s="1" t="s">
        <v>150</v>
      </c>
      <c r="I737" s="1" t="s">
        <v>60</v>
      </c>
      <c r="J737" s="1" t="s">
        <v>67</v>
      </c>
      <c r="K737" s="1" t="s">
        <v>68</v>
      </c>
      <c r="L737" s="3">
        <v>46471</v>
      </c>
      <c r="M737" s="3">
        <v>45376</v>
      </c>
      <c r="N737">
        <f>_xlfn.XLOOKUP(Data[[#This Row],[Status]],Compliance_Status[Status from OPMS],Compliance_Status[Status_Key],"")</f>
        <v>4</v>
      </c>
      <c r="O737">
        <f>_xlfn.XLOOKUP(Data[[#This Row],[Status]],Compliance_Status[Status from OPMS],Compliance_Status[Has Course booking],"")</f>
        <v>0</v>
      </c>
      <c r="P737" t="str">
        <f>_xlfn.XLOOKUP(Data[[#This Row],[StatusKey]],Status_Key[Status_Key],Status_Key[Name],"")</f>
        <v>In Date</v>
      </c>
    </row>
    <row r="738" spans="1:16" x14ac:dyDescent="0.25">
      <c r="A738" s="1">
        <v>163</v>
      </c>
      <c r="B738" s="1" t="s">
        <v>207</v>
      </c>
      <c r="C738" s="1" t="s">
        <v>208</v>
      </c>
      <c r="D738" s="1" t="s">
        <v>209</v>
      </c>
      <c r="E738" s="1" t="s">
        <v>75</v>
      </c>
      <c r="F738" s="1" t="s">
        <v>72</v>
      </c>
      <c r="G738" s="1" t="s">
        <v>18</v>
      </c>
      <c r="H738" s="1" t="s">
        <v>150</v>
      </c>
      <c r="I738" s="1" t="s">
        <v>60</v>
      </c>
      <c r="J738" s="1"/>
      <c r="K738" s="1" t="s">
        <v>68</v>
      </c>
      <c r="L738" s="3"/>
      <c r="M738" s="3"/>
      <c r="N738">
        <f>_xlfn.XLOOKUP(Data[[#This Row],[Status]],Compliance_Status[Status from OPMS],Compliance_Status[Status_Key],"")</f>
        <v>2</v>
      </c>
      <c r="O738">
        <f>_xlfn.XLOOKUP(Data[[#This Row],[Status]],Compliance_Status[Status from OPMS],Compliance_Status[Has Course booking],"")</f>
        <v>0</v>
      </c>
      <c r="P738" t="str">
        <f>_xlfn.XLOOKUP(Data[[#This Row],[StatusKey]],Status_Key[Status_Key],Status_Key[Name],"")</f>
        <v>Outstanding</v>
      </c>
    </row>
    <row r="739" spans="1:16" x14ac:dyDescent="0.25">
      <c r="A739" s="1">
        <v>163</v>
      </c>
      <c r="B739" s="1" t="s">
        <v>207</v>
      </c>
      <c r="C739" s="1" t="s">
        <v>208</v>
      </c>
      <c r="D739" s="1" t="s">
        <v>209</v>
      </c>
      <c r="E739" s="1" t="s">
        <v>76</v>
      </c>
      <c r="F739" s="1" t="s">
        <v>65</v>
      </c>
      <c r="G739" s="1" t="s">
        <v>16</v>
      </c>
      <c r="H739" s="1" t="s">
        <v>150</v>
      </c>
      <c r="I739" s="1" t="s">
        <v>60</v>
      </c>
      <c r="J739" s="1" t="s">
        <v>67</v>
      </c>
      <c r="K739" s="1" t="s">
        <v>77</v>
      </c>
      <c r="L739" s="3">
        <v>47603</v>
      </c>
      <c r="M739" s="3">
        <v>46113</v>
      </c>
      <c r="N739">
        <f>_xlfn.XLOOKUP(Data[[#This Row],[Status]],Compliance_Status[Status from OPMS],Compliance_Status[Status_Key],"")</f>
        <v>4</v>
      </c>
      <c r="O739">
        <f>_xlfn.XLOOKUP(Data[[#This Row],[Status]],Compliance_Status[Status from OPMS],Compliance_Status[Has Course booking],"")</f>
        <v>0</v>
      </c>
      <c r="P739" t="str">
        <f>_xlfn.XLOOKUP(Data[[#This Row],[StatusKey]],Status_Key[Status_Key],Status_Key[Name],"")</f>
        <v>In Date</v>
      </c>
    </row>
    <row r="740" spans="1:16" x14ac:dyDescent="0.25">
      <c r="A740" s="1">
        <v>163</v>
      </c>
      <c r="B740" s="1" t="s">
        <v>207</v>
      </c>
      <c r="C740" s="1" t="s">
        <v>208</v>
      </c>
      <c r="D740" s="1" t="s">
        <v>209</v>
      </c>
      <c r="E740" s="1" t="s">
        <v>80</v>
      </c>
      <c r="F740" s="1" t="s">
        <v>65</v>
      </c>
      <c r="G740" s="1" t="s">
        <v>16</v>
      </c>
      <c r="H740" s="1" t="s">
        <v>150</v>
      </c>
      <c r="I740" s="1" t="s">
        <v>60</v>
      </c>
      <c r="J740" s="1" t="s">
        <v>67</v>
      </c>
      <c r="K740" s="1" t="s">
        <v>77</v>
      </c>
      <c r="L740" s="3" t="s">
        <v>79</v>
      </c>
      <c r="M740" s="3">
        <v>45399</v>
      </c>
      <c r="N740">
        <f>_xlfn.XLOOKUP(Data[[#This Row],[Status]],Compliance_Status[Status from OPMS],Compliance_Status[Status_Key],"")</f>
        <v>4</v>
      </c>
      <c r="O740">
        <f>_xlfn.XLOOKUP(Data[[#This Row],[Status]],Compliance_Status[Status from OPMS],Compliance_Status[Has Course booking],"")</f>
        <v>0</v>
      </c>
      <c r="P740" t="str">
        <f>_xlfn.XLOOKUP(Data[[#This Row],[StatusKey]],Status_Key[Status_Key],Status_Key[Name],"")</f>
        <v>In Date</v>
      </c>
    </row>
    <row r="741" spans="1:16" x14ac:dyDescent="0.25">
      <c r="A741" s="1">
        <v>163</v>
      </c>
      <c r="B741" s="1" t="s">
        <v>207</v>
      </c>
      <c r="C741" s="1" t="s">
        <v>208</v>
      </c>
      <c r="D741" s="1" t="s">
        <v>209</v>
      </c>
      <c r="E741" s="1" t="s">
        <v>81</v>
      </c>
      <c r="F741" s="1"/>
      <c r="G741" s="1" t="s">
        <v>16</v>
      </c>
      <c r="H741" s="1" t="s">
        <v>150</v>
      </c>
      <c r="I741" s="1" t="s">
        <v>60</v>
      </c>
      <c r="J741" s="1" t="s">
        <v>67</v>
      </c>
      <c r="K741" s="1" t="s">
        <v>77</v>
      </c>
      <c r="L741" s="3">
        <v>46769</v>
      </c>
      <c r="M741" s="3">
        <v>46039</v>
      </c>
      <c r="N741">
        <f>_xlfn.XLOOKUP(Data[[#This Row],[Status]],Compliance_Status[Status from OPMS],Compliance_Status[Status_Key],"")</f>
        <v>4</v>
      </c>
      <c r="O741">
        <f>_xlfn.XLOOKUP(Data[[#This Row],[Status]],Compliance_Status[Status from OPMS],Compliance_Status[Has Course booking],"")</f>
        <v>0</v>
      </c>
      <c r="P741" t="str">
        <f>_xlfn.XLOOKUP(Data[[#This Row],[StatusKey]],Status_Key[Status_Key],Status_Key[Name],"")</f>
        <v>In Date</v>
      </c>
    </row>
    <row r="742" spans="1:16" x14ac:dyDescent="0.25">
      <c r="A742" s="1">
        <v>163</v>
      </c>
      <c r="B742" s="1" t="s">
        <v>207</v>
      </c>
      <c r="C742" s="1" t="s">
        <v>208</v>
      </c>
      <c r="D742" s="1" t="s">
        <v>209</v>
      </c>
      <c r="E742" s="1" t="s">
        <v>84</v>
      </c>
      <c r="F742" s="1" t="s">
        <v>65</v>
      </c>
      <c r="G742" s="1" t="s">
        <v>16</v>
      </c>
      <c r="H742" s="1" t="s">
        <v>150</v>
      </c>
      <c r="I742" s="1" t="s">
        <v>60</v>
      </c>
      <c r="J742" s="1" t="s">
        <v>67</v>
      </c>
      <c r="K742" s="1" t="s">
        <v>83</v>
      </c>
      <c r="L742" s="3">
        <v>46721</v>
      </c>
      <c r="M742" s="3">
        <v>45991</v>
      </c>
      <c r="N742">
        <f>_xlfn.XLOOKUP(Data[[#This Row],[Status]],Compliance_Status[Status from OPMS],Compliance_Status[Status_Key],"")</f>
        <v>4</v>
      </c>
      <c r="O742">
        <f>_xlfn.XLOOKUP(Data[[#This Row],[Status]],Compliance_Status[Status from OPMS],Compliance_Status[Has Course booking],"")</f>
        <v>0</v>
      </c>
      <c r="P742" t="str">
        <f>_xlfn.XLOOKUP(Data[[#This Row],[StatusKey]],Status_Key[Status_Key],Status_Key[Name],"")</f>
        <v>In Date</v>
      </c>
    </row>
    <row r="743" spans="1:16" x14ac:dyDescent="0.25">
      <c r="A743" s="1">
        <v>163</v>
      </c>
      <c r="B743" s="1" t="s">
        <v>207</v>
      </c>
      <c r="C743" s="1" t="s">
        <v>208</v>
      </c>
      <c r="D743" s="1" t="s">
        <v>209</v>
      </c>
      <c r="E743" s="1" t="s">
        <v>93</v>
      </c>
      <c r="F743" s="1" t="s">
        <v>65</v>
      </c>
      <c r="G743" s="1" t="s">
        <v>16</v>
      </c>
      <c r="H743" s="1" t="s">
        <v>150</v>
      </c>
      <c r="I743" s="1" t="s">
        <v>60</v>
      </c>
      <c r="J743" s="1" t="s">
        <v>67</v>
      </c>
      <c r="K743" s="1" t="s">
        <v>94</v>
      </c>
      <c r="L743" s="3">
        <v>46658</v>
      </c>
      <c r="M743" s="3">
        <v>45928</v>
      </c>
      <c r="N743">
        <f>_xlfn.XLOOKUP(Data[[#This Row],[Status]],Compliance_Status[Status from OPMS],Compliance_Status[Status_Key],"")</f>
        <v>4</v>
      </c>
      <c r="O743">
        <f>_xlfn.XLOOKUP(Data[[#This Row],[Status]],Compliance_Status[Status from OPMS],Compliance_Status[Has Course booking],"")</f>
        <v>0</v>
      </c>
      <c r="P743" t="str">
        <f>_xlfn.XLOOKUP(Data[[#This Row],[StatusKey]],Status_Key[Status_Key],Status_Key[Name],"")</f>
        <v>In Date</v>
      </c>
    </row>
    <row r="744" spans="1:16" x14ac:dyDescent="0.25">
      <c r="A744" s="1">
        <v>163</v>
      </c>
      <c r="B744" s="1" t="s">
        <v>207</v>
      </c>
      <c r="C744" s="1" t="s">
        <v>208</v>
      </c>
      <c r="D744" s="1" t="s">
        <v>209</v>
      </c>
      <c r="E744" s="1" t="s">
        <v>95</v>
      </c>
      <c r="F744" s="1" t="s">
        <v>65</v>
      </c>
      <c r="G744" s="1" t="s">
        <v>16</v>
      </c>
      <c r="H744" s="1" t="s">
        <v>150</v>
      </c>
      <c r="I744" s="1" t="s">
        <v>60</v>
      </c>
      <c r="J744" s="1" t="s">
        <v>67</v>
      </c>
      <c r="K744" s="1" t="s">
        <v>94</v>
      </c>
      <c r="L744" s="3">
        <v>46658</v>
      </c>
      <c r="M744" s="3">
        <v>45928</v>
      </c>
      <c r="N744">
        <f>_xlfn.XLOOKUP(Data[[#This Row],[Status]],Compliance_Status[Status from OPMS],Compliance_Status[Status_Key],"")</f>
        <v>4</v>
      </c>
      <c r="O744">
        <f>_xlfn.XLOOKUP(Data[[#This Row],[Status]],Compliance_Status[Status from OPMS],Compliance_Status[Has Course booking],"")</f>
        <v>0</v>
      </c>
      <c r="P744" t="str">
        <f>_xlfn.XLOOKUP(Data[[#This Row],[StatusKey]],Status_Key[Status_Key],Status_Key[Name],"")</f>
        <v>In Date</v>
      </c>
    </row>
    <row r="745" spans="1:16" x14ac:dyDescent="0.25">
      <c r="A745" s="1">
        <v>163</v>
      </c>
      <c r="B745" s="1" t="s">
        <v>207</v>
      </c>
      <c r="C745" s="1" t="s">
        <v>208</v>
      </c>
      <c r="D745" s="1" t="s">
        <v>209</v>
      </c>
      <c r="E745" s="1" t="s">
        <v>97</v>
      </c>
      <c r="F745" s="1" t="s">
        <v>65</v>
      </c>
      <c r="G745" s="1" t="s">
        <v>16</v>
      </c>
      <c r="H745" s="1" t="s">
        <v>150</v>
      </c>
      <c r="I745" s="1" t="s">
        <v>60</v>
      </c>
      <c r="J745" s="1" t="s">
        <v>67</v>
      </c>
      <c r="K745" s="1" t="s">
        <v>98</v>
      </c>
      <c r="L745" s="3">
        <v>47248</v>
      </c>
      <c r="M745" s="3">
        <v>45422</v>
      </c>
      <c r="N745">
        <f>_xlfn.XLOOKUP(Data[[#This Row],[Status]],Compliance_Status[Status from OPMS],Compliance_Status[Status_Key],"")</f>
        <v>4</v>
      </c>
      <c r="O745">
        <f>_xlfn.XLOOKUP(Data[[#This Row],[Status]],Compliance_Status[Status from OPMS],Compliance_Status[Has Course booking],"")</f>
        <v>0</v>
      </c>
      <c r="P745" t="str">
        <f>_xlfn.XLOOKUP(Data[[#This Row],[StatusKey]],Status_Key[Status_Key],Status_Key[Name],"")</f>
        <v>In Date</v>
      </c>
    </row>
    <row r="746" spans="1:16" x14ac:dyDescent="0.25">
      <c r="A746" s="1">
        <v>163</v>
      </c>
      <c r="B746" s="1" t="s">
        <v>207</v>
      </c>
      <c r="C746" s="1" t="s">
        <v>208</v>
      </c>
      <c r="D746" s="1" t="s">
        <v>209</v>
      </c>
      <c r="E746" s="1" t="s">
        <v>99</v>
      </c>
      <c r="F746" s="1" t="s">
        <v>65</v>
      </c>
      <c r="G746" s="1" t="s">
        <v>16</v>
      </c>
      <c r="H746" s="1" t="s">
        <v>150</v>
      </c>
      <c r="I746" s="1" t="s">
        <v>60</v>
      </c>
      <c r="J746" s="1" t="s">
        <v>67</v>
      </c>
      <c r="K746" s="1" t="s">
        <v>98</v>
      </c>
      <c r="L746" s="3">
        <v>46720</v>
      </c>
      <c r="M746" s="3">
        <v>45990</v>
      </c>
      <c r="N746">
        <f>_xlfn.XLOOKUP(Data[[#This Row],[Status]],Compliance_Status[Status from OPMS],Compliance_Status[Status_Key],"")</f>
        <v>4</v>
      </c>
      <c r="O746">
        <f>_xlfn.XLOOKUP(Data[[#This Row],[Status]],Compliance_Status[Status from OPMS],Compliance_Status[Has Course booking],"")</f>
        <v>0</v>
      </c>
      <c r="P746" t="str">
        <f>_xlfn.XLOOKUP(Data[[#This Row],[StatusKey]],Status_Key[Status_Key],Status_Key[Name],"")</f>
        <v>In Date</v>
      </c>
    </row>
    <row r="747" spans="1:16" x14ac:dyDescent="0.25">
      <c r="A747" s="1">
        <v>163</v>
      </c>
      <c r="B747" s="1" t="s">
        <v>207</v>
      </c>
      <c r="C747" s="1" t="s">
        <v>208</v>
      </c>
      <c r="D747" s="1" t="s">
        <v>209</v>
      </c>
      <c r="E747" s="1" t="s">
        <v>100</v>
      </c>
      <c r="F747" s="1" t="s">
        <v>65</v>
      </c>
      <c r="G747" s="1" t="s">
        <v>16</v>
      </c>
      <c r="H747" s="1" t="s">
        <v>150</v>
      </c>
      <c r="I747" s="1" t="s">
        <v>60</v>
      </c>
      <c r="J747" s="1" t="s">
        <v>67</v>
      </c>
      <c r="K747" s="1" t="s">
        <v>98</v>
      </c>
      <c r="L747" s="3">
        <v>46720</v>
      </c>
      <c r="M747" s="3">
        <v>45990</v>
      </c>
      <c r="N747">
        <f>_xlfn.XLOOKUP(Data[[#This Row],[Status]],Compliance_Status[Status from OPMS],Compliance_Status[Status_Key],"")</f>
        <v>4</v>
      </c>
      <c r="O747">
        <f>_xlfn.XLOOKUP(Data[[#This Row],[Status]],Compliance_Status[Status from OPMS],Compliance_Status[Has Course booking],"")</f>
        <v>0</v>
      </c>
      <c r="P747" t="str">
        <f>_xlfn.XLOOKUP(Data[[#This Row],[StatusKey]],Status_Key[Status_Key],Status_Key[Name],"")</f>
        <v>In Date</v>
      </c>
    </row>
    <row r="748" spans="1:16" x14ac:dyDescent="0.25">
      <c r="A748" s="1">
        <v>163</v>
      </c>
      <c r="B748" s="1" t="s">
        <v>207</v>
      </c>
      <c r="C748" s="1" t="s">
        <v>208</v>
      </c>
      <c r="D748" s="1" t="s">
        <v>209</v>
      </c>
      <c r="E748" s="1" t="s">
        <v>101</v>
      </c>
      <c r="F748" s="1" t="s">
        <v>65</v>
      </c>
      <c r="G748" s="1" t="s">
        <v>16</v>
      </c>
      <c r="H748" s="1" t="s">
        <v>150</v>
      </c>
      <c r="I748" s="1" t="s">
        <v>60</v>
      </c>
      <c r="J748" s="1" t="s">
        <v>67</v>
      </c>
      <c r="K748" s="1" t="s">
        <v>102</v>
      </c>
      <c r="L748" s="3" t="s">
        <v>79</v>
      </c>
      <c r="M748" s="3">
        <v>45631</v>
      </c>
      <c r="N748">
        <f>_xlfn.XLOOKUP(Data[[#This Row],[Status]],Compliance_Status[Status from OPMS],Compliance_Status[Status_Key],"")</f>
        <v>4</v>
      </c>
      <c r="O748">
        <f>_xlfn.XLOOKUP(Data[[#This Row],[Status]],Compliance_Status[Status from OPMS],Compliance_Status[Has Course booking],"")</f>
        <v>0</v>
      </c>
      <c r="P748" t="str">
        <f>_xlfn.XLOOKUP(Data[[#This Row],[StatusKey]],Status_Key[Status_Key],Status_Key[Name],"")</f>
        <v>In Date</v>
      </c>
    </row>
    <row r="749" spans="1:16" x14ac:dyDescent="0.25">
      <c r="A749" s="1">
        <v>163</v>
      </c>
      <c r="B749" s="1" t="s">
        <v>207</v>
      </c>
      <c r="C749" s="1" t="s">
        <v>208</v>
      </c>
      <c r="D749" s="1" t="s">
        <v>209</v>
      </c>
      <c r="E749" s="1" t="s">
        <v>103</v>
      </c>
      <c r="F749" s="1" t="s">
        <v>65</v>
      </c>
      <c r="G749" s="1" t="s">
        <v>16</v>
      </c>
      <c r="H749" s="1" t="s">
        <v>150</v>
      </c>
      <c r="I749" s="1" t="s">
        <v>60</v>
      </c>
      <c r="J749" s="1" t="s">
        <v>67</v>
      </c>
      <c r="K749" s="1" t="s">
        <v>102</v>
      </c>
      <c r="L749" s="3">
        <v>46486</v>
      </c>
      <c r="M749" s="3">
        <v>45756</v>
      </c>
      <c r="N749">
        <f>_xlfn.XLOOKUP(Data[[#This Row],[Status]],Compliance_Status[Status from OPMS],Compliance_Status[Status_Key],"")</f>
        <v>4</v>
      </c>
      <c r="O749">
        <f>_xlfn.XLOOKUP(Data[[#This Row],[Status]],Compliance_Status[Status from OPMS],Compliance_Status[Has Course booking],"")</f>
        <v>0</v>
      </c>
      <c r="P749" t="str">
        <f>_xlfn.XLOOKUP(Data[[#This Row],[StatusKey]],Status_Key[Status_Key],Status_Key[Name],"")</f>
        <v>In Date</v>
      </c>
    </row>
    <row r="750" spans="1:16" x14ac:dyDescent="0.25">
      <c r="A750" s="1">
        <v>163</v>
      </c>
      <c r="B750" s="1" t="s">
        <v>207</v>
      </c>
      <c r="C750" s="1" t="s">
        <v>208</v>
      </c>
      <c r="D750" s="1" t="s">
        <v>209</v>
      </c>
      <c r="E750" s="1" t="s">
        <v>104</v>
      </c>
      <c r="F750" s="1" t="s">
        <v>65</v>
      </c>
      <c r="G750" s="1" t="s">
        <v>16</v>
      </c>
      <c r="H750" s="1" t="s">
        <v>150</v>
      </c>
      <c r="I750" s="1" t="s">
        <v>60</v>
      </c>
      <c r="J750" s="1" t="s">
        <v>67</v>
      </c>
      <c r="K750" s="1" t="s">
        <v>105</v>
      </c>
      <c r="L750" s="3">
        <v>46851</v>
      </c>
      <c r="M750" s="3">
        <v>46120</v>
      </c>
      <c r="N750">
        <f>_xlfn.XLOOKUP(Data[[#This Row],[Status]],Compliance_Status[Status from OPMS],Compliance_Status[Status_Key],"")</f>
        <v>4</v>
      </c>
      <c r="O750">
        <f>_xlfn.XLOOKUP(Data[[#This Row],[Status]],Compliance_Status[Status from OPMS],Compliance_Status[Has Course booking],"")</f>
        <v>0</v>
      </c>
      <c r="P750" t="str">
        <f>_xlfn.XLOOKUP(Data[[#This Row],[StatusKey]],Status_Key[Status_Key],Status_Key[Name],"")</f>
        <v>In Date</v>
      </c>
    </row>
    <row r="751" spans="1:16" x14ac:dyDescent="0.25">
      <c r="A751" s="1">
        <v>163</v>
      </c>
      <c r="B751" s="1" t="s">
        <v>207</v>
      </c>
      <c r="C751" s="1" t="s">
        <v>208</v>
      </c>
      <c r="D751" s="1" t="s">
        <v>209</v>
      </c>
      <c r="E751" s="1" t="s">
        <v>106</v>
      </c>
      <c r="F751" s="1" t="s">
        <v>65</v>
      </c>
      <c r="G751" s="1" t="s">
        <v>16</v>
      </c>
      <c r="H751" s="1" t="s">
        <v>150</v>
      </c>
      <c r="I751" s="1" t="s">
        <v>60</v>
      </c>
      <c r="J751" s="1" t="s">
        <v>67</v>
      </c>
      <c r="K751" s="1" t="s">
        <v>105</v>
      </c>
      <c r="L751" s="3">
        <v>47247</v>
      </c>
      <c r="M751" s="3">
        <v>45421</v>
      </c>
      <c r="N751">
        <f>_xlfn.XLOOKUP(Data[[#This Row],[Status]],Compliance_Status[Status from OPMS],Compliance_Status[Status_Key],"")</f>
        <v>4</v>
      </c>
      <c r="O751">
        <f>_xlfn.XLOOKUP(Data[[#This Row],[Status]],Compliance_Status[Status from OPMS],Compliance_Status[Has Course booking],"")</f>
        <v>0</v>
      </c>
      <c r="P751" t="str">
        <f>_xlfn.XLOOKUP(Data[[#This Row],[StatusKey]],Status_Key[Status_Key],Status_Key[Name],"")</f>
        <v>In Date</v>
      </c>
    </row>
    <row r="752" spans="1:16" x14ac:dyDescent="0.25">
      <c r="A752" s="1">
        <v>163</v>
      </c>
      <c r="B752" s="1" t="s">
        <v>207</v>
      </c>
      <c r="C752" s="1" t="s">
        <v>208</v>
      </c>
      <c r="D752" s="1" t="s">
        <v>209</v>
      </c>
      <c r="E752" s="1" t="s">
        <v>107</v>
      </c>
      <c r="F752" s="1" t="s">
        <v>65</v>
      </c>
      <c r="G752" s="1" t="s">
        <v>16</v>
      </c>
      <c r="H752" s="1" t="s">
        <v>150</v>
      </c>
      <c r="I752" s="1" t="s">
        <v>60</v>
      </c>
      <c r="J752" s="1" t="s">
        <v>67</v>
      </c>
      <c r="K752" s="1" t="s">
        <v>105</v>
      </c>
      <c r="L752" s="3">
        <v>46516</v>
      </c>
      <c r="M752" s="3">
        <v>45421</v>
      </c>
      <c r="N752">
        <f>_xlfn.XLOOKUP(Data[[#This Row],[Status]],Compliance_Status[Status from OPMS],Compliance_Status[Status_Key],"")</f>
        <v>4</v>
      </c>
      <c r="O752">
        <f>_xlfn.XLOOKUP(Data[[#This Row],[Status]],Compliance_Status[Status from OPMS],Compliance_Status[Has Course booking],"")</f>
        <v>0</v>
      </c>
      <c r="P752" t="str">
        <f>_xlfn.XLOOKUP(Data[[#This Row],[StatusKey]],Status_Key[Status_Key],Status_Key[Name],"")</f>
        <v>In Date</v>
      </c>
    </row>
    <row r="753" spans="1:16" x14ac:dyDescent="0.25">
      <c r="A753" s="1">
        <v>163</v>
      </c>
      <c r="B753" s="1" t="s">
        <v>207</v>
      </c>
      <c r="C753" s="1" t="s">
        <v>208</v>
      </c>
      <c r="D753" s="1" t="s">
        <v>209</v>
      </c>
      <c r="E753" s="1" t="s">
        <v>108</v>
      </c>
      <c r="F753" s="1" t="s">
        <v>65</v>
      </c>
      <c r="G753" s="1" t="s">
        <v>16</v>
      </c>
      <c r="H753" s="1" t="s">
        <v>150</v>
      </c>
      <c r="I753" s="1" t="s">
        <v>60</v>
      </c>
      <c r="J753" s="1" t="s">
        <v>67</v>
      </c>
      <c r="K753" s="1" t="s">
        <v>105</v>
      </c>
      <c r="L753" s="3">
        <v>47340</v>
      </c>
      <c r="M753" s="3">
        <v>46244</v>
      </c>
      <c r="N753">
        <f>_xlfn.XLOOKUP(Data[[#This Row],[Status]],Compliance_Status[Status from OPMS],Compliance_Status[Status_Key],"")</f>
        <v>4</v>
      </c>
      <c r="O753">
        <f>_xlfn.XLOOKUP(Data[[#This Row],[Status]],Compliance_Status[Status from OPMS],Compliance_Status[Has Course booking],"")</f>
        <v>0</v>
      </c>
      <c r="P753" t="str">
        <f>_xlfn.XLOOKUP(Data[[#This Row],[StatusKey]],Status_Key[Status_Key],Status_Key[Name],"")</f>
        <v>In Date</v>
      </c>
    </row>
    <row r="754" spans="1:16" x14ac:dyDescent="0.25">
      <c r="A754" s="1">
        <v>163</v>
      </c>
      <c r="B754" s="1" t="s">
        <v>207</v>
      </c>
      <c r="C754" s="1" t="s">
        <v>208</v>
      </c>
      <c r="D754" s="1" t="s">
        <v>209</v>
      </c>
      <c r="E754" s="1" t="s">
        <v>109</v>
      </c>
      <c r="F754" s="1" t="s">
        <v>65</v>
      </c>
      <c r="G754" s="1" t="s">
        <v>16</v>
      </c>
      <c r="H754" s="1" t="s">
        <v>150</v>
      </c>
      <c r="I754" s="1" t="s">
        <v>60</v>
      </c>
      <c r="J754" s="1" t="s">
        <v>67</v>
      </c>
      <c r="K754" s="1" t="s">
        <v>105</v>
      </c>
      <c r="L754" s="3">
        <v>46851</v>
      </c>
      <c r="M754" s="3">
        <v>46120</v>
      </c>
      <c r="N754">
        <f>_xlfn.XLOOKUP(Data[[#This Row],[Status]],Compliance_Status[Status from OPMS],Compliance_Status[Status_Key],"")</f>
        <v>4</v>
      </c>
      <c r="O754">
        <f>_xlfn.XLOOKUP(Data[[#This Row],[Status]],Compliance_Status[Status from OPMS],Compliance_Status[Has Course booking],"")</f>
        <v>0</v>
      </c>
      <c r="P754" t="str">
        <f>_xlfn.XLOOKUP(Data[[#This Row],[StatusKey]],Status_Key[Status_Key],Status_Key[Name],"")</f>
        <v>In Date</v>
      </c>
    </row>
    <row r="755" spans="1:16" x14ac:dyDescent="0.25">
      <c r="A755" s="1">
        <v>163</v>
      </c>
      <c r="B755" s="1" t="s">
        <v>207</v>
      </c>
      <c r="C755" s="1" t="s">
        <v>208</v>
      </c>
      <c r="D755" s="1" t="s">
        <v>209</v>
      </c>
      <c r="E755" s="1" t="s">
        <v>110</v>
      </c>
      <c r="F755" s="1" t="s">
        <v>65</v>
      </c>
      <c r="G755" s="1" t="s">
        <v>16</v>
      </c>
      <c r="H755" s="1" t="s">
        <v>150</v>
      </c>
      <c r="I755" s="1" t="s">
        <v>60</v>
      </c>
      <c r="J755" s="1" t="s">
        <v>67</v>
      </c>
      <c r="K755" s="1" t="s">
        <v>105</v>
      </c>
      <c r="L755" s="3" t="s">
        <v>79</v>
      </c>
      <c r="M755" s="3">
        <v>45421</v>
      </c>
      <c r="N755">
        <f>_xlfn.XLOOKUP(Data[[#This Row],[Status]],Compliance_Status[Status from OPMS],Compliance_Status[Status_Key],"")</f>
        <v>4</v>
      </c>
      <c r="O755">
        <f>_xlfn.XLOOKUP(Data[[#This Row],[Status]],Compliance_Status[Status from OPMS],Compliance_Status[Has Course booking],"")</f>
        <v>0</v>
      </c>
      <c r="P755" t="str">
        <f>_xlfn.XLOOKUP(Data[[#This Row],[StatusKey]],Status_Key[Status_Key],Status_Key[Name],"")</f>
        <v>In Date</v>
      </c>
    </row>
    <row r="756" spans="1:16" x14ac:dyDescent="0.25">
      <c r="A756" s="1">
        <v>163</v>
      </c>
      <c r="B756" s="1" t="s">
        <v>207</v>
      </c>
      <c r="C756" s="1" t="s">
        <v>208</v>
      </c>
      <c r="D756" s="1" t="s">
        <v>209</v>
      </c>
      <c r="E756" s="1" t="s">
        <v>111</v>
      </c>
      <c r="F756" s="1" t="s">
        <v>65</v>
      </c>
      <c r="G756" s="1" t="s">
        <v>16</v>
      </c>
      <c r="H756" s="1" t="s">
        <v>150</v>
      </c>
      <c r="I756" s="1" t="s">
        <v>60</v>
      </c>
      <c r="J756" s="1" t="s">
        <v>67</v>
      </c>
      <c r="K756" s="1" t="s">
        <v>105</v>
      </c>
      <c r="L756" s="3">
        <v>46723</v>
      </c>
      <c r="M756" s="3">
        <v>45993</v>
      </c>
      <c r="N756">
        <f>_xlfn.XLOOKUP(Data[[#This Row],[Status]],Compliance_Status[Status from OPMS],Compliance_Status[Status_Key],"")</f>
        <v>4</v>
      </c>
      <c r="O756">
        <f>_xlfn.XLOOKUP(Data[[#This Row],[Status]],Compliance_Status[Status from OPMS],Compliance_Status[Has Course booking],"")</f>
        <v>0</v>
      </c>
      <c r="P756" t="str">
        <f>_xlfn.XLOOKUP(Data[[#This Row],[StatusKey]],Status_Key[Status_Key],Status_Key[Name],"")</f>
        <v>In Date</v>
      </c>
    </row>
    <row r="757" spans="1:16" x14ac:dyDescent="0.25">
      <c r="A757" s="1">
        <v>163</v>
      </c>
      <c r="B757" s="1" t="s">
        <v>207</v>
      </c>
      <c r="C757" s="1" t="s">
        <v>208</v>
      </c>
      <c r="D757" s="1" t="s">
        <v>209</v>
      </c>
      <c r="E757" s="1" t="s">
        <v>112</v>
      </c>
      <c r="F757" s="1" t="s">
        <v>65</v>
      </c>
      <c r="G757" s="1" t="s">
        <v>16</v>
      </c>
      <c r="H757" s="1" t="s">
        <v>150</v>
      </c>
      <c r="I757" s="1" t="s">
        <v>60</v>
      </c>
      <c r="J757" s="1" t="s">
        <v>67</v>
      </c>
      <c r="K757" s="1" t="s">
        <v>105</v>
      </c>
      <c r="L757" s="3">
        <v>46768</v>
      </c>
      <c r="M757" s="3">
        <v>46038</v>
      </c>
      <c r="N757">
        <f>_xlfn.XLOOKUP(Data[[#This Row],[Status]],Compliance_Status[Status from OPMS],Compliance_Status[Status_Key],"")</f>
        <v>4</v>
      </c>
      <c r="O757">
        <f>_xlfn.XLOOKUP(Data[[#This Row],[Status]],Compliance_Status[Status from OPMS],Compliance_Status[Has Course booking],"")</f>
        <v>0</v>
      </c>
      <c r="P757" t="str">
        <f>_xlfn.XLOOKUP(Data[[#This Row],[StatusKey]],Status_Key[Status_Key],Status_Key[Name],"")</f>
        <v>In Date</v>
      </c>
    </row>
    <row r="758" spans="1:16" x14ac:dyDescent="0.25">
      <c r="A758" s="1">
        <v>163</v>
      </c>
      <c r="B758" s="1" t="s">
        <v>207</v>
      </c>
      <c r="C758" s="1" t="s">
        <v>208</v>
      </c>
      <c r="D758" s="1" t="s">
        <v>209</v>
      </c>
      <c r="E758" s="1" t="s">
        <v>113</v>
      </c>
      <c r="F758" s="1" t="s">
        <v>65</v>
      </c>
      <c r="G758" s="1" t="s">
        <v>16</v>
      </c>
      <c r="H758" s="1" t="s">
        <v>150</v>
      </c>
      <c r="I758" s="1" t="s">
        <v>60</v>
      </c>
      <c r="J758" s="1" t="s">
        <v>67</v>
      </c>
      <c r="K758" s="1" t="s">
        <v>105</v>
      </c>
      <c r="L758" s="3">
        <v>46770</v>
      </c>
      <c r="M758" s="3">
        <v>46040</v>
      </c>
      <c r="N758">
        <f>_xlfn.XLOOKUP(Data[[#This Row],[Status]],Compliance_Status[Status from OPMS],Compliance_Status[Status_Key],"")</f>
        <v>4</v>
      </c>
      <c r="O758">
        <f>_xlfn.XLOOKUP(Data[[#This Row],[Status]],Compliance_Status[Status from OPMS],Compliance_Status[Has Course booking],"")</f>
        <v>0</v>
      </c>
      <c r="P758" t="str">
        <f>_xlfn.XLOOKUP(Data[[#This Row],[StatusKey]],Status_Key[Status_Key],Status_Key[Name],"")</f>
        <v>In Date</v>
      </c>
    </row>
    <row r="759" spans="1:16" x14ac:dyDescent="0.25">
      <c r="A759" s="1">
        <v>167</v>
      </c>
      <c r="B759" s="1" t="s">
        <v>210</v>
      </c>
      <c r="C759" s="1" t="s">
        <v>211</v>
      </c>
      <c r="D759" s="1" t="s">
        <v>212</v>
      </c>
      <c r="E759" s="1" t="s">
        <v>154</v>
      </c>
      <c r="F759" s="1" t="s">
        <v>65</v>
      </c>
      <c r="G759" s="1" t="s">
        <v>16</v>
      </c>
      <c r="H759" s="1" t="s">
        <v>155</v>
      </c>
      <c r="I759" s="1" t="s">
        <v>60</v>
      </c>
      <c r="J759" s="1" t="s">
        <v>67</v>
      </c>
      <c r="K759" s="1" t="s">
        <v>68</v>
      </c>
      <c r="L759" s="3">
        <v>47696</v>
      </c>
      <c r="M759" s="3">
        <v>45901</v>
      </c>
      <c r="N759">
        <f>_xlfn.XLOOKUP(Data[[#This Row],[Status]],Compliance_Status[Status from OPMS],Compliance_Status[Status_Key],"")</f>
        <v>4</v>
      </c>
      <c r="O759">
        <f>_xlfn.XLOOKUP(Data[[#This Row],[Status]],Compliance_Status[Status from OPMS],Compliance_Status[Has Course booking],"")</f>
        <v>0</v>
      </c>
      <c r="P759" t="str">
        <f>_xlfn.XLOOKUP(Data[[#This Row],[StatusKey]],Status_Key[Status_Key],Status_Key[Name],"")</f>
        <v>In Date</v>
      </c>
    </row>
    <row r="760" spans="1:16" x14ac:dyDescent="0.25">
      <c r="A760" s="1">
        <v>167</v>
      </c>
      <c r="B760" s="1" t="s">
        <v>210</v>
      </c>
      <c r="C760" s="1" t="s">
        <v>211</v>
      </c>
      <c r="D760" s="1" t="s">
        <v>212</v>
      </c>
      <c r="E760" s="1" t="s">
        <v>131</v>
      </c>
      <c r="F760" s="1" t="s">
        <v>65</v>
      </c>
      <c r="G760" s="1" t="s">
        <v>16</v>
      </c>
      <c r="H760" s="1" t="s">
        <v>155</v>
      </c>
      <c r="I760" s="1" t="s">
        <v>60</v>
      </c>
      <c r="J760" s="1" t="s">
        <v>67</v>
      </c>
      <c r="K760" s="1" t="s">
        <v>68</v>
      </c>
      <c r="L760" s="3">
        <v>47834</v>
      </c>
      <c r="M760" s="3">
        <v>45700</v>
      </c>
      <c r="N760">
        <f>_xlfn.XLOOKUP(Data[[#This Row],[Status]],Compliance_Status[Status from OPMS],Compliance_Status[Status_Key],"")</f>
        <v>4</v>
      </c>
      <c r="O760">
        <f>_xlfn.XLOOKUP(Data[[#This Row],[Status]],Compliance_Status[Status from OPMS],Compliance_Status[Has Course booking],"")</f>
        <v>0</v>
      </c>
      <c r="P760" t="str">
        <f>_xlfn.XLOOKUP(Data[[#This Row],[StatusKey]],Status_Key[Status_Key],Status_Key[Name],"")</f>
        <v>In Date</v>
      </c>
    </row>
    <row r="761" spans="1:16" x14ac:dyDescent="0.25">
      <c r="A761" s="1">
        <v>167</v>
      </c>
      <c r="B761" s="1" t="s">
        <v>210</v>
      </c>
      <c r="C761" s="1" t="s">
        <v>211</v>
      </c>
      <c r="D761" s="1" t="s">
        <v>212</v>
      </c>
      <c r="E761" s="1" t="s">
        <v>71</v>
      </c>
      <c r="F761" s="1" t="s">
        <v>72</v>
      </c>
      <c r="G761" s="1" t="s">
        <v>18</v>
      </c>
      <c r="H761" s="1" t="s">
        <v>155</v>
      </c>
      <c r="I761" s="1" t="s">
        <v>60</v>
      </c>
      <c r="J761" s="1"/>
      <c r="K761" s="1" t="s">
        <v>68</v>
      </c>
      <c r="L761" s="3"/>
      <c r="M761" s="3"/>
      <c r="N761">
        <f>_xlfn.XLOOKUP(Data[[#This Row],[Status]],Compliance_Status[Status from OPMS],Compliance_Status[Status_Key],"")</f>
        <v>2</v>
      </c>
      <c r="O761">
        <f>_xlfn.XLOOKUP(Data[[#This Row],[Status]],Compliance_Status[Status from OPMS],Compliance_Status[Has Course booking],"")</f>
        <v>0</v>
      </c>
      <c r="P761" t="str">
        <f>_xlfn.XLOOKUP(Data[[#This Row],[StatusKey]],Status_Key[Status_Key],Status_Key[Name],"")</f>
        <v>Outstanding</v>
      </c>
    </row>
    <row r="762" spans="1:16" x14ac:dyDescent="0.25">
      <c r="A762" s="1">
        <v>167</v>
      </c>
      <c r="B762" s="1" t="s">
        <v>210</v>
      </c>
      <c r="C762" s="1" t="s">
        <v>211</v>
      </c>
      <c r="D762" s="1" t="s">
        <v>212</v>
      </c>
      <c r="E762" s="1" t="s">
        <v>73</v>
      </c>
      <c r="F762" s="1" t="s">
        <v>65</v>
      </c>
      <c r="G762" s="1" t="s">
        <v>16</v>
      </c>
      <c r="H762" s="1" t="s">
        <v>155</v>
      </c>
      <c r="I762" s="1" t="s">
        <v>60</v>
      </c>
      <c r="J762" s="1" t="s">
        <v>67</v>
      </c>
      <c r="K762" s="1" t="s">
        <v>68</v>
      </c>
      <c r="L762" s="3">
        <v>46876</v>
      </c>
      <c r="M762" s="3">
        <v>46146</v>
      </c>
      <c r="N762">
        <f>_xlfn.XLOOKUP(Data[[#This Row],[Status]],Compliance_Status[Status from OPMS],Compliance_Status[Status_Key],"")</f>
        <v>4</v>
      </c>
      <c r="O762">
        <f>_xlfn.XLOOKUP(Data[[#This Row],[Status]],Compliance_Status[Status from OPMS],Compliance_Status[Has Course booking],"")</f>
        <v>0</v>
      </c>
      <c r="P762" t="str">
        <f>_xlfn.XLOOKUP(Data[[#This Row],[StatusKey]],Status_Key[Status_Key],Status_Key[Name],"")</f>
        <v>In Date</v>
      </c>
    </row>
    <row r="763" spans="1:16" x14ac:dyDescent="0.25">
      <c r="A763" s="1">
        <v>167</v>
      </c>
      <c r="B763" s="1" t="s">
        <v>210</v>
      </c>
      <c r="C763" s="1" t="s">
        <v>211</v>
      </c>
      <c r="D763" s="1" t="s">
        <v>212</v>
      </c>
      <c r="E763" s="1" t="s">
        <v>74</v>
      </c>
      <c r="F763" s="1" t="s">
        <v>65</v>
      </c>
      <c r="G763" s="1" t="s">
        <v>16</v>
      </c>
      <c r="H763" s="1" t="s">
        <v>155</v>
      </c>
      <c r="I763" s="1" t="s">
        <v>60</v>
      </c>
      <c r="J763" s="1" t="s">
        <v>67</v>
      </c>
      <c r="K763" s="1" t="s">
        <v>68</v>
      </c>
      <c r="L763" s="3">
        <v>46949</v>
      </c>
      <c r="M763" s="3">
        <v>45853</v>
      </c>
      <c r="N763">
        <f>_xlfn.XLOOKUP(Data[[#This Row],[Status]],Compliance_Status[Status from OPMS],Compliance_Status[Status_Key],"")</f>
        <v>4</v>
      </c>
      <c r="O763">
        <f>_xlfn.XLOOKUP(Data[[#This Row],[Status]],Compliance_Status[Status from OPMS],Compliance_Status[Has Course booking],"")</f>
        <v>0</v>
      </c>
      <c r="P763" t="str">
        <f>_xlfn.XLOOKUP(Data[[#This Row],[StatusKey]],Status_Key[Status_Key],Status_Key[Name],"")</f>
        <v>In Date</v>
      </c>
    </row>
    <row r="764" spans="1:16" x14ac:dyDescent="0.25">
      <c r="A764" s="1">
        <v>167</v>
      </c>
      <c r="B764" s="1" t="s">
        <v>210</v>
      </c>
      <c r="C764" s="1" t="s">
        <v>211</v>
      </c>
      <c r="D764" s="1" t="s">
        <v>212</v>
      </c>
      <c r="E764" s="1" t="s">
        <v>75</v>
      </c>
      <c r="F764" s="1" t="s">
        <v>72</v>
      </c>
      <c r="G764" s="1" t="s">
        <v>18</v>
      </c>
      <c r="H764" s="1" t="s">
        <v>155</v>
      </c>
      <c r="I764" s="1" t="s">
        <v>60</v>
      </c>
      <c r="J764" s="1"/>
      <c r="K764" s="1" t="s">
        <v>68</v>
      </c>
      <c r="L764" s="3"/>
      <c r="M764" s="3"/>
      <c r="N764">
        <f>_xlfn.XLOOKUP(Data[[#This Row],[Status]],Compliance_Status[Status from OPMS],Compliance_Status[Status_Key],"")</f>
        <v>2</v>
      </c>
      <c r="O764">
        <f>_xlfn.XLOOKUP(Data[[#This Row],[Status]],Compliance_Status[Status from OPMS],Compliance_Status[Has Course booking],"")</f>
        <v>0</v>
      </c>
      <c r="P764" t="str">
        <f>_xlfn.XLOOKUP(Data[[#This Row],[StatusKey]],Status_Key[Status_Key],Status_Key[Name],"")</f>
        <v>Outstanding</v>
      </c>
    </row>
    <row r="765" spans="1:16" x14ac:dyDescent="0.25">
      <c r="A765" s="1">
        <v>167</v>
      </c>
      <c r="B765" s="1" t="s">
        <v>210</v>
      </c>
      <c r="C765" s="1" t="s">
        <v>211</v>
      </c>
      <c r="D765" s="1" t="s">
        <v>212</v>
      </c>
      <c r="E765" s="1" t="s">
        <v>76</v>
      </c>
      <c r="F765" s="1" t="s">
        <v>65</v>
      </c>
      <c r="G765" s="1" t="s">
        <v>16</v>
      </c>
      <c r="H765" s="1" t="s">
        <v>155</v>
      </c>
      <c r="I765" s="1" t="s">
        <v>60</v>
      </c>
      <c r="J765" s="1" t="s">
        <v>67</v>
      </c>
      <c r="K765" s="1" t="s">
        <v>77</v>
      </c>
      <c r="L765" s="3">
        <v>46418</v>
      </c>
      <c r="M765" s="3">
        <v>44957</v>
      </c>
      <c r="N765">
        <f>_xlfn.XLOOKUP(Data[[#This Row],[Status]],Compliance_Status[Status from OPMS],Compliance_Status[Status_Key],"")</f>
        <v>4</v>
      </c>
      <c r="O765">
        <f>_xlfn.XLOOKUP(Data[[#This Row],[Status]],Compliance_Status[Status from OPMS],Compliance_Status[Has Course booking],"")</f>
        <v>0</v>
      </c>
      <c r="P765" t="str">
        <f>_xlfn.XLOOKUP(Data[[#This Row],[StatusKey]],Status_Key[Status_Key],Status_Key[Name],"")</f>
        <v>In Date</v>
      </c>
    </row>
    <row r="766" spans="1:16" x14ac:dyDescent="0.25">
      <c r="A766" s="1">
        <v>167</v>
      </c>
      <c r="B766" s="1" t="s">
        <v>210</v>
      </c>
      <c r="C766" s="1" t="s">
        <v>211</v>
      </c>
      <c r="D766" s="1" t="s">
        <v>212</v>
      </c>
      <c r="E766" s="1" t="s">
        <v>80</v>
      </c>
      <c r="F766" s="1" t="s">
        <v>65</v>
      </c>
      <c r="G766" s="1" t="s">
        <v>16</v>
      </c>
      <c r="H766" s="1" t="s">
        <v>155</v>
      </c>
      <c r="I766" s="1" t="s">
        <v>60</v>
      </c>
      <c r="J766" s="1" t="s">
        <v>67</v>
      </c>
      <c r="K766" s="1" t="s">
        <v>77</v>
      </c>
      <c r="L766" s="3" t="s">
        <v>79</v>
      </c>
      <c r="M766" s="3">
        <v>45764</v>
      </c>
      <c r="N766">
        <f>_xlfn.XLOOKUP(Data[[#This Row],[Status]],Compliance_Status[Status from OPMS],Compliance_Status[Status_Key],"")</f>
        <v>4</v>
      </c>
      <c r="O766">
        <f>_xlfn.XLOOKUP(Data[[#This Row],[Status]],Compliance_Status[Status from OPMS],Compliance_Status[Has Course booking],"")</f>
        <v>0</v>
      </c>
      <c r="P766" t="str">
        <f>_xlfn.XLOOKUP(Data[[#This Row],[StatusKey]],Status_Key[Status_Key],Status_Key[Name],"")</f>
        <v>In Date</v>
      </c>
    </row>
    <row r="767" spans="1:16" x14ac:dyDescent="0.25">
      <c r="A767" s="1">
        <v>167</v>
      </c>
      <c r="B767" s="1" t="s">
        <v>210</v>
      </c>
      <c r="C767" s="1" t="s">
        <v>211</v>
      </c>
      <c r="D767" s="1" t="s">
        <v>212</v>
      </c>
      <c r="E767" s="1" t="s">
        <v>84</v>
      </c>
      <c r="F767" s="1" t="s">
        <v>65</v>
      </c>
      <c r="G767" s="1" t="s">
        <v>16</v>
      </c>
      <c r="H767" s="1" t="s">
        <v>155</v>
      </c>
      <c r="I767" s="1" t="s">
        <v>60</v>
      </c>
      <c r="J767" s="1" t="s">
        <v>67</v>
      </c>
      <c r="K767" s="1" t="s">
        <v>83</v>
      </c>
      <c r="L767" s="3">
        <v>46719</v>
      </c>
      <c r="M767" s="3">
        <v>45989</v>
      </c>
      <c r="N767">
        <f>_xlfn.XLOOKUP(Data[[#This Row],[Status]],Compliance_Status[Status from OPMS],Compliance_Status[Status_Key],"")</f>
        <v>4</v>
      </c>
      <c r="O767">
        <f>_xlfn.XLOOKUP(Data[[#This Row],[Status]],Compliance_Status[Status from OPMS],Compliance_Status[Has Course booking],"")</f>
        <v>0</v>
      </c>
      <c r="P767" t="str">
        <f>_xlfn.XLOOKUP(Data[[#This Row],[StatusKey]],Status_Key[Status_Key],Status_Key[Name],"")</f>
        <v>In Date</v>
      </c>
    </row>
    <row r="768" spans="1:16" x14ac:dyDescent="0.25">
      <c r="A768" s="1">
        <v>167</v>
      </c>
      <c r="B768" s="1" t="s">
        <v>210</v>
      </c>
      <c r="C768" s="1" t="s">
        <v>211</v>
      </c>
      <c r="D768" s="1" t="s">
        <v>212</v>
      </c>
      <c r="E768" s="1" t="s">
        <v>93</v>
      </c>
      <c r="F768" s="1" t="s">
        <v>65</v>
      </c>
      <c r="G768" s="1" t="s">
        <v>16</v>
      </c>
      <c r="H768" s="1" t="s">
        <v>155</v>
      </c>
      <c r="I768" s="1" t="s">
        <v>60</v>
      </c>
      <c r="J768" s="1" t="s">
        <v>67</v>
      </c>
      <c r="K768" s="1" t="s">
        <v>94</v>
      </c>
      <c r="L768" s="3">
        <v>46665</v>
      </c>
      <c r="M768" s="3">
        <v>45935</v>
      </c>
      <c r="N768">
        <f>_xlfn.XLOOKUP(Data[[#This Row],[Status]],Compliance_Status[Status from OPMS],Compliance_Status[Status_Key],"")</f>
        <v>4</v>
      </c>
      <c r="O768">
        <f>_xlfn.XLOOKUP(Data[[#This Row],[Status]],Compliance_Status[Status from OPMS],Compliance_Status[Has Course booking],"")</f>
        <v>0</v>
      </c>
      <c r="P768" t="str">
        <f>_xlfn.XLOOKUP(Data[[#This Row],[StatusKey]],Status_Key[Status_Key],Status_Key[Name],"")</f>
        <v>In Date</v>
      </c>
    </row>
    <row r="769" spans="1:16" x14ac:dyDescent="0.25">
      <c r="A769" s="1">
        <v>167</v>
      </c>
      <c r="B769" s="1" t="s">
        <v>210</v>
      </c>
      <c r="C769" s="1" t="s">
        <v>211</v>
      </c>
      <c r="D769" s="1" t="s">
        <v>212</v>
      </c>
      <c r="E769" s="1" t="s">
        <v>95</v>
      </c>
      <c r="F769" s="1" t="s">
        <v>65</v>
      </c>
      <c r="G769" s="1" t="s">
        <v>16</v>
      </c>
      <c r="H769" s="1" t="s">
        <v>155</v>
      </c>
      <c r="I769" s="1" t="s">
        <v>60</v>
      </c>
      <c r="J769" s="1" t="s">
        <v>67</v>
      </c>
      <c r="K769" s="1" t="s">
        <v>94</v>
      </c>
      <c r="L769" s="3">
        <v>46658</v>
      </c>
      <c r="M769" s="3">
        <v>45928</v>
      </c>
      <c r="N769">
        <f>_xlfn.XLOOKUP(Data[[#This Row],[Status]],Compliance_Status[Status from OPMS],Compliance_Status[Status_Key],"")</f>
        <v>4</v>
      </c>
      <c r="O769">
        <f>_xlfn.XLOOKUP(Data[[#This Row],[Status]],Compliance_Status[Status from OPMS],Compliance_Status[Has Course booking],"")</f>
        <v>0</v>
      </c>
      <c r="P769" t="str">
        <f>_xlfn.XLOOKUP(Data[[#This Row],[StatusKey]],Status_Key[Status_Key],Status_Key[Name],"")</f>
        <v>In Date</v>
      </c>
    </row>
    <row r="770" spans="1:16" x14ac:dyDescent="0.25">
      <c r="A770" s="1">
        <v>167</v>
      </c>
      <c r="B770" s="1" t="s">
        <v>210</v>
      </c>
      <c r="C770" s="1" t="s">
        <v>211</v>
      </c>
      <c r="D770" s="1" t="s">
        <v>212</v>
      </c>
      <c r="E770" s="1" t="s">
        <v>156</v>
      </c>
      <c r="F770" s="1" t="s">
        <v>65</v>
      </c>
      <c r="G770" s="1" t="s">
        <v>16</v>
      </c>
      <c r="H770" s="1" t="s">
        <v>155</v>
      </c>
      <c r="I770" s="1" t="s">
        <v>60</v>
      </c>
      <c r="J770" s="1" t="s">
        <v>67</v>
      </c>
      <c r="K770" s="1" t="s">
        <v>125</v>
      </c>
      <c r="L770" s="3">
        <v>47956</v>
      </c>
      <c r="M770" s="3">
        <v>46130</v>
      </c>
      <c r="N770">
        <f>_xlfn.XLOOKUP(Data[[#This Row],[Status]],Compliance_Status[Status from OPMS],Compliance_Status[Status_Key],"")</f>
        <v>4</v>
      </c>
      <c r="O770">
        <f>_xlfn.XLOOKUP(Data[[#This Row],[Status]],Compliance_Status[Status from OPMS],Compliance_Status[Has Course booking],"")</f>
        <v>0</v>
      </c>
      <c r="P770" t="str">
        <f>_xlfn.XLOOKUP(Data[[#This Row],[StatusKey]],Status_Key[Status_Key],Status_Key[Name],"")</f>
        <v>In Date</v>
      </c>
    </row>
    <row r="771" spans="1:16" x14ac:dyDescent="0.25">
      <c r="A771" s="1">
        <v>167</v>
      </c>
      <c r="B771" s="1" t="s">
        <v>210</v>
      </c>
      <c r="C771" s="1" t="s">
        <v>211</v>
      </c>
      <c r="D771" s="1" t="s">
        <v>212</v>
      </c>
      <c r="E771" s="1" t="s">
        <v>124</v>
      </c>
      <c r="F771" s="1" t="s">
        <v>72</v>
      </c>
      <c r="G771" s="1" t="s">
        <v>16</v>
      </c>
      <c r="H771" s="1" t="s">
        <v>155</v>
      </c>
      <c r="I771" s="1" t="s">
        <v>60</v>
      </c>
      <c r="J771" s="1"/>
      <c r="K771" s="1" t="s">
        <v>125</v>
      </c>
      <c r="L771" s="3">
        <v>47956</v>
      </c>
      <c r="M771" s="3">
        <v>46130</v>
      </c>
      <c r="N771">
        <f>_xlfn.XLOOKUP(Data[[#This Row],[Status]],Compliance_Status[Status from OPMS],Compliance_Status[Status_Key],"")</f>
        <v>4</v>
      </c>
      <c r="O771">
        <f>_xlfn.XLOOKUP(Data[[#This Row],[Status]],Compliance_Status[Status from OPMS],Compliance_Status[Has Course booking],"")</f>
        <v>0</v>
      </c>
      <c r="P771" t="str">
        <f>_xlfn.XLOOKUP(Data[[#This Row],[StatusKey]],Status_Key[Status_Key],Status_Key[Name],"")</f>
        <v>In Date</v>
      </c>
    </row>
    <row r="772" spans="1:16" x14ac:dyDescent="0.25">
      <c r="A772" s="1">
        <v>167</v>
      </c>
      <c r="B772" s="1" t="s">
        <v>210</v>
      </c>
      <c r="C772" s="1" t="s">
        <v>211</v>
      </c>
      <c r="D772" s="1" t="s">
        <v>212</v>
      </c>
      <c r="E772" s="1" t="s">
        <v>97</v>
      </c>
      <c r="F772" s="1" t="s">
        <v>65</v>
      </c>
      <c r="G772" s="1" t="s">
        <v>16</v>
      </c>
      <c r="H772" s="1" t="s">
        <v>155</v>
      </c>
      <c r="I772" s="1" t="s">
        <v>60</v>
      </c>
      <c r="J772" s="1" t="s">
        <v>67</v>
      </c>
      <c r="K772" s="1" t="s">
        <v>98</v>
      </c>
      <c r="L772" s="3">
        <v>47495</v>
      </c>
      <c r="M772" s="3">
        <v>45669</v>
      </c>
      <c r="N772">
        <f>_xlfn.XLOOKUP(Data[[#This Row],[Status]],Compliance_Status[Status from OPMS],Compliance_Status[Status_Key],"")</f>
        <v>4</v>
      </c>
      <c r="O772">
        <f>_xlfn.XLOOKUP(Data[[#This Row],[Status]],Compliance_Status[Status from OPMS],Compliance_Status[Has Course booking],"")</f>
        <v>0</v>
      </c>
      <c r="P772" t="str">
        <f>_xlfn.XLOOKUP(Data[[#This Row],[StatusKey]],Status_Key[Status_Key],Status_Key[Name],"")</f>
        <v>In Date</v>
      </c>
    </row>
    <row r="773" spans="1:16" x14ac:dyDescent="0.25">
      <c r="A773" s="1">
        <v>167</v>
      </c>
      <c r="B773" s="1" t="s">
        <v>210</v>
      </c>
      <c r="C773" s="1" t="s">
        <v>211</v>
      </c>
      <c r="D773" s="1" t="s">
        <v>212</v>
      </c>
      <c r="E773" s="1" t="s">
        <v>100</v>
      </c>
      <c r="F773" s="1" t="s">
        <v>65</v>
      </c>
      <c r="G773" s="1" t="s">
        <v>16</v>
      </c>
      <c r="H773" s="1" t="s">
        <v>155</v>
      </c>
      <c r="I773" s="1" t="s">
        <v>60</v>
      </c>
      <c r="J773" s="1" t="s">
        <v>67</v>
      </c>
      <c r="K773" s="1" t="s">
        <v>98</v>
      </c>
      <c r="L773" s="3">
        <v>46963</v>
      </c>
      <c r="M773" s="3">
        <v>46232</v>
      </c>
      <c r="N773">
        <f>_xlfn.XLOOKUP(Data[[#This Row],[Status]],Compliance_Status[Status from OPMS],Compliance_Status[Status_Key],"")</f>
        <v>4</v>
      </c>
      <c r="O773">
        <f>_xlfn.XLOOKUP(Data[[#This Row],[Status]],Compliance_Status[Status from OPMS],Compliance_Status[Has Course booking],"")</f>
        <v>0</v>
      </c>
      <c r="P773" t="str">
        <f>_xlfn.XLOOKUP(Data[[#This Row],[StatusKey]],Status_Key[Status_Key],Status_Key[Name],"")</f>
        <v>In Date</v>
      </c>
    </row>
    <row r="774" spans="1:16" x14ac:dyDescent="0.25">
      <c r="A774" s="1">
        <v>167</v>
      </c>
      <c r="B774" s="1" t="s">
        <v>210</v>
      </c>
      <c r="C774" s="1" t="s">
        <v>211</v>
      </c>
      <c r="D774" s="1" t="s">
        <v>212</v>
      </c>
      <c r="E774" s="1" t="s">
        <v>101</v>
      </c>
      <c r="F774" s="1" t="s">
        <v>65</v>
      </c>
      <c r="G774" s="1" t="s">
        <v>16</v>
      </c>
      <c r="H774" s="1" t="s">
        <v>155</v>
      </c>
      <c r="I774" s="1" t="s">
        <v>60</v>
      </c>
      <c r="J774" s="1" t="s">
        <v>67</v>
      </c>
      <c r="K774" s="1" t="s">
        <v>102</v>
      </c>
      <c r="L774" s="3" t="s">
        <v>79</v>
      </c>
      <c r="M774" s="3">
        <v>45810</v>
      </c>
      <c r="N774">
        <f>_xlfn.XLOOKUP(Data[[#This Row],[Status]],Compliance_Status[Status from OPMS],Compliance_Status[Status_Key],"")</f>
        <v>4</v>
      </c>
      <c r="O774">
        <f>_xlfn.XLOOKUP(Data[[#This Row],[Status]],Compliance_Status[Status from OPMS],Compliance_Status[Has Course booking],"")</f>
        <v>0</v>
      </c>
      <c r="P774" t="str">
        <f>_xlfn.XLOOKUP(Data[[#This Row],[StatusKey]],Status_Key[Status_Key],Status_Key[Name],"")</f>
        <v>In Date</v>
      </c>
    </row>
    <row r="775" spans="1:16" x14ac:dyDescent="0.25">
      <c r="A775" s="1">
        <v>167</v>
      </c>
      <c r="B775" s="1" t="s">
        <v>210</v>
      </c>
      <c r="C775" s="1" t="s">
        <v>211</v>
      </c>
      <c r="D775" s="1" t="s">
        <v>212</v>
      </c>
      <c r="E775" s="1" t="s">
        <v>103</v>
      </c>
      <c r="F775" s="1" t="s">
        <v>65</v>
      </c>
      <c r="G775" s="1" t="s">
        <v>16</v>
      </c>
      <c r="H775" s="1" t="s">
        <v>155</v>
      </c>
      <c r="I775" s="1" t="s">
        <v>60</v>
      </c>
      <c r="J775" s="1" t="s">
        <v>67</v>
      </c>
      <c r="K775" s="1" t="s">
        <v>102</v>
      </c>
      <c r="L775" s="3">
        <v>46769</v>
      </c>
      <c r="M775" s="3">
        <v>46039</v>
      </c>
      <c r="N775">
        <f>_xlfn.XLOOKUP(Data[[#This Row],[Status]],Compliance_Status[Status from OPMS],Compliance_Status[Status_Key],"")</f>
        <v>4</v>
      </c>
      <c r="O775">
        <f>_xlfn.XLOOKUP(Data[[#This Row],[Status]],Compliance_Status[Status from OPMS],Compliance_Status[Has Course booking],"")</f>
        <v>0</v>
      </c>
      <c r="P775" t="str">
        <f>_xlfn.XLOOKUP(Data[[#This Row],[StatusKey]],Status_Key[Status_Key],Status_Key[Name],"")</f>
        <v>In Date</v>
      </c>
    </row>
    <row r="776" spans="1:16" x14ac:dyDescent="0.25">
      <c r="A776" s="1">
        <v>167</v>
      </c>
      <c r="B776" s="1" t="s">
        <v>210</v>
      </c>
      <c r="C776" s="1" t="s">
        <v>211</v>
      </c>
      <c r="D776" s="1" t="s">
        <v>212</v>
      </c>
      <c r="E776" s="1" t="s">
        <v>104</v>
      </c>
      <c r="F776" s="1" t="s">
        <v>65</v>
      </c>
      <c r="G776" s="1" t="s">
        <v>16</v>
      </c>
      <c r="H776" s="1" t="s">
        <v>155</v>
      </c>
      <c r="I776" s="1" t="s">
        <v>60</v>
      </c>
      <c r="J776" s="1" t="s">
        <v>67</v>
      </c>
      <c r="K776" s="1" t="s">
        <v>105</v>
      </c>
      <c r="L776" s="3">
        <v>46769</v>
      </c>
      <c r="M776" s="3">
        <v>46039</v>
      </c>
      <c r="N776">
        <f>_xlfn.XLOOKUP(Data[[#This Row],[Status]],Compliance_Status[Status from OPMS],Compliance_Status[Status_Key],"")</f>
        <v>4</v>
      </c>
      <c r="O776">
        <f>_xlfn.XLOOKUP(Data[[#This Row],[Status]],Compliance_Status[Status from OPMS],Compliance_Status[Has Course booking],"")</f>
        <v>0</v>
      </c>
      <c r="P776" t="str">
        <f>_xlfn.XLOOKUP(Data[[#This Row],[StatusKey]],Status_Key[Status_Key],Status_Key[Name],"")</f>
        <v>In Date</v>
      </c>
    </row>
    <row r="777" spans="1:16" x14ac:dyDescent="0.25">
      <c r="A777" s="1">
        <v>167</v>
      </c>
      <c r="B777" s="1" t="s">
        <v>210</v>
      </c>
      <c r="C777" s="1" t="s">
        <v>211</v>
      </c>
      <c r="D777" s="1" t="s">
        <v>212</v>
      </c>
      <c r="E777" s="1" t="s">
        <v>106</v>
      </c>
      <c r="F777" s="1" t="s">
        <v>65</v>
      </c>
      <c r="G777" s="1" t="s">
        <v>16</v>
      </c>
      <c r="H777" s="1" t="s">
        <v>155</v>
      </c>
      <c r="I777" s="1" t="s">
        <v>60</v>
      </c>
      <c r="J777" s="1" t="s">
        <v>67</v>
      </c>
      <c r="K777" s="1" t="s">
        <v>105</v>
      </c>
      <c r="L777" s="3">
        <v>47495</v>
      </c>
      <c r="M777" s="3">
        <v>45669</v>
      </c>
      <c r="N777">
        <f>_xlfn.XLOOKUP(Data[[#This Row],[Status]],Compliance_Status[Status from OPMS],Compliance_Status[Status_Key],"")</f>
        <v>4</v>
      </c>
      <c r="O777">
        <f>_xlfn.XLOOKUP(Data[[#This Row],[Status]],Compliance_Status[Status from OPMS],Compliance_Status[Has Course booking],"")</f>
        <v>0</v>
      </c>
      <c r="P777" t="str">
        <f>_xlfn.XLOOKUP(Data[[#This Row],[StatusKey]],Status_Key[Status_Key],Status_Key[Name],"")</f>
        <v>In Date</v>
      </c>
    </row>
    <row r="778" spans="1:16" x14ac:dyDescent="0.25">
      <c r="A778" s="1">
        <v>167</v>
      </c>
      <c r="B778" s="1" t="s">
        <v>210</v>
      </c>
      <c r="C778" s="1" t="s">
        <v>211</v>
      </c>
      <c r="D778" s="1" t="s">
        <v>212</v>
      </c>
      <c r="E778" s="1" t="s">
        <v>107</v>
      </c>
      <c r="F778" s="1" t="s">
        <v>65</v>
      </c>
      <c r="G778" s="1" t="s">
        <v>16</v>
      </c>
      <c r="H778" s="1" t="s">
        <v>155</v>
      </c>
      <c r="I778" s="1" t="s">
        <v>60</v>
      </c>
      <c r="J778" s="1" t="s">
        <v>67</v>
      </c>
      <c r="K778" s="1" t="s">
        <v>105</v>
      </c>
      <c r="L778" s="3">
        <v>46764</v>
      </c>
      <c r="M778" s="3">
        <v>45669</v>
      </c>
      <c r="N778">
        <f>_xlfn.XLOOKUP(Data[[#This Row],[Status]],Compliance_Status[Status from OPMS],Compliance_Status[Status_Key],"")</f>
        <v>4</v>
      </c>
      <c r="O778">
        <f>_xlfn.XLOOKUP(Data[[#This Row],[Status]],Compliance_Status[Status from OPMS],Compliance_Status[Has Course booking],"")</f>
        <v>0</v>
      </c>
      <c r="P778" t="str">
        <f>_xlfn.XLOOKUP(Data[[#This Row],[StatusKey]],Status_Key[Status_Key],Status_Key[Name],"")</f>
        <v>In Date</v>
      </c>
    </row>
    <row r="779" spans="1:16" x14ac:dyDescent="0.25">
      <c r="A779" s="1">
        <v>167</v>
      </c>
      <c r="B779" s="1" t="s">
        <v>210</v>
      </c>
      <c r="C779" s="1" t="s">
        <v>211</v>
      </c>
      <c r="D779" s="1" t="s">
        <v>212</v>
      </c>
      <c r="E779" s="1" t="s">
        <v>108</v>
      </c>
      <c r="F779" s="1" t="s">
        <v>65</v>
      </c>
      <c r="G779" s="1" t="s">
        <v>16</v>
      </c>
      <c r="H779" s="1" t="s">
        <v>155</v>
      </c>
      <c r="I779" s="1" t="s">
        <v>60</v>
      </c>
      <c r="J779" s="1" t="s">
        <v>67</v>
      </c>
      <c r="K779" s="1" t="s">
        <v>105</v>
      </c>
      <c r="L779" s="3">
        <v>47313</v>
      </c>
      <c r="M779" s="3">
        <v>46217</v>
      </c>
      <c r="N779">
        <f>_xlfn.XLOOKUP(Data[[#This Row],[Status]],Compliance_Status[Status from OPMS],Compliance_Status[Status_Key],"")</f>
        <v>4</v>
      </c>
      <c r="O779">
        <f>_xlfn.XLOOKUP(Data[[#This Row],[Status]],Compliance_Status[Status from OPMS],Compliance_Status[Has Course booking],"")</f>
        <v>0</v>
      </c>
      <c r="P779" t="str">
        <f>_xlfn.XLOOKUP(Data[[#This Row],[StatusKey]],Status_Key[Status_Key],Status_Key[Name],"")</f>
        <v>In Date</v>
      </c>
    </row>
    <row r="780" spans="1:16" x14ac:dyDescent="0.25">
      <c r="A780" s="1">
        <v>167</v>
      </c>
      <c r="B780" s="1" t="s">
        <v>210</v>
      </c>
      <c r="C780" s="1" t="s">
        <v>211</v>
      </c>
      <c r="D780" s="1" t="s">
        <v>212</v>
      </c>
      <c r="E780" s="1" t="s">
        <v>109</v>
      </c>
      <c r="F780" s="1" t="s">
        <v>65</v>
      </c>
      <c r="G780" s="1" t="s">
        <v>16</v>
      </c>
      <c r="H780" s="1" t="s">
        <v>155</v>
      </c>
      <c r="I780" s="1" t="s">
        <v>60</v>
      </c>
      <c r="J780" s="1" t="s">
        <v>67</v>
      </c>
      <c r="K780" s="1" t="s">
        <v>105</v>
      </c>
      <c r="L780" s="3">
        <v>46769</v>
      </c>
      <c r="M780" s="3">
        <v>46039</v>
      </c>
      <c r="N780">
        <f>_xlfn.XLOOKUP(Data[[#This Row],[Status]],Compliance_Status[Status from OPMS],Compliance_Status[Status_Key],"")</f>
        <v>4</v>
      </c>
      <c r="O780">
        <f>_xlfn.XLOOKUP(Data[[#This Row],[Status]],Compliance_Status[Status from OPMS],Compliance_Status[Has Course booking],"")</f>
        <v>0</v>
      </c>
      <c r="P780" t="str">
        <f>_xlfn.XLOOKUP(Data[[#This Row],[StatusKey]],Status_Key[Status_Key],Status_Key[Name],"")</f>
        <v>In Date</v>
      </c>
    </row>
    <row r="781" spans="1:16" x14ac:dyDescent="0.25">
      <c r="A781" s="1">
        <v>167</v>
      </c>
      <c r="B781" s="1" t="s">
        <v>210</v>
      </c>
      <c r="C781" s="1" t="s">
        <v>211</v>
      </c>
      <c r="D781" s="1" t="s">
        <v>212</v>
      </c>
      <c r="E781" s="1" t="s">
        <v>110</v>
      </c>
      <c r="F781" s="1" t="s">
        <v>65</v>
      </c>
      <c r="G781" s="1" t="s">
        <v>16</v>
      </c>
      <c r="H781" s="1" t="s">
        <v>155</v>
      </c>
      <c r="I781" s="1" t="s">
        <v>60</v>
      </c>
      <c r="J781" s="1" t="s">
        <v>67</v>
      </c>
      <c r="K781" s="1" t="s">
        <v>105</v>
      </c>
      <c r="L781" s="3" t="s">
        <v>79</v>
      </c>
      <c r="M781" s="3">
        <v>45669</v>
      </c>
      <c r="N781">
        <f>_xlfn.XLOOKUP(Data[[#This Row],[Status]],Compliance_Status[Status from OPMS],Compliance_Status[Status_Key],"")</f>
        <v>4</v>
      </c>
      <c r="O781">
        <f>_xlfn.XLOOKUP(Data[[#This Row],[Status]],Compliance_Status[Status from OPMS],Compliance_Status[Has Course booking],"")</f>
        <v>0</v>
      </c>
      <c r="P781" t="str">
        <f>_xlfn.XLOOKUP(Data[[#This Row],[StatusKey]],Status_Key[Status_Key],Status_Key[Name],"")</f>
        <v>In Date</v>
      </c>
    </row>
    <row r="782" spans="1:16" x14ac:dyDescent="0.25">
      <c r="A782" s="1">
        <v>167</v>
      </c>
      <c r="B782" s="1" t="s">
        <v>210</v>
      </c>
      <c r="C782" s="1" t="s">
        <v>211</v>
      </c>
      <c r="D782" s="1" t="s">
        <v>212</v>
      </c>
      <c r="E782" s="1" t="s">
        <v>111</v>
      </c>
      <c r="F782" s="1" t="s">
        <v>65</v>
      </c>
      <c r="G782" s="1" t="s">
        <v>16</v>
      </c>
      <c r="H782" s="1" t="s">
        <v>155</v>
      </c>
      <c r="I782" s="1" t="s">
        <v>60</v>
      </c>
      <c r="J782" s="1" t="s">
        <v>67</v>
      </c>
      <c r="K782" s="1" t="s">
        <v>105</v>
      </c>
      <c r="L782" s="3">
        <v>46717</v>
      </c>
      <c r="M782" s="3">
        <v>45987</v>
      </c>
      <c r="N782">
        <f>_xlfn.XLOOKUP(Data[[#This Row],[Status]],Compliance_Status[Status from OPMS],Compliance_Status[Status_Key],"")</f>
        <v>4</v>
      </c>
      <c r="O782">
        <f>_xlfn.XLOOKUP(Data[[#This Row],[Status]],Compliance_Status[Status from OPMS],Compliance_Status[Has Course booking],"")</f>
        <v>0</v>
      </c>
      <c r="P782" t="str">
        <f>_xlfn.XLOOKUP(Data[[#This Row],[StatusKey]],Status_Key[Status_Key],Status_Key[Name],"")</f>
        <v>In Date</v>
      </c>
    </row>
    <row r="783" spans="1:16" x14ac:dyDescent="0.25">
      <c r="A783" s="1">
        <v>167</v>
      </c>
      <c r="B783" s="1" t="s">
        <v>210</v>
      </c>
      <c r="C783" s="1" t="s">
        <v>211</v>
      </c>
      <c r="D783" s="1" t="s">
        <v>212</v>
      </c>
      <c r="E783" s="1" t="s">
        <v>112</v>
      </c>
      <c r="F783" s="1" t="s">
        <v>65</v>
      </c>
      <c r="G783" s="1" t="s">
        <v>16</v>
      </c>
      <c r="H783" s="1" t="s">
        <v>155</v>
      </c>
      <c r="I783" s="1" t="s">
        <v>60</v>
      </c>
      <c r="J783" s="1" t="s">
        <v>67</v>
      </c>
      <c r="K783" s="1" t="s">
        <v>105</v>
      </c>
      <c r="L783" s="3">
        <v>46769</v>
      </c>
      <c r="M783" s="3">
        <v>46039</v>
      </c>
      <c r="N783">
        <f>_xlfn.XLOOKUP(Data[[#This Row],[Status]],Compliance_Status[Status from OPMS],Compliance_Status[Status_Key],"")</f>
        <v>4</v>
      </c>
      <c r="O783">
        <f>_xlfn.XLOOKUP(Data[[#This Row],[Status]],Compliance_Status[Status from OPMS],Compliance_Status[Has Course booking],"")</f>
        <v>0</v>
      </c>
      <c r="P783" t="str">
        <f>_xlfn.XLOOKUP(Data[[#This Row],[StatusKey]],Status_Key[Status_Key],Status_Key[Name],"")</f>
        <v>In Date</v>
      </c>
    </row>
    <row r="784" spans="1:16" x14ac:dyDescent="0.25">
      <c r="A784" s="1">
        <v>167</v>
      </c>
      <c r="B784" s="1" t="s">
        <v>210</v>
      </c>
      <c r="C784" s="1" t="s">
        <v>211</v>
      </c>
      <c r="D784" s="1" t="s">
        <v>212</v>
      </c>
      <c r="E784" s="1" t="s">
        <v>113</v>
      </c>
      <c r="F784" s="1" t="s">
        <v>65</v>
      </c>
      <c r="G784" s="1" t="s">
        <v>16</v>
      </c>
      <c r="H784" s="1" t="s">
        <v>155</v>
      </c>
      <c r="I784" s="1" t="s">
        <v>60</v>
      </c>
      <c r="J784" s="1" t="s">
        <v>67</v>
      </c>
      <c r="K784" s="1" t="s">
        <v>105</v>
      </c>
      <c r="L784" s="3">
        <v>46769</v>
      </c>
      <c r="M784" s="3">
        <v>46039</v>
      </c>
      <c r="N784">
        <f>_xlfn.XLOOKUP(Data[[#This Row],[Status]],Compliance_Status[Status from OPMS],Compliance_Status[Status_Key],"")</f>
        <v>4</v>
      </c>
      <c r="O784">
        <f>_xlfn.XLOOKUP(Data[[#This Row],[Status]],Compliance_Status[Status from OPMS],Compliance_Status[Has Course booking],"")</f>
        <v>0</v>
      </c>
      <c r="P784" t="str">
        <f>_xlfn.XLOOKUP(Data[[#This Row],[StatusKey]],Status_Key[Status_Key],Status_Key[Name],"")</f>
        <v>In Date</v>
      </c>
    </row>
    <row r="785" spans="1:16" x14ac:dyDescent="0.25">
      <c r="A785" s="1">
        <v>168</v>
      </c>
      <c r="B785" s="1" t="s">
        <v>213</v>
      </c>
      <c r="C785" s="1" t="s">
        <v>214</v>
      </c>
      <c r="D785" s="1" t="s">
        <v>215</v>
      </c>
      <c r="E785" s="1" t="s">
        <v>154</v>
      </c>
      <c r="F785" s="1" t="s">
        <v>65</v>
      </c>
      <c r="G785" s="1" t="s">
        <v>16</v>
      </c>
      <c r="H785" s="1" t="s">
        <v>155</v>
      </c>
      <c r="I785" s="1" t="s">
        <v>60</v>
      </c>
      <c r="J785" s="1" t="s">
        <v>67</v>
      </c>
      <c r="K785" s="1" t="s">
        <v>68</v>
      </c>
      <c r="L785" s="3">
        <v>46609</v>
      </c>
      <c r="M785" s="3">
        <v>44784</v>
      </c>
      <c r="N785">
        <f>_xlfn.XLOOKUP(Data[[#This Row],[Status]],Compliance_Status[Status from OPMS],Compliance_Status[Status_Key],"")</f>
        <v>4</v>
      </c>
      <c r="O785">
        <f>_xlfn.XLOOKUP(Data[[#This Row],[Status]],Compliance_Status[Status from OPMS],Compliance_Status[Has Course booking],"")</f>
        <v>0</v>
      </c>
      <c r="P785" t="str">
        <f>_xlfn.XLOOKUP(Data[[#This Row],[StatusKey]],Status_Key[Status_Key],Status_Key[Name],"")</f>
        <v>In Date</v>
      </c>
    </row>
    <row r="786" spans="1:16" x14ac:dyDescent="0.25">
      <c r="A786" s="1">
        <v>168</v>
      </c>
      <c r="B786" s="1" t="s">
        <v>213</v>
      </c>
      <c r="C786" s="1" t="s">
        <v>214</v>
      </c>
      <c r="D786" s="1" t="s">
        <v>215</v>
      </c>
      <c r="E786" s="1" t="s">
        <v>131</v>
      </c>
      <c r="F786" s="1" t="s">
        <v>65</v>
      </c>
      <c r="G786" s="1" t="s">
        <v>16</v>
      </c>
      <c r="H786" s="1" t="s">
        <v>155</v>
      </c>
      <c r="I786" s="1" t="s">
        <v>60</v>
      </c>
      <c r="J786" s="1" t="s">
        <v>67</v>
      </c>
      <c r="K786" s="1" t="s">
        <v>68</v>
      </c>
      <c r="L786" s="3">
        <v>47268</v>
      </c>
      <c r="M786" s="3">
        <v>45443</v>
      </c>
      <c r="N786">
        <f>_xlfn.XLOOKUP(Data[[#This Row],[Status]],Compliance_Status[Status from OPMS],Compliance_Status[Status_Key],"")</f>
        <v>4</v>
      </c>
      <c r="O786">
        <f>_xlfn.XLOOKUP(Data[[#This Row],[Status]],Compliance_Status[Status from OPMS],Compliance_Status[Has Course booking],"")</f>
        <v>0</v>
      </c>
      <c r="P786" t="str">
        <f>_xlfn.XLOOKUP(Data[[#This Row],[StatusKey]],Status_Key[Status_Key],Status_Key[Name],"")</f>
        <v>In Date</v>
      </c>
    </row>
    <row r="787" spans="1:16" x14ac:dyDescent="0.25">
      <c r="A787" s="1">
        <v>168</v>
      </c>
      <c r="B787" s="1" t="s">
        <v>213</v>
      </c>
      <c r="C787" s="1" t="s">
        <v>214</v>
      </c>
      <c r="D787" s="1" t="s">
        <v>215</v>
      </c>
      <c r="E787" s="1" t="s">
        <v>71</v>
      </c>
      <c r="F787" s="1" t="s">
        <v>72</v>
      </c>
      <c r="G787" s="1" t="s">
        <v>18</v>
      </c>
      <c r="H787" s="1" t="s">
        <v>155</v>
      </c>
      <c r="I787" s="1" t="s">
        <v>60</v>
      </c>
      <c r="J787" s="1"/>
      <c r="K787" s="1" t="s">
        <v>68</v>
      </c>
      <c r="L787" s="3"/>
      <c r="M787" s="3"/>
      <c r="N787">
        <f>_xlfn.XLOOKUP(Data[[#This Row],[Status]],Compliance_Status[Status from OPMS],Compliance_Status[Status_Key],"")</f>
        <v>2</v>
      </c>
      <c r="O787">
        <f>_xlfn.XLOOKUP(Data[[#This Row],[Status]],Compliance_Status[Status from OPMS],Compliance_Status[Has Course booking],"")</f>
        <v>0</v>
      </c>
      <c r="P787" t="str">
        <f>_xlfn.XLOOKUP(Data[[#This Row],[StatusKey]],Status_Key[Status_Key],Status_Key[Name],"")</f>
        <v>Outstanding</v>
      </c>
    </row>
    <row r="788" spans="1:16" x14ac:dyDescent="0.25">
      <c r="A788" s="1">
        <v>168</v>
      </c>
      <c r="B788" s="1" t="s">
        <v>213</v>
      </c>
      <c r="C788" s="1" t="s">
        <v>214</v>
      </c>
      <c r="D788" s="1" t="s">
        <v>215</v>
      </c>
      <c r="E788" s="1" t="s">
        <v>73</v>
      </c>
      <c r="F788" s="1" t="s">
        <v>65</v>
      </c>
      <c r="G788" s="1" t="s">
        <v>16</v>
      </c>
      <c r="H788" s="1" t="s">
        <v>155</v>
      </c>
      <c r="I788" s="1" t="s">
        <v>60</v>
      </c>
      <c r="J788" s="1" t="s">
        <v>67</v>
      </c>
      <c r="K788" s="1" t="s">
        <v>68</v>
      </c>
      <c r="L788" s="3">
        <v>46640</v>
      </c>
      <c r="M788" s="3">
        <v>45910</v>
      </c>
      <c r="N788">
        <f>_xlfn.XLOOKUP(Data[[#This Row],[Status]],Compliance_Status[Status from OPMS],Compliance_Status[Status_Key],"")</f>
        <v>4</v>
      </c>
      <c r="O788">
        <f>_xlfn.XLOOKUP(Data[[#This Row],[Status]],Compliance_Status[Status from OPMS],Compliance_Status[Has Course booking],"")</f>
        <v>0</v>
      </c>
      <c r="P788" t="str">
        <f>_xlfn.XLOOKUP(Data[[#This Row],[StatusKey]],Status_Key[Status_Key],Status_Key[Name],"")</f>
        <v>In Date</v>
      </c>
    </row>
    <row r="789" spans="1:16" x14ac:dyDescent="0.25">
      <c r="A789" s="1">
        <v>168</v>
      </c>
      <c r="B789" s="1" t="s">
        <v>213</v>
      </c>
      <c r="C789" s="1" t="s">
        <v>214</v>
      </c>
      <c r="D789" s="1" t="s">
        <v>215</v>
      </c>
      <c r="E789" s="1" t="s">
        <v>74</v>
      </c>
      <c r="F789" s="1" t="s">
        <v>65</v>
      </c>
      <c r="G789" s="1" t="s">
        <v>16</v>
      </c>
      <c r="H789" s="1" t="s">
        <v>155</v>
      </c>
      <c r="I789" s="1" t="s">
        <v>60</v>
      </c>
      <c r="J789" s="1" t="s">
        <v>67</v>
      </c>
      <c r="K789" s="1" t="s">
        <v>68</v>
      </c>
      <c r="L789" s="3">
        <v>46770</v>
      </c>
      <c r="M789" s="3">
        <v>45675</v>
      </c>
      <c r="N789">
        <f>_xlfn.XLOOKUP(Data[[#This Row],[Status]],Compliance_Status[Status from OPMS],Compliance_Status[Status_Key],"")</f>
        <v>4</v>
      </c>
      <c r="O789">
        <f>_xlfn.XLOOKUP(Data[[#This Row],[Status]],Compliance_Status[Status from OPMS],Compliance_Status[Has Course booking],"")</f>
        <v>0</v>
      </c>
      <c r="P789" t="str">
        <f>_xlfn.XLOOKUP(Data[[#This Row],[StatusKey]],Status_Key[Status_Key],Status_Key[Name],"")</f>
        <v>In Date</v>
      </c>
    </row>
    <row r="790" spans="1:16" x14ac:dyDescent="0.25">
      <c r="A790" s="1">
        <v>168</v>
      </c>
      <c r="B790" s="1" t="s">
        <v>213</v>
      </c>
      <c r="C790" s="1" t="s">
        <v>214</v>
      </c>
      <c r="D790" s="1" t="s">
        <v>215</v>
      </c>
      <c r="E790" s="1" t="s">
        <v>75</v>
      </c>
      <c r="F790" s="1" t="s">
        <v>72</v>
      </c>
      <c r="G790" s="1" t="s">
        <v>18</v>
      </c>
      <c r="H790" s="1" t="s">
        <v>155</v>
      </c>
      <c r="I790" s="1" t="s">
        <v>60</v>
      </c>
      <c r="J790" s="1"/>
      <c r="K790" s="1" t="s">
        <v>68</v>
      </c>
      <c r="L790" s="3"/>
      <c r="M790" s="3"/>
      <c r="N790">
        <f>_xlfn.XLOOKUP(Data[[#This Row],[Status]],Compliance_Status[Status from OPMS],Compliance_Status[Status_Key],"")</f>
        <v>2</v>
      </c>
      <c r="O790">
        <f>_xlfn.XLOOKUP(Data[[#This Row],[Status]],Compliance_Status[Status from OPMS],Compliance_Status[Has Course booking],"")</f>
        <v>0</v>
      </c>
      <c r="P790" t="str">
        <f>_xlfn.XLOOKUP(Data[[#This Row],[StatusKey]],Status_Key[Status_Key],Status_Key[Name],"")</f>
        <v>Outstanding</v>
      </c>
    </row>
    <row r="791" spans="1:16" x14ac:dyDescent="0.25">
      <c r="A791" s="1">
        <v>168</v>
      </c>
      <c r="B791" s="1" t="s">
        <v>213</v>
      </c>
      <c r="C791" s="1" t="s">
        <v>214</v>
      </c>
      <c r="D791" s="1" t="s">
        <v>215</v>
      </c>
      <c r="E791" s="1" t="s">
        <v>76</v>
      </c>
      <c r="F791" s="1" t="s">
        <v>65</v>
      </c>
      <c r="G791" s="1" t="s">
        <v>16</v>
      </c>
      <c r="H791" s="1" t="s">
        <v>155</v>
      </c>
      <c r="I791" s="1" t="s">
        <v>60</v>
      </c>
      <c r="J791" s="1" t="s">
        <v>67</v>
      </c>
      <c r="K791" s="1" t="s">
        <v>77</v>
      </c>
      <c r="L791" s="3">
        <v>47330</v>
      </c>
      <c r="M791" s="3">
        <v>45869</v>
      </c>
      <c r="N791">
        <f>_xlfn.XLOOKUP(Data[[#This Row],[Status]],Compliance_Status[Status from OPMS],Compliance_Status[Status_Key],"")</f>
        <v>4</v>
      </c>
      <c r="O791">
        <f>_xlfn.XLOOKUP(Data[[#This Row],[Status]],Compliance_Status[Status from OPMS],Compliance_Status[Has Course booking],"")</f>
        <v>0</v>
      </c>
      <c r="P791" t="str">
        <f>_xlfn.XLOOKUP(Data[[#This Row],[StatusKey]],Status_Key[Status_Key],Status_Key[Name],"")</f>
        <v>In Date</v>
      </c>
    </row>
    <row r="792" spans="1:16" x14ac:dyDescent="0.25">
      <c r="A792" s="1">
        <v>168</v>
      </c>
      <c r="B792" s="1" t="s">
        <v>213</v>
      </c>
      <c r="C792" s="1" t="s">
        <v>214</v>
      </c>
      <c r="D792" s="1" t="s">
        <v>215</v>
      </c>
      <c r="E792" s="1" t="s">
        <v>80</v>
      </c>
      <c r="F792" s="1" t="s">
        <v>65</v>
      </c>
      <c r="G792" s="1" t="s">
        <v>16</v>
      </c>
      <c r="H792" s="1" t="s">
        <v>155</v>
      </c>
      <c r="I792" s="1" t="s">
        <v>60</v>
      </c>
      <c r="J792" s="1" t="s">
        <v>67</v>
      </c>
      <c r="K792" s="1" t="s">
        <v>77</v>
      </c>
      <c r="L792" s="3" t="s">
        <v>79</v>
      </c>
      <c r="M792" s="3">
        <v>45764</v>
      </c>
      <c r="N792">
        <f>_xlfn.XLOOKUP(Data[[#This Row],[Status]],Compliance_Status[Status from OPMS],Compliance_Status[Status_Key],"")</f>
        <v>4</v>
      </c>
      <c r="O792">
        <f>_xlfn.XLOOKUP(Data[[#This Row],[Status]],Compliance_Status[Status from OPMS],Compliance_Status[Has Course booking],"")</f>
        <v>0</v>
      </c>
      <c r="P792" t="str">
        <f>_xlfn.XLOOKUP(Data[[#This Row],[StatusKey]],Status_Key[Status_Key],Status_Key[Name],"")</f>
        <v>In Date</v>
      </c>
    </row>
    <row r="793" spans="1:16" x14ac:dyDescent="0.25">
      <c r="A793" s="1">
        <v>168</v>
      </c>
      <c r="B793" s="1" t="s">
        <v>213</v>
      </c>
      <c r="C793" s="1" t="s">
        <v>214</v>
      </c>
      <c r="D793" s="1" t="s">
        <v>215</v>
      </c>
      <c r="E793" s="1" t="s">
        <v>84</v>
      </c>
      <c r="F793" s="1" t="s">
        <v>65</v>
      </c>
      <c r="G793" s="1" t="s">
        <v>16</v>
      </c>
      <c r="H793" s="1" t="s">
        <v>155</v>
      </c>
      <c r="I793" s="1" t="s">
        <v>60</v>
      </c>
      <c r="J793" s="1" t="s">
        <v>67</v>
      </c>
      <c r="K793" s="1" t="s">
        <v>83</v>
      </c>
      <c r="L793" s="3">
        <v>46717</v>
      </c>
      <c r="M793" s="3">
        <v>45987</v>
      </c>
      <c r="N793">
        <f>_xlfn.XLOOKUP(Data[[#This Row],[Status]],Compliance_Status[Status from OPMS],Compliance_Status[Status_Key],"")</f>
        <v>4</v>
      </c>
      <c r="O793">
        <f>_xlfn.XLOOKUP(Data[[#This Row],[Status]],Compliance_Status[Status from OPMS],Compliance_Status[Has Course booking],"")</f>
        <v>0</v>
      </c>
      <c r="P793" t="str">
        <f>_xlfn.XLOOKUP(Data[[#This Row],[StatusKey]],Status_Key[Status_Key],Status_Key[Name],"")</f>
        <v>In Date</v>
      </c>
    </row>
    <row r="794" spans="1:16" x14ac:dyDescent="0.25">
      <c r="A794" s="1">
        <v>168</v>
      </c>
      <c r="B794" s="1" t="s">
        <v>213</v>
      </c>
      <c r="C794" s="1" t="s">
        <v>214</v>
      </c>
      <c r="D794" s="1" t="s">
        <v>215</v>
      </c>
      <c r="E794" s="1" t="s">
        <v>93</v>
      </c>
      <c r="F794" s="1" t="s">
        <v>65</v>
      </c>
      <c r="G794" s="1" t="s">
        <v>16</v>
      </c>
      <c r="H794" s="1" t="s">
        <v>155</v>
      </c>
      <c r="I794" s="1" t="s">
        <v>60</v>
      </c>
      <c r="J794" s="1" t="s">
        <v>67</v>
      </c>
      <c r="K794" s="1" t="s">
        <v>94</v>
      </c>
      <c r="L794" s="3">
        <v>46643</v>
      </c>
      <c r="M794" s="3">
        <v>45913</v>
      </c>
      <c r="N794">
        <f>_xlfn.XLOOKUP(Data[[#This Row],[Status]],Compliance_Status[Status from OPMS],Compliance_Status[Status_Key],"")</f>
        <v>4</v>
      </c>
      <c r="O794">
        <f>_xlfn.XLOOKUP(Data[[#This Row],[Status]],Compliance_Status[Status from OPMS],Compliance_Status[Has Course booking],"")</f>
        <v>0</v>
      </c>
      <c r="P794" t="str">
        <f>_xlfn.XLOOKUP(Data[[#This Row],[StatusKey]],Status_Key[Status_Key],Status_Key[Name],"")</f>
        <v>In Date</v>
      </c>
    </row>
    <row r="795" spans="1:16" x14ac:dyDescent="0.25">
      <c r="A795" s="1">
        <v>168</v>
      </c>
      <c r="B795" s="1" t="s">
        <v>213</v>
      </c>
      <c r="C795" s="1" t="s">
        <v>214</v>
      </c>
      <c r="D795" s="1" t="s">
        <v>215</v>
      </c>
      <c r="E795" s="1" t="s">
        <v>95</v>
      </c>
      <c r="F795" s="1" t="s">
        <v>65</v>
      </c>
      <c r="G795" s="1" t="s">
        <v>16</v>
      </c>
      <c r="H795" s="1" t="s">
        <v>155</v>
      </c>
      <c r="I795" s="1" t="s">
        <v>60</v>
      </c>
      <c r="J795" s="1" t="s">
        <v>67</v>
      </c>
      <c r="K795" s="1" t="s">
        <v>94</v>
      </c>
      <c r="L795" s="3">
        <v>46643</v>
      </c>
      <c r="M795" s="3">
        <v>45913</v>
      </c>
      <c r="N795">
        <f>_xlfn.XLOOKUP(Data[[#This Row],[Status]],Compliance_Status[Status from OPMS],Compliance_Status[Status_Key],"")</f>
        <v>4</v>
      </c>
      <c r="O795">
        <f>_xlfn.XLOOKUP(Data[[#This Row],[Status]],Compliance_Status[Status from OPMS],Compliance_Status[Has Course booking],"")</f>
        <v>0</v>
      </c>
      <c r="P795" t="str">
        <f>_xlfn.XLOOKUP(Data[[#This Row],[StatusKey]],Status_Key[Status_Key],Status_Key[Name],"")</f>
        <v>In Date</v>
      </c>
    </row>
    <row r="796" spans="1:16" x14ac:dyDescent="0.25">
      <c r="A796" s="1">
        <v>168</v>
      </c>
      <c r="B796" s="1" t="s">
        <v>213</v>
      </c>
      <c r="C796" s="1" t="s">
        <v>214</v>
      </c>
      <c r="D796" s="1" t="s">
        <v>215</v>
      </c>
      <c r="E796" s="1" t="s">
        <v>156</v>
      </c>
      <c r="F796" s="1" t="s">
        <v>65</v>
      </c>
      <c r="G796" s="1" t="s">
        <v>16</v>
      </c>
      <c r="H796" s="1" t="s">
        <v>155</v>
      </c>
      <c r="I796" s="1" t="s">
        <v>60</v>
      </c>
      <c r="J796" s="1" t="s">
        <v>67</v>
      </c>
      <c r="K796" s="1" t="s">
        <v>125</v>
      </c>
      <c r="L796" s="3">
        <v>46819</v>
      </c>
      <c r="M796" s="3">
        <v>46063</v>
      </c>
      <c r="N796">
        <f>_xlfn.XLOOKUP(Data[[#This Row],[Status]],Compliance_Status[Status from OPMS],Compliance_Status[Status_Key],"")</f>
        <v>4</v>
      </c>
      <c r="O796">
        <f>_xlfn.XLOOKUP(Data[[#This Row],[Status]],Compliance_Status[Status from OPMS],Compliance_Status[Has Course booking],"")</f>
        <v>0</v>
      </c>
      <c r="P796" t="str">
        <f>_xlfn.XLOOKUP(Data[[#This Row],[StatusKey]],Status_Key[Status_Key],Status_Key[Name],"")</f>
        <v>In Date</v>
      </c>
    </row>
    <row r="797" spans="1:16" x14ac:dyDescent="0.25">
      <c r="A797" s="1">
        <v>168</v>
      </c>
      <c r="B797" s="1" t="s">
        <v>213</v>
      </c>
      <c r="C797" s="1" t="s">
        <v>214</v>
      </c>
      <c r="D797" s="1" t="s">
        <v>215</v>
      </c>
      <c r="E797" s="1" t="s">
        <v>124</v>
      </c>
      <c r="F797" s="1" t="s">
        <v>72</v>
      </c>
      <c r="G797" s="1" t="s">
        <v>18</v>
      </c>
      <c r="H797" s="1" t="s">
        <v>155</v>
      </c>
      <c r="I797" s="1" t="s">
        <v>60</v>
      </c>
      <c r="J797" s="1"/>
      <c r="K797" s="1" t="s">
        <v>125</v>
      </c>
      <c r="L797" s="3"/>
      <c r="M797" s="3"/>
      <c r="N797">
        <f>_xlfn.XLOOKUP(Data[[#This Row],[Status]],Compliance_Status[Status from OPMS],Compliance_Status[Status_Key],"")</f>
        <v>2</v>
      </c>
      <c r="O797">
        <f>_xlfn.XLOOKUP(Data[[#This Row],[Status]],Compliance_Status[Status from OPMS],Compliance_Status[Has Course booking],"")</f>
        <v>0</v>
      </c>
      <c r="P797" t="str">
        <f>_xlfn.XLOOKUP(Data[[#This Row],[StatusKey]],Status_Key[Status_Key],Status_Key[Name],"")</f>
        <v>Outstanding</v>
      </c>
    </row>
    <row r="798" spans="1:16" x14ac:dyDescent="0.25">
      <c r="A798" s="1">
        <v>168</v>
      </c>
      <c r="B798" s="1" t="s">
        <v>213</v>
      </c>
      <c r="C798" s="1" t="s">
        <v>214</v>
      </c>
      <c r="D798" s="1" t="s">
        <v>215</v>
      </c>
      <c r="E798" s="1" t="s">
        <v>97</v>
      </c>
      <c r="F798" s="1" t="s">
        <v>65</v>
      </c>
      <c r="G798" s="1" t="s">
        <v>16</v>
      </c>
      <c r="H798" s="1" t="s">
        <v>155</v>
      </c>
      <c r="I798" s="1" t="s">
        <v>60</v>
      </c>
      <c r="J798" s="1" t="s">
        <v>67</v>
      </c>
      <c r="K798" s="1" t="s">
        <v>98</v>
      </c>
      <c r="L798" s="3">
        <v>47285</v>
      </c>
      <c r="M798" s="3">
        <v>45459</v>
      </c>
      <c r="N798">
        <f>_xlfn.XLOOKUP(Data[[#This Row],[Status]],Compliance_Status[Status from OPMS],Compliance_Status[Status_Key],"")</f>
        <v>4</v>
      </c>
      <c r="O798">
        <f>_xlfn.XLOOKUP(Data[[#This Row],[Status]],Compliance_Status[Status from OPMS],Compliance_Status[Has Course booking],"")</f>
        <v>0</v>
      </c>
      <c r="P798" t="str">
        <f>_xlfn.XLOOKUP(Data[[#This Row],[StatusKey]],Status_Key[Status_Key],Status_Key[Name],"")</f>
        <v>In Date</v>
      </c>
    </row>
    <row r="799" spans="1:16" x14ac:dyDescent="0.25">
      <c r="A799" s="1">
        <v>168</v>
      </c>
      <c r="B799" s="1" t="s">
        <v>213</v>
      </c>
      <c r="C799" s="1" t="s">
        <v>214</v>
      </c>
      <c r="D799" s="1" t="s">
        <v>215</v>
      </c>
      <c r="E799" s="1" t="s">
        <v>100</v>
      </c>
      <c r="F799" s="1" t="s">
        <v>65</v>
      </c>
      <c r="G799" s="1" t="s">
        <v>18</v>
      </c>
      <c r="H799" s="1" t="s">
        <v>155</v>
      </c>
      <c r="I799" s="1" t="s">
        <v>60</v>
      </c>
      <c r="J799" s="1"/>
      <c r="K799" s="1" t="s">
        <v>98</v>
      </c>
      <c r="L799" s="3"/>
      <c r="M799" s="3"/>
      <c r="N799">
        <f>_xlfn.XLOOKUP(Data[[#This Row],[Status]],Compliance_Status[Status from OPMS],Compliance_Status[Status_Key],"")</f>
        <v>2</v>
      </c>
      <c r="O799">
        <f>_xlfn.XLOOKUP(Data[[#This Row],[Status]],Compliance_Status[Status from OPMS],Compliance_Status[Has Course booking],"")</f>
        <v>0</v>
      </c>
      <c r="P799" t="str">
        <f>_xlfn.XLOOKUP(Data[[#This Row],[StatusKey]],Status_Key[Status_Key],Status_Key[Name],"")</f>
        <v>Outstanding</v>
      </c>
    </row>
    <row r="800" spans="1:16" x14ac:dyDescent="0.25">
      <c r="A800" s="1">
        <v>168</v>
      </c>
      <c r="B800" s="1" t="s">
        <v>213</v>
      </c>
      <c r="C800" s="1" t="s">
        <v>214</v>
      </c>
      <c r="D800" s="1" t="s">
        <v>215</v>
      </c>
      <c r="E800" s="1" t="s">
        <v>101</v>
      </c>
      <c r="F800" s="1" t="s">
        <v>65</v>
      </c>
      <c r="G800" s="1" t="s">
        <v>16</v>
      </c>
      <c r="H800" s="1" t="s">
        <v>155</v>
      </c>
      <c r="I800" s="1" t="s">
        <v>60</v>
      </c>
      <c r="J800" s="1" t="s">
        <v>67</v>
      </c>
      <c r="K800" s="1" t="s">
        <v>102</v>
      </c>
      <c r="L800" s="3" t="s">
        <v>79</v>
      </c>
      <c r="M800" s="3">
        <v>45480</v>
      </c>
      <c r="N800">
        <f>_xlfn.XLOOKUP(Data[[#This Row],[Status]],Compliance_Status[Status from OPMS],Compliance_Status[Status_Key],"")</f>
        <v>4</v>
      </c>
      <c r="O800">
        <f>_xlfn.XLOOKUP(Data[[#This Row],[Status]],Compliance_Status[Status from OPMS],Compliance_Status[Has Course booking],"")</f>
        <v>0</v>
      </c>
      <c r="P800" t="str">
        <f>_xlfn.XLOOKUP(Data[[#This Row],[StatusKey]],Status_Key[Status_Key],Status_Key[Name],"")</f>
        <v>In Date</v>
      </c>
    </row>
    <row r="801" spans="1:16" x14ac:dyDescent="0.25">
      <c r="A801" s="1">
        <v>168</v>
      </c>
      <c r="B801" s="1" t="s">
        <v>213</v>
      </c>
      <c r="C801" s="1" t="s">
        <v>214</v>
      </c>
      <c r="D801" s="1" t="s">
        <v>215</v>
      </c>
      <c r="E801" s="1" t="s">
        <v>103</v>
      </c>
      <c r="F801" s="1" t="s">
        <v>65</v>
      </c>
      <c r="G801" s="1" t="s">
        <v>16</v>
      </c>
      <c r="H801" s="1" t="s">
        <v>155</v>
      </c>
      <c r="I801" s="1" t="s">
        <v>60</v>
      </c>
      <c r="J801" s="1" t="s">
        <v>67</v>
      </c>
      <c r="K801" s="1" t="s">
        <v>102</v>
      </c>
      <c r="L801" s="3">
        <v>46458</v>
      </c>
      <c r="M801" s="3">
        <v>45728</v>
      </c>
      <c r="N801">
        <f>_xlfn.XLOOKUP(Data[[#This Row],[Status]],Compliance_Status[Status from OPMS],Compliance_Status[Status_Key],"")</f>
        <v>4</v>
      </c>
      <c r="O801">
        <f>_xlfn.XLOOKUP(Data[[#This Row],[Status]],Compliance_Status[Status from OPMS],Compliance_Status[Has Course booking],"")</f>
        <v>0</v>
      </c>
      <c r="P801" t="str">
        <f>_xlfn.XLOOKUP(Data[[#This Row],[StatusKey]],Status_Key[Status_Key],Status_Key[Name],"")</f>
        <v>In Date</v>
      </c>
    </row>
    <row r="802" spans="1:16" x14ac:dyDescent="0.25">
      <c r="A802" s="1">
        <v>168</v>
      </c>
      <c r="B802" s="1" t="s">
        <v>213</v>
      </c>
      <c r="C802" s="1" t="s">
        <v>214</v>
      </c>
      <c r="D802" s="1" t="s">
        <v>215</v>
      </c>
      <c r="E802" s="1" t="s">
        <v>104</v>
      </c>
      <c r="F802" s="1" t="s">
        <v>65</v>
      </c>
      <c r="G802" s="1" t="s">
        <v>16</v>
      </c>
      <c r="H802" s="1" t="s">
        <v>155</v>
      </c>
      <c r="I802" s="1" t="s">
        <v>60</v>
      </c>
      <c r="J802" s="1" t="s">
        <v>67</v>
      </c>
      <c r="K802" s="1" t="s">
        <v>105</v>
      </c>
      <c r="L802" s="3">
        <v>46770</v>
      </c>
      <c r="M802" s="3">
        <v>46040</v>
      </c>
      <c r="N802">
        <f>_xlfn.XLOOKUP(Data[[#This Row],[Status]],Compliance_Status[Status from OPMS],Compliance_Status[Status_Key],"")</f>
        <v>4</v>
      </c>
      <c r="O802">
        <f>_xlfn.XLOOKUP(Data[[#This Row],[Status]],Compliance_Status[Status from OPMS],Compliance_Status[Has Course booking],"")</f>
        <v>0</v>
      </c>
      <c r="P802" t="str">
        <f>_xlfn.XLOOKUP(Data[[#This Row],[StatusKey]],Status_Key[Status_Key],Status_Key[Name],"")</f>
        <v>In Date</v>
      </c>
    </row>
    <row r="803" spans="1:16" x14ac:dyDescent="0.25">
      <c r="A803" s="1">
        <v>168</v>
      </c>
      <c r="B803" s="1" t="s">
        <v>213</v>
      </c>
      <c r="C803" s="1" t="s">
        <v>214</v>
      </c>
      <c r="D803" s="1" t="s">
        <v>215</v>
      </c>
      <c r="E803" s="1" t="s">
        <v>106</v>
      </c>
      <c r="F803" s="1" t="s">
        <v>65</v>
      </c>
      <c r="G803" s="1" t="s">
        <v>16</v>
      </c>
      <c r="H803" s="1" t="s">
        <v>155</v>
      </c>
      <c r="I803" s="1" t="s">
        <v>60</v>
      </c>
      <c r="J803" s="1" t="s">
        <v>67</v>
      </c>
      <c r="K803" s="1" t="s">
        <v>105</v>
      </c>
      <c r="L803" s="3">
        <v>47284</v>
      </c>
      <c r="M803" s="3">
        <v>45458</v>
      </c>
      <c r="N803">
        <f>_xlfn.XLOOKUP(Data[[#This Row],[Status]],Compliance_Status[Status from OPMS],Compliance_Status[Status_Key],"")</f>
        <v>4</v>
      </c>
      <c r="O803">
        <f>_xlfn.XLOOKUP(Data[[#This Row],[Status]],Compliance_Status[Status from OPMS],Compliance_Status[Has Course booking],"")</f>
        <v>0</v>
      </c>
      <c r="P803" t="str">
        <f>_xlfn.XLOOKUP(Data[[#This Row],[StatusKey]],Status_Key[Status_Key],Status_Key[Name],"")</f>
        <v>In Date</v>
      </c>
    </row>
    <row r="804" spans="1:16" x14ac:dyDescent="0.25">
      <c r="A804" s="1">
        <v>168</v>
      </c>
      <c r="B804" s="1" t="s">
        <v>213</v>
      </c>
      <c r="C804" s="1" t="s">
        <v>214</v>
      </c>
      <c r="D804" s="1" t="s">
        <v>215</v>
      </c>
      <c r="E804" s="1" t="s">
        <v>107</v>
      </c>
      <c r="F804" s="1" t="s">
        <v>65</v>
      </c>
      <c r="G804" s="1" t="s">
        <v>16</v>
      </c>
      <c r="H804" s="1" t="s">
        <v>155</v>
      </c>
      <c r="I804" s="1" t="s">
        <v>60</v>
      </c>
      <c r="J804" s="1" t="s">
        <v>67</v>
      </c>
      <c r="K804" s="1" t="s">
        <v>105</v>
      </c>
      <c r="L804" s="3">
        <v>46554</v>
      </c>
      <c r="M804" s="3">
        <v>45459</v>
      </c>
      <c r="N804">
        <f>_xlfn.XLOOKUP(Data[[#This Row],[Status]],Compliance_Status[Status from OPMS],Compliance_Status[Status_Key],"")</f>
        <v>4</v>
      </c>
      <c r="O804">
        <f>_xlfn.XLOOKUP(Data[[#This Row],[Status]],Compliance_Status[Status from OPMS],Compliance_Status[Has Course booking],"")</f>
        <v>0</v>
      </c>
      <c r="P804" t="str">
        <f>_xlfn.XLOOKUP(Data[[#This Row],[StatusKey]],Status_Key[Status_Key],Status_Key[Name],"")</f>
        <v>In Date</v>
      </c>
    </row>
    <row r="805" spans="1:16" x14ac:dyDescent="0.25">
      <c r="A805" s="1">
        <v>168</v>
      </c>
      <c r="B805" s="1" t="s">
        <v>213</v>
      </c>
      <c r="C805" s="1" t="s">
        <v>214</v>
      </c>
      <c r="D805" s="1" t="s">
        <v>215</v>
      </c>
      <c r="E805" s="1" t="s">
        <v>108</v>
      </c>
      <c r="F805" s="1" t="s">
        <v>65</v>
      </c>
      <c r="G805" s="1" t="s">
        <v>16</v>
      </c>
      <c r="H805" s="1" t="s">
        <v>155</v>
      </c>
      <c r="I805" s="1" t="s">
        <v>60</v>
      </c>
      <c r="J805" s="1" t="s">
        <v>67</v>
      </c>
      <c r="K805" s="1" t="s">
        <v>105</v>
      </c>
      <c r="L805" s="3">
        <v>47313</v>
      </c>
      <c r="M805" s="3">
        <v>46216</v>
      </c>
      <c r="N805">
        <f>_xlfn.XLOOKUP(Data[[#This Row],[Status]],Compliance_Status[Status from OPMS],Compliance_Status[Status_Key],"")</f>
        <v>4</v>
      </c>
      <c r="O805">
        <f>_xlfn.XLOOKUP(Data[[#This Row],[Status]],Compliance_Status[Status from OPMS],Compliance_Status[Has Course booking],"")</f>
        <v>0</v>
      </c>
      <c r="P805" t="str">
        <f>_xlfn.XLOOKUP(Data[[#This Row],[StatusKey]],Status_Key[Status_Key],Status_Key[Name],"")</f>
        <v>In Date</v>
      </c>
    </row>
    <row r="806" spans="1:16" x14ac:dyDescent="0.25">
      <c r="A806" s="1">
        <v>168</v>
      </c>
      <c r="B806" s="1" t="s">
        <v>213</v>
      </c>
      <c r="C806" s="1" t="s">
        <v>214</v>
      </c>
      <c r="D806" s="1" t="s">
        <v>215</v>
      </c>
      <c r="E806" s="1" t="s">
        <v>109</v>
      </c>
      <c r="F806" s="1" t="s">
        <v>65</v>
      </c>
      <c r="G806" s="1" t="s">
        <v>16</v>
      </c>
      <c r="H806" s="1" t="s">
        <v>155</v>
      </c>
      <c r="I806" s="1" t="s">
        <v>60</v>
      </c>
      <c r="J806" s="1" t="s">
        <v>67</v>
      </c>
      <c r="K806" s="1" t="s">
        <v>105</v>
      </c>
      <c r="L806" s="3">
        <v>46770</v>
      </c>
      <c r="M806" s="3">
        <v>46040</v>
      </c>
      <c r="N806">
        <f>_xlfn.XLOOKUP(Data[[#This Row],[Status]],Compliance_Status[Status from OPMS],Compliance_Status[Status_Key],"")</f>
        <v>4</v>
      </c>
      <c r="O806">
        <f>_xlfn.XLOOKUP(Data[[#This Row],[Status]],Compliance_Status[Status from OPMS],Compliance_Status[Has Course booking],"")</f>
        <v>0</v>
      </c>
      <c r="P806" t="str">
        <f>_xlfn.XLOOKUP(Data[[#This Row],[StatusKey]],Status_Key[Status_Key],Status_Key[Name],"")</f>
        <v>In Date</v>
      </c>
    </row>
    <row r="807" spans="1:16" x14ac:dyDescent="0.25">
      <c r="A807" s="1">
        <v>168</v>
      </c>
      <c r="B807" s="1" t="s">
        <v>213</v>
      </c>
      <c r="C807" s="1" t="s">
        <v>214</v>
      </c>
      <c r="D807" s="1" t="s">
        <v>215</v>
      </c>
      <c r="E807" s="1" t="s">
        <v>110</v>
      </c>
      <c r="F807" s="1" t="s">
        <v>65</v>
      </c>
      <c r="G807" s="1" t="s">
        <v>16</v>
      </c>
      <c r="H807" s="1" t="s">
        <v>155</v>
      </c>
      <c r="I807" s="1" t="s">
        <v>60</v>
      </c>
      <c r="J807" s="1" t="s">
        <v>67</v>
      </c>
      <c r="K807" s="1" t="s">
        <v>105</v>
      </c>
      <c r="L807" s="3" t="s">
        <v>79</v>
      </c>
      <c r="M807" s="3">
        <v>45459</v>
      </c>
      <c r="N807">
        <f>_xlfn.XLOOKUP(Data[[#This Row],[Status]],Compliance_Status[Status from OPMS],Compliance_Status[Status_Key],"")</f>
        <v>4</v>
      </c>
      <c r="O807">
        <f>_xlfn.XLOOKUP(Data[[#This Row],[Status]],Compliance_Status[Status from OPMS],Compliance_Status[Has Course booking],"")</f>
        <v>0</v>
      </c>
      <c r="P807" t="str">
        <f>_xlfn.XLOOKUP(Data[[#This Row],[StatusKey]],Status_Key[Status_Key],Status_Key[Name],"")</f>
        <v>In Date</v>
      </c>
    </row>
    <row r="808" spans="1:16" x14ac:dyDescent="0.25">
      <c r="A808" s="1">
        <v>168</v>
      </c>
      <c r="B808" s="1" t="s">
        <v>213</v>
      </c>
      <c r="C808" s="1" t="s">
        <v>214</v>
      </c>
      <c r="D808" s="1" t="s">
        <v>215</v>
      </c>
      <c r="E808" s="1" t="s">
        <v>111</v>
      </c>
      <c r="F808" s="1" t="s">
        <v>65</v>
      </c>
      <c r="G808" s="1" t="s">
        <v>16</v>
      </c>
      <c r="H808" s="1" t="s">
        <v>155</v>
      </c>
      <c r="I808" s="1" t="s">
        <v>60</v>
      </c>
      <c r="J808" s="1" t="s">
        <v>67</v>
      </c>
      <c r="K808" s="1" t="s">
        <v>105</v>
      </c>
      <c r="L808" s="3">
        <v>46718</v>
      </c>
      <c r="M808" s="3">
        <v>45988</v>
      </c>
      <c r="N808">
        <f>_xlfn.XLOOKUP(Data[[#This Row],[Status]],Compliance_Status[Status from OPMS],Compliance_Status[Status_Key],"")</f>
        <v>4</v>
      </c>
      <c r="O808">
        <f>_xlfn.XLOOKUP(Data[[#This Row],[Status]],Compliance_Status[Status from OPMS],Compliance_Status[Has Course booking],"")</f>
        <v>0</v>
      </c>
      <c r="P808" t="str">
        <f>_xlfn.XLOOKUP(Data[[#This Row],[StatusKey]],Status_Key[Status_Key],Status_Key[Name],"")</f>
        <v>In Date</v>
      </c>
    </row>
    <row r="809" spans="1:16" x14ac:dyDescent="0.25">
      <c r="A809" s="1">
        <v>168</v>
      </c>
      <c r="B809" s="1" t="s">
        <v>213</v>
      </c>
      <c r="C809" s="1" t="s">
        <v>214</v>
      </c>
      <c r="D809" s="1" t="s">
        <v>215</v>
      </c>
      <c r="E809" s="1" t="s">
        <v>112</v>
      </c>
      <c r="F809" s="1" t="s">
        <v>65</v>
      </c>
      <c r="G809" s="1" t="s">
        <v>16</v>
      </c>
      <c r="H809" s="1" t="s">
        <v>155</v>
      </c>
      <c r="I809" s="1" t="s">
        <v>60</v>
      </c>
      <c r="J809" s="1" t="s">
        <v>67</v>
      </c>
      <c r="K809" s="1" t="s">
        <v>105</v>
      </c>
      <c r="L809" s="3">
        <v>46643</v>
      </c>
      <c r="M809" s="3">
        <v>45913</v>
      </c>
      <c r="N809">
        <f>_xlfn.XLOOKUP(Data[[#This Row],[Status]],Compliance_Status[Status from OPMS],Compliance_Status[Status_Key],"")</f>
        <v>4</v>
      </c>
      <c r="O809">
        <f>_xlfn.XLOOKUP(Data[[#This Row],[Status]],Compliance_Status[Status from OPMS],Compliance_Status[Has Course booking],"")</f>
        <v>0</v>
      </c>
      <c r="P809" t="str">
        <f>_xlfn.XLOOKUP(Data[[#This Row],[StatusKey]],Status_Key[Status_Key],Status_Key[Name],"")</f>
        <v>In Date</v>
      </c>
    </row>
    <row r="810" spans="1:16" x14ac:dyDescent="0.25">
      <c r="A810" s="1">
        <v>168</v>
      </c>
      <c r="B810" s="1" t="s">
        <v>213</v>
      </c>
      <c r="C810" s="1" t="s">
        <v>214</v>
      </c>
      <c r="D810" s="1" t="s">
        <v>215</v>
      </c>
      <c r="E810" s="1" t="s">
        <v>113</v>
      </c>
      <c r="F810" s="1" t="s">
        <v>65</v>
      </c>
      <c r="G810" s="1" t="s">
        <v>16</v>
      </c>
      <c r="H810" s="1" t="s">
        <v>155</v>
      </c>
      <c r="I810" s="1" t="s">
        <v>60</v>
      </c>
      <c r="J810" s="1" t="s">
        <v>67</v>
      </c>
      <c r="K810" s="1" t="s">
        <v>105</v>
      </c>
      <c r="L810" s="3">
        <v>46768</v>
      </c>
      <c r="M810" s="3">
        <v>46038</v>
      </c>
      <c r="N810">
        <f>_xlfn.XLOOKUP(Data[[#This Row],[Status]],Compliance_Status[Status from OPMS],Compliance_Status[Status_Key],"")</f>
        <v>4</v>
      </c>
      <c r="O810">
        <f>_xlfn.XLOOKUP(Data[[#This Row],[Status]],Compliance_Status[Status from OPMS],Compliance_Status[Has Course booking],"")</f>
        <v>0</v>
      </c>
      <c r="P810" t="str">
        <f>_xlfn.XLOOKUP(Data[[#This Row],[StatusKey]],Status_Key[Status_Key],Status_Key[Name],"")</f>
        <v>In Date</v>
      </c>
    </row>
    <row r="811" spans="1:16" x14ac:dyDescent="0.25">
      <c r="A811" s="1">
        <v>243</v>
      </c>
      <c r="B811" s="1" t="s">
        <v>216</v>
      </c>
      <c r="C811" s="1" t="s">
        <v>217</v>
      </c>
      <c r="D811" s="1" t="s">
        <v>218</v>
      </c>
      <c r="E811" s="1" t="s">
        <v>154</v>
      </c>
      <c r="F811" s="1" t="s">
        <v>65</v>
      </c>
      <c r="G811" s="1" t="s">
        <v>16</v>
      </c>
      <c r="H811" s="1" t="s">
        <v>155</v>
      </c>
      <c r="I811" s="1" t="s">
        <v>60</v>
      </c>
      <c r="J811" s="1" t="s">
        <v>67</v>
      </c>
      <c r="K811" s="1" t="s">
        <v>68</v>
      </c>
      <c r="L811" s="3">
        <v>47744</v>
      </c>
      <c r="M811" s="3">
        <v>45919</v>
      </c>
      <c r="N811">
        <f>_xlfn.XLOOKUP(Data[[#This Row],[Status]],Compliance_Status[Status from OPMS],Compliance_Status[Status_Key],"")</f>
        <v>4</v>
      </c>
      <c r="O811">
        <f>_xlfn.XLOOKUP(Data[[#This Row],[Status]],Compliance_Status[Status from OPMS],Compliance_Status[Has Course booking],"")</f>
        <v>0</v>
      </c>
      <c r="P811" t="str">
        <f>_xlfn.XLOOKUP(Data[[#This Row],[StatusKey]],Status_Key[Status_Key],Status_Key[Name],"")</f>
        <v>In Date</v>
      </c>
    </row>
    <row r="812" spans="1:16" x14ac:dyDescent="0.25">
      <c r="A812" s="1">
        <v>243</v>
      </c>
      <c r="B812" s="1" t="s">
        <v>216</v>
      </c>
      <c r="C812" s="1" t="s">
        <v>217</v>
      </c>
      <c r="D812" s="1" t="s">
        <v>218</v>
      </c>
      <c r="E812" s="1" t="s">
        <v>131</v>
      </c>
      <c r="F812" s="1" t="s">
        <v>65</v>
      </c>
      <c r="G812" s="1" t="s">
        <v>16</v>
      </c>
      <c r="H812" s="1" t="s">
        <v>155</v>
      </c>
      <c r="I812" s="1" t="s">
        <v>60</v>
      </c>
      <c r="J812" s="1" t="s">
        <v>67</v>
      </c>
      <c r="K812" s="1" t="s">
        <v>68</v>
      </c>
      <c r="L812" s="3">
        <v>47744</v>
      </c>
      <c r="M812" s="3">
        <v>45919</v>
      </c>
      <c r="N812">
        <f>_xlfn.XLOOKUP(Data[[#This Row],[Status]],Compliance_Status[Status from OPMS],Compliance_Status[Status_Key],"")</f>
        <v>4</v>
      </c>
      <c r="O812">
        <f>_xlfn.XLOOKUP(Data[[#This Row],[Status]],Compliance_Status[Status from OPMS],Compliance_Status[Has Course booking],"")</f>
        <v>0</v>
      </c>
      <c r="P812" t="str">
        <f>_xlfn.XLOOKUP(Data[[#This Row],[StatusKey]],Status_Key[Status_Key],Status_Key[Name],"")</f>
        <v>In Date</v>
      </c>
    </row>
    <row r="813" spans="1:16" x14ac:dyDescent="0.25">
      <c r="A813" s="1">
        <v>243</v>
      </c>
      <c r="B813" s="1" t="s">
        <v>216</v>
      </c>
      <c r="C813" s="1" t="s">
        <v>217</v>
      </c>
      <c r="D813" s="1" t="s">
        <v>218</v>
      </c>
      <c r="E813" s="1" t="s">
        <v>71</v>
      </c>
      <c r="F813" s="1" t="s">
        <v>72</v>
      </c>
      <c r="G813" s="1" t="s">
        <v>18</v>
      </c>
      <c r="H813" s="1" t="s">
        <v>155</v>
      </c>
      <c r="I813" s="1" t="s">
        <v>60</v>
      </c>
      <c r="J813" s="1"/>
      <c r="K813" s="1" t="s">
        <v>68</v>
      </c>
      <c r="L813" s="3"/>
      <c r="M813" s="3"/>
      <c r="N813">
        <f>_xlfn.XLOOKUP(Data[[#This Row],[Status]],Compliance_Status[Status from OPMS],Compliance_Status[Status_Key],"")</f>
        <v>2</v>
      </c>
      <c r="O813">
        <f>_xlfn.XLOOKUP(Data[[#This Row],[Status]],Compliance_Status[Status from OPMS],Compliance_Status[Has Course booking],"")</f>
        <v>0</v>
      </c>
      <c r="P813" t="str">
        <f>_xlfn.XLOOKUP(Data[[#This Row],[StatusKey]],Status_Key[Status_Key],Status_Key[Name],"")</f>
        <v>Outstanding</v>
      </c>
    </row>
    <row r="814" spans="1:16" x14ac:dyDescent="0.25">
      <c r="A814" s="1">
        <v>243</v>
      </c>
      <c r="B814" s="1" t="s">
        <v>216</v>
      </c>
      <c r="C814" s="1" t="s">
        <v>217</v>
      </c>
      <c r="D814" s="1" t="s">
        <v>218</v>
      </c>
      <c r="E814" s="1" t="s">
        <v>73</v>
      </c>
      <c r="F814" s="1" t="s">
        <v>65</v>
      </c>
      <c r="G814" s="1" t="s">
        <v>16</v>
      </c>
      <c r="H814" s="1" t="s">
        <v>155</v>
      </c>
      <c r="I814" s="1" t="s">
        <v>60</v>
      </c>
      <c r="J814" s="1" t="s">
        <v>67</v>
      </c>
      <c r="K814" s="1" t="s">
        <v>68</v>
      </c>
      <c r="L814" s="3">
        <v>46326</v>
      </c>
      <c r="M814" s="3">
        <v>45596</v>
      </c>
      <c r="N814">
        <f>_xlfn.XLOOKUP(Data[[#This Row],[Status]],Compliance_Status[Status from OPMS],Compliance_Status[Status_Key],"")</f>
        <v>4</v>
      </c>
      <c r="O814">
        <f>_xlfn.XLOOKUP(Data[[#This Row],[Status]],Compliance_Status[Status from OPMS],Compliance_Status[Has Course booking],"")</f>
        <v>0</v>
      </c>
      <c r="P814" t="str">
        <f>_xlfn.XLOOKUP(Data[[#This Row],[StatusKey]],Status_Key[Status_Key],Status_Key[Name],"")</f>
        <v>In Date</v>
      </c>
    </row>
    <row r="815" spans="1:16" x14ac:dyDescent="0.25">
      <c r="A815" s="1">
        <v>243</v>
      </c>
      <c r="B815" s="1" t="s">
        <v>216</v>
      </c>
      <c r="C815" s="1" t="s">
        <v>217</v>
      </c>
      <c r="D815" s="1" t="s">
        <v>218</v>
      </c>
      <c r="E815" s="1" t="s">
        <v>74</v>
      </c>
      <c r="F815" s="1" t="s">
        <v>65</v>
      </c>
      <c r="G815" s="1" t="s">
        <v>16</v>
      </c>
      <c r="H815" s="1" t="s">
        <v>155</v>
      </c>
      <c r="I815" s="1" t="s">
        <v>60</v>
      </c>
      <c r="J815" s="1" t="s">
        <v>67</v>
      </c>
      <c r="K815" s="1" t="s">
        <v>68</v>
      </c>
      <c r="L815" s="3">
        <v>46662</v>
      </c>
      <c r="M815" s="3">
        <v>45567</v>
      </c>
      <c r="N815">
        <f>_xlfn.XLOOKUP(Data[[#This Row],[Status]],Compliance_Status[Status from OPMS],Compliance_Status[Status_Key],"")</f>
        <v>4</v>
      </c>
      <c r="O815">
        <f>_xlfn.XLOOKUP(Data[[#This Row],[Status]],Compliance_Status[Status from OPMS],Compliance_Status[Has Course booking],"")</f>
        <v>0</v>
      </c>
      <c r="P815" t="str">
        <f>_xlfn.XLOOKUP(Data[[#This Row],[StatusKey]],Status_Key[Status_Key],Status_Key[Name],"")</f>
        <v>In Date</v>
      </c>
    </row>
    <row r="816" spans="1:16" x14ac:dyDescent="0.25">
      <c r="A816" s="1">
        <v>243</v>
      </c>
      <c r="B816" s="1" t="s">
        <v>216</v>
      </c>
      <c r="C816" s="1" t="s">
        <v>217</v>
      </c>
      <c r="D816" s="1" t="s">
        <v>218</v>
      </c>
      <c r="E816" s="1" t="s">
        <v>75</v>
      </c>
      <c r="F816" s="1" t="s">
        <v>72</v>
      </c>
      <c r="G816" s="1" t="s">
        <v>18</v>
      </c>
      <c r="H816" s="1" t="s">
        <v>155</v>
      </c>
      <c r="I816" s="1" t="s">
        <v>60</v>
      </c>
      <c r="J816" s="1"/>
      <c r="K816" s="1" t="s">
        <v>68</v>
      </c>
      <c r="L816" s="3"/>
      <c r="M816" s="3"/>
      <c r="N816">
        <f>_xlfn.XLOOKUP(Data[[#This Row],[Status]],Compliance_Status[Status from OPMS],Compliance_Status[Status_Key],"")</f>
        <v>2</v>
      </c>
      <c r="O816">
        <f>_xlfn.XLOOKUP(Data[[#This Row],[Status]],Compliance_Status[Status from OPMS],Compliance_Status[Has Course booking],"")</f>
        <v>0</v>
      </c>
      <c r="P816" t="str">
        <f>_xlfn.XLOOKUP(Data[[#This Row],[StatusKey]],Status_Key[Status_Key],Status_Key[Name],"")</f>
        <v>Outstanding</v>
      </c>
    </row>
    <row r="817" spans="1:16" x14ac:dyDescent="0.25">
      <c r="A817" s="1">
        <v>243</v>
      </c>
      <c r="B817" s="1" t="s">
        <v>216</v>
      </c>
      <c r="C817" s="1" t="s">
        <v>217</v>
      </c>
      <c r="D817" s="1" t="s">
        <v>218</v>
      </c>
      <c r="E817" s="1" t="s">
        <v>76</v>
      </c>
      <c r="F817" s="1" t="s">
        <v>65</v>
      </c>
      <c r="G817" s="1" t="s">
        <v>16</v>
      </c>
      <c r="H817" s="1" t="s">
        <v>155</v>
      </c>
      <c r="I817" s="1" t="s">
        <v>60</v>
      </c>
      <c r="J817" s="1" t="s">
        <v>67</v>
      </c>
      <c r="K817" s="1" t="s">
        <v>77</v>
      </c>
      <c r="L817" s="3">
        <v>46812</v>
      </c>
      <c r="M817" s="3">
        <v>45351</v>
      </c>
      <c r="N817">
        <f>_xlfn.XLOOKUP(Data[[#This Row],[Status]],Compliance_Status[Status from OPMS],Compliance_Status[Status_Key],"")</f>
        <v>4</v>
      </c>
      <c r="O817">
        <f>_xlfn.XLOOKUP(Data[[#This Row],[Status]],Compliance_Status[Status from OPMS],Compliance_Status[Has Course booking],"")</f>
        <v>0</v>
      </c>
      <c r="P817" t="str">
        <f>_xlfn.XLOOKUP(Data[[#This Row],[StatusKey]],Status_Key[Status_Key],Status_Key[Name],"")</f>
        <v>In Date</v>
      </c>
    </row>
    <row r="818" spans="1:16" x14ac:dyDescent="0.25">
      <c r="A818" s="1">
        <v>243</v>
      </c>
      <c r="B818" s="1" t="s">
        <v>216</v>
      </c>
      <c r="C818" s="1" t="s">
        <v>217</v>
      </c>
      <c r="D818" s="1" t="s">
        <v>218</v>
      </c>
      <c r="E818" s="1" t="s">
        <v>80</v>
      </c>
      <c r="F818" s="1" t="s">
        <v>65</v>
      </c>
      <c r="G818" s="1" t="s">
        <v>16</v>
      </c>
      <c r="H818" s="1" t="s">
        <v>155</v>
      </c>
      <c r="I818" s="1" t="s">
        <v>60</v>
      </c>
      <c r="J818" s="1" t="s">
        <v>67</v>
      </c>
      <c r="K818" s="1" t="s">
        <v>77</v>
      </c>
      <c r="L818" s="3" t="s">
        <v>79</v>
      </c>
      <c r="M818" s="3">
        <v>45755</v>
      </c>
      <c r="N818">
        <f>_xlfn.XLOOKUP(Data[[#This Row],[Status]],Compliance_Status[Status from OPMS],Compliance_Status[Status_Key],"")</f>
        <v>4</v>
      </c>
      <c r="O818">
        <f>_xlfn.XLOOKUP(Data[[#This Row],[Status]],Compliance_Status[Status from OPMS],Compliance_Status[Has Course booking],"")</f>
        <v>0</v>
      </c>
      <c r="P818" t="str">
        <f>_xlfn.XLOOKUP(Data[[#This Row],[StatusKey]],Status_Key[Status_Key],Status_Key[Name],"")</f>
        <v>In Date</v>
      </c>
    </row>
    <row r="819" spans="1:16" x14ac:dyDescent="0.25">
      <c r="A819" s="1">
        <v>243</v>
      </c>
      <c r="B819" s="1" t="s">
        <v>216</v>
      </c>
      <c r="C819" s="1" t="s">
        <v>217</v>
      </c>
      <c r="D819" s="1" t="s">
        <v>218</v>
      </c>
      <c r="E819" s="1" t="s">
        <v>84</v>
      </c>
      <c r="F819" s="1" t="s">
        <v>65</v>
      </c>
      <c r="G819" s="1" t="s">
        <v>16</v>
      </c>
      <c r="H819" s="1" t="s">
        <v>155</v>
      </c>
      <c r="I819" s="1" t="s">
        <v>60</v>
      </c>
      <c r="J819" s="1" t="s">
        <v>67</v>
      </c>
      <c r="K819" s="1" t="s">
        <v>83</v>
      </c>
      <c r="L819" s="3">
        <v>46789</v>
      </c>
      <c r="M819" s="3">
        <v>46059</v>
      </c>
      <c r="N819">
        <f>_xlfn.XLOOKUP(Data[[#This Row],[Status]],Compliance_Status[Status from OPMS],Compliance_Status[Status_Key],"")</f>
        <v>4</v>
      </c>
      <c r="O819">
        <f>_xlfn.XLOOKUP(Data[[#This Row],[Status]],Compliance_Status[Status from OPMS],Compliance_Status[Has Course booking],"")</f>
        <v>0</v>
      </c>
      <c r="P819" t="str">
        <f>_xlfn.XLOOKUP(Data[[#This Row],[StatusKey]],Status_Key[Status_Key],Status_Key[Name],"")</f>
        <v>In Date</v>
      </c>
    </row>
    <row r="820" spans="1:16" x14ac:dyDescent="0.25">
      <c r="A820" s="1">
        <v>243</v>
      </c>
      <c r="B820" s="1" t="s">
        <v>216</v>
      </c>
      <c r="C820" s="1" t="s">
        <v>217</v>
      </c>
      <c r="D820" s="1" t="s">
        <v>218</v>
      </c>
      <c r="E820" s="1" t="s">
        <v>93</v>
      </c>
      <c r="F820" s="1" t="s">
        <v>65</v>
      </c>
      <c r="G820" s="1" t="s">
        <v>16</v>
      </c>
      <c r="H820" s="1" t="s">
        <v>155</v>
      </c>
      <c r="I820" s="1" t="s">
        <v>60</v>
      </c>
      <c r="J820" s="1" t="s">
        <v>67</v>
      </c>
      <c r="K820" s="1" t="s">
        <v>94</v>
      </c>
      <c r="L820" s="3">
        <v>46792</v>
      </c>
      <c r="M820" s="3">
        <v>46062</v>
      </c>
      <c r="N820">
        <f>_xlfn.XLOOKUP(Data[[#This Row],[Status]],Compliance_Status[Status from OPMS],Compliance_Status[Status_Key],"")</f>
        <v>4</v>
      </c>
      <c r="O820">
        <f>_xlfn.XLOOKUP(Data[[#This Row],[Status]],Compliance_Status[Status from OPMS],Compliance_Status[Has Course booking],"")</f>
        <v>0</v>
      </c>
      <c r="P820" t="str">
        <f>_xlfn.XLOOKUP(Data[[#This Row],[StatusKey]],Status_Key[Status_Key],Status_Key[Name],"")</f>
        <v>In Date</v>
      </c>
    </row>
    <row r="821" spans="1:16" x14ac:dyDescent="0.25">
      <c r="A821" s="1">
        <v>243</v>
      </c>
      <c r="B821" s="1" t="s">
        <v>216</v>
      </c>
      <c r="C821" s="1" t="s">
        <v>217</v>
      </c>
      <c r="D821" s="1" t="s">
        <v>218</v>
      </c>
      <c r="E821" s="1" t="s">
        <v>95</v>
      </c>
      <c r="F821" s="1" t="s">
        <v>65</v>
      </c>
      <c r="G821" s="1" t="s">
        <v>16</v>
      </c>
      <c r="H821" s="1" t="s">
        <v>155</v>
      </c>
      <c r="I821" s="1" t="s">
        <v>60</v>
      </c>
      <c r="J821" s="1" t="s">
        <v>67</v>
      </c>
      <c r="K821" s="1" t="s">
        <v>94</v>
      </c>
      <c r="L821" s="3">
        <v>46792</v>
      </c>
      <c r="M821" s="3">
        <v>46062</v>
      </c>
      <c r="N821">
        <f>_xlfn.XLOOKUP(Data[[#This Row],[Status]],Compliance_Status[Status from OPMS],Compliance_Status[Status_Key],"")</f>
        <v>4</v>
      </c>
      <c r="O821">
        <f>_xlfn.XLOOKUP(Data[[#This Row],[Status]],Compliance_Status[Status from OPMS],Compliance_Status[Has Course booking],"")</f>
        <v>0</v>
      </c>
      <c r="P821" t="str">
        <f>_xlfn.XLOOKUP(Data[[#This Row],[StatusKey]],Status_Key[Status_Key],Status_Key[Name],"")</f>
        <v>In Date</v>
      </c>
    </row>
    <row r="822" spans="1:16" x14ac:dyDescent="0.25">
      <c r="A822" s="1">
        <v>243</v>
      </c>
      <c r="B822" s="1" t="s">
        <v>216</v>
      </c>
      <c r="C822" s="1" t="s">
        <v>217</v>
      </c>
      <c r="D822" s="1" t="s">
        <v>218</v>
      </c>
      <c r="E822" s="1" t="s">
        <v>156</v>
      </c>
      <c r="F822" s="1" t="s">
        <v>65</v>
      </c>
      <c r="G822" s="1" t="s">
        <v>16</v>
      </c>
      <c r="H822" s="1" t="s">
        <v>155</v>
      </c>
      <c r="I822" s="1" t="s">
        <v>60</v>
      </c>
      <c r="J822" s="1" t="s">
        <v>67</v>
      </c>
      <c r="K822" s="1" t="s">
        <v>125</v>
      </c>
      <c r="L822" s="3">
        <v>47394</v>
      </c>
      <c r="M822" s="3">
        <v>45568</v>
      </c>
      <c r="N822">
        <f>_xlfn.XLOOKUP(Data[[#This Row],[Status]],Compliance_Status[Status from OPMS],Compliance_Status[Status_Key],"")</f>
        <v>4</v>
      </c>
      <c r="O822">
        <f>_xlfn.XLOOKUP(Data[[#This Row],[Status]],Compliance_Status[Status from OPMS],Compliance_Status[Has Course booking],"")</f>
        <v>0</v>
      </c>
      <c r="P822" t="str">
        <f>_xlfn.XLOOKUP(Data[[#This Row],[StatusKey]],Status_Key[Status_Key],Status_Key[Name],"")</f>
        <v>In Date</v>
      </c>
    </row>
    <row r="823" spans="1:16" x14ac:dyDescent="0.25">
      <c r="A823" s="1">
        <v>243</v>
      </c>
      <c r="B823" s="1" t="s">
        <v>216</v>
      </c>
      <c r="C823" s="1" t="s">
        <v>217</v>
      </c>
      <c r="D823" s="1" t="s">
        <v>218</v>
      </c>
      <c r="E823" s="1" t="s">
        <v>124</v>
      </c>
      <c r="F823" s="1" t="s">
        <v>72</v>
      </c>
      <c r="G823" s="1" t="s">
        <v>16</v>
      </c>
      <c r="H823" s="1" t="s">
        <v>155</v>
      </c>
      <c r="I823" s="1" t="s">
        <v>60</v>
      </c>
      <c r="J823" s="1" t="s">
        <v>67</v>
      </c>
      <c r="K823" s="1" t="s">
        <v>125</v>
      </c>
      <c r="L823" s="3">
        <v>47394</v>
      </c>
      <c r="M823" s="3">
        <v>45568</v>
      </c>
      <c r="N823">
        <f>_xlfn.XLOOKUP(Data[[#This Row],[Status]],Compliance_Status[Status from OPMS],Compliance_Status[Status_Key],"")</f>
        <v>4</v>
      </c>
      <c r="O823">
        <f>_xlfn.XLOOKUP(Data[[#This Row],[Status]],Compliance_Status[Status from OPMS],Compliance_Status[Has Course booking],"")</f>
        <v>0</v>
      </c>
      <c r="P823" t="str">
        <f>_xlfn.XLOOKUP(Data[[#This Row],[StatusKey]],Status_Key[Status_Key],Status_Key[Name],"")</f>
        <v>In Date</v>
      </c>
    </row>
    <row r="824" spans="1:16" x14ac:dyDescent="0.25">
      <c r="A824" s="1">
        <v>243</v>
      </c>
      <c r="B824" s="1" t="s">
        <v>216</v>
      </c>
      <c r="C824" s="1" t="s">
        <v>217</v>
      </c>
      <c r="D824" s="1" t="s">
        <v>218</v>
      </c>
      <c r="E824" s="1" t="s">
        <v>97</v>
      </c>
      <c r="F824" s="1" t="s">
        <v>65</v>
      </c>
      <c r="G824" s="1" t="s">
        <v>16</v>
      </c>
      <c r="H824" s="1" t="s">
        <v>155</v>
      </c>
      <c r="I824" s="1" t="s">
        <v>60</v>
      </c>
      <c r="J824" s="1" t="s">
        <v>67</v>
      </c>
      <c r="K824" s="1" t="s">
        <v>98</v>
      </c>
      <c r="L824" s="3">
        <v>47454</v>
      </c>
      <c r="M824" s="3">
        <v>45628</v>
      </c>
      <c r="N824">
        <f>_xlfn.XLOOKUP(Data[[#This Row],[Status]],Compliance_Status[Status from OPMS],Compliance_Status[Status_Key],"")</f>
        <v>4</v>
      </c>
      <c r="O824">
        <f>_xlfn.XLOOKUP(Data[[#This Row],[Status]],Compliance_Status[Status from OPMS],Compliance_Status[Has Course booking],"")</f>
        <v>0</v>
      </c>
      <c r="P824" t="str">
        <f>_xlfn.XLOOKUP(Data[[#This Row],[StatusKey]],Status_Key[Status_Key],Status_Key[Name],"")</f>
        <v>In Date</v>
      </c>
    </row>
    <row r="825" spans="1:16" x14ac:dyDescent="0.25">
      <c r="A825" s="1">
        <v>243</v>
      </c>
      <c r="B825" s="1" t="s">
        <v>216</v>
      </c>
      <c r="C825" s="1" t="s">
        <v>217</v>
      </c>
      <c r="D825" s="1" t="s">
        <v>218</v>
      </c>
      <c r="E825" s="1" t="s">
        <v>100</v>
      </c>
      <c r="F825" s="1" t="s">
        <v>65</v>
      </c>
      <c r="G825" s="1" t="s">
        <v>18</v>
      </c>
      <c r="H825" s="1" t="s">
        <v>155</v>
      </c>
      <c r="I825" s="1" t="s">
        <v>60</v>
      </c>
      <c r="J825" s="1"/>
      <c r="K825" s="1" t="s">
        <v>98</v>
      </c>
      <c r="L825" s="3"/>
      <c r="M825" s="3"/>
      <c r="N825">
        <f>_xlfn.XLOOKUP(Data[[#This Row],[Status]],Compliance_Status[Status from OPMS],Compliance_Status[Status_Key],"")</f>
        <v>2</v>
      </c>
      <c r="O825">
        <f>_xlfn.XLOOKUP(Data[[#This Row],[Status]],Compliance_Status[Status from OPMS],Compliance_Status[Has Course booking],"")</f>
        <v>0</v>
      </c>
      <c r="P825" t="str">
        <f>_xlfn.XLOOKUP(Data[[#This Row],[StatusKey]],Status_Key[Status_Key],Status_Key[Name],"")</f>
        <v>Outstanding</v>
      </c>
    </row>
    <row r="826" spans="1:16" x14ac:dyDescent="0.25">
      <c r="A826" s="1">
        <v>243</v>
      </c>
      <c r="B826" s="1" t="s">
        <v>216</v>
      </c>
      <c r="C826" s="1" t="s">
        <v>217</v>
      </c>
      <c r="D826" s="1" t="s">
        <v>218</v>
      </c>
      <c r="E826" s="1" t="s">
        <v>101</v>
      </c>
      <c r="F826" s="1" t="s">
        <v>65</v>
      </c>
      <c r="G826" s="1" t="s">
        <v>16</v>
      </c>
      <c r="H826" s="1" t="s">
        <v>155</v>
      </c>
      <c r="I826" s="1" t="s">
        <v>60</v>
      </c>
      <c r="J826" s="1" t="s">
        <v>67</v>
      </c>
      <c r="K826" s="1" t="s">
        <v>102</v>
      </c>
      <c r="L826" s="3" t="s">
        <v>79</v>
      </c>
      <c r="M826" s="3">
        <v>46078</v>
      </c>
      <c r="N826">
        <f>_xlfn.XLOOKUP(Data[[#This Row],[Status]],Compliance_Status[Status from OPMS],Compliance_Status[Status_Key],"")</f>
        <v>4</v>
      </c>
      <c r="O826">
        <f>_xlfn.XLOOKUP(Data[[#This Row],[Status]],Compliance_Status[Status from OPMS],Compliance_Status[Has Course booking],"")</f>
        <v>0</v>
      </c>
      <c r="P826" t="str">
        <f>_xlfn.XLOOKUP(Data[[#This Row],[StatusKey]],Status_Key[Status_Key],Status_Key[Name],"")</f>
        <v>In Date</v>
      </c>
    </row>
    <row r="827" spans="1:16" x14ac:dyDescent="0.25">
      <c r="A827" s="1">
        <v>243</v>
      </c>
      <c r="B827" s="1" t="s">
        <v>216</v>
      </c>
      <c r="C827" s="1" t="s">
        <v>217</v>
      </c>
      <c r="D827" s="1" t="s">
        <v>218</v>
      </c>
      <c r="E827" s="1" t="s">
        <v>103</v>
      </c>
      <c r="F827" s="1" t="s">
        <v>65</v>
      </c>
      <c r="G827" s="1" t="s">
        <v>16</v>
      </c>
      <c r="H827" s="1" t="s">
        <v>155</v>
      </c>
      <c r="I827" s="1" t="s">
        <v>60</v>
      </c>
      <c r="J827" s="1" t="s">
        <v>67</v>
      </c>
      <c r="K827" s="1" t="s">
        <v>102</v>
      </c>
      <c r="L827" s="3">
        <v>46789</v>
      </c>
      <c r="M827" s="3">
        <v>46059</v>
      </c>
      <c r="N827">
        <f>_xlfn.XLOOKUP(Data[[#This Row],[Status]],Compliance_Status[Status from OPMS],Compliance_Status[Status_Key],"")</f>
        <v>4</v>
      </c>
      <c r="O827">
        <f>_xlfn.XLOOKUP(Data[[#This Row],[Status]],Compliance_Status[Status from OPMS],Compliance_Status[Has Course booking],"")</f>
        <v>0</v>
      </c>
      <c r="P827" t="str">
        <f>_xlfn.XLOOKUP(Data[[#This Row],[StatusKey]],Status_Key[Status_Key],Status_Key[Name],"")</f>
        <v>In Date</v>
      </c>
    </row>
    <row r="828" spans="1:16" x14ac:dyDescent="0.25">
      <c r="A828" s="1">
        <v>243</v>
      </c>
      <c r="B828" s="1" t="s">
        <v>216</v>
      </c>
      <c r="C828" s="1" t="s">
        <v>217</v>
      </c>
      <c r="D828" s="1" t="s">
        <v>218</v>
      </c>
      <c r="E828" s="1" t="s">
        <v>104</v>
      </c>
      <c r="F828" s="1" t="s">
        <v>65</v>
      </c>
      <c r="G828" s="1" t="s">
        <v>16</v>
      </c>
      <c r="H828" s="1" t="s">
        <v>155</v>
      </c>
      <c r="I828" s="1" t="s">
        <v>60</v>
      </c>
      <c r="J828" s="1" t="s">
        <v>67</v>
      </c>
      <c r="K828" s="1" t="s">
        <v>105</v>
      </c>
      <c r="L828" s="3">
        <v>46787</v>
      </c>
      <c r="M828" s="3">
        <v>46057</v>
      </c>
      <c r="N828">
        <f>_xlfn.XLOOKUP(Data[[#This Row],[Status]],Compliance_Status[Status from OPMS],Compliance_Status[Status_Key],"")</f>
        <v>4</v>
      </c>
      <c r="O828">
        <f>_xlfn.XLOOKUP(Data[[#This Row],[Status]],Compliance_Status[Status from OPMS],Compliance_Status[Has Course booking],"")</f>
        <v>0</v>
      </c>
      <c r="P828" t="str">
        <f>_xlfn.XLOOKUP(Data[[#This Row],[StatusKey]],Status_Key[Status_Key],Status_Key[Name],"")</f>
        <v>In Date</v>
      </c>
    </row>
    <row r="829" spans="1:16" x14ac:dyDescent="0.25">
      <c r="A829" s="1">
        <v>243</v>
      </c>
      <c r="B829" s="1" t="s">
        <v>216</v>
      </c>
      <c r="C829" s="1" t="s">
        <v>217</v>
      </c>
      <c r="D829" s="1" t="s">
        <v>218</v>
      </c>
      <c r="E829" s="1" t="s">
        <v>106</v>
      </c>
      <c r="F829" s="1" t="s">
        <v>65</v>
      </c>
      <c r="G829" s="1" t="s">
        <v>16</v>
      </c>
      <c r="H829" s="1" t="s">
        <v>155</v>
      </c>
      <c r="I829" s="1" t="s">
        <v>60</v>
      </c>
      <c r="J829" s="1" t="s">
        <v>67</v>
      </c>
      <c r="K829" s="1" t="s">
        <v>105</v>
      </c>
      <c r="L829" s="3">
        <v>47454</v>
      </c>
      <c r="M829" s="3">
        <v>45628</v>
      </c>
      <c r="N829">
        <f>_xlfn.XLOOKUP(Data[[#This Row],[Status]],Compliance_Status[Status from OPMS],Compliance_Status[Status_Key],"")</f>
        <v>4</v>
      </c>
      <c r="O829">
        <f>_xlfn.XLOOKUP(Data[[#This Row],[Status]],Compliance_Status[Status from OPMS],Compliance_Status[Has Course booking],"")</f>
        <v>0</v>
      </c>
      <c r="P829" t="str">
        <f>_xlfn.XLOOKUP(Data[[#This Row],[StatusKey]],Status_Key[Status_Key],Status_Key[Name],"")</f>
        <v>In Date</v>
      </c>
    </row>
    <row r="830" spans="1:16" x14ac:dyDescent="0.25">
      <c r="A830" s="1">
        <v>243</v>
      </c>
      <c r="B830" s="1" t="s">
        <v>216</v>
      </c>
      <c r="C830" s="1" t="s">
        <v>217</v>
      </c>
      <c r="D830" s="1" t="s">
        <v>218</v>
      </c>
      <c r="E830" s="1" t="s">
        <v>107</v>
      </c>
      <c r="F830" s="1" t="s">
        <v>65</v>
      </c>
      <c r="G830" s="1" t="s">
        <v>16</v>
      </c>
      <c r="H830" s="1" t="s">
        <v>155</v>
      </c>
      <c r="I830" s="1" t="s">
        <v>60</v>
      </c>
      <c r="J830" s="1" t="s">
        <v>67</v>
      </c>
      <c r="K830" s="1" t="s">
        <v>105</v>
      </c>
      <c r="L830" s="3">
        <v>47153</v>
      </c>
      <c r="M830" s="3">
        <v>46058</v>
      </c>
      <c r="N830">
        <f>_xlfn.XLOOKUP(Data[[#This Row],[Status]],Compliance_Status[Status from OPMS],Compliance_Status[Status_Key],"")</f>
        <v>4</v>
      </c>
      <c r="O830">
        <f>_xlfn.XLOOKUP(Data[[#This Row],[Status]],Compliance_Status[Status from OPMS],Compliance_Status[Has Course booking],"")</f>
        <v>0</v>
      </c>
      <c r="P830" t="str">
        <f>_xlfn.XLOOKUP(Data[[#This Row],[StatusKey]],Status_Key[Status_Key],Status_Key[Name],"")</f>
        <v>In Date</v>
      </c>
    </row>
    <row r="831" spans="1:16" x14ac:dyDescent="0.25">
      <c r="A831" s="1">
        <v>243</v>
      </c>
      <c r="B831" s="1" t="s">
        <v>216</v>
      </c>
      <c r="C831" s="1" t="s">
        <v>217</v>
      </c>
      <c r="D831" s="1" t="s">
        <v>218</v>
      </c>
      <c r="E831" s="1" t="s">
        <v>108</v>
      </c>
      <c r="F831" s="1" t="s">
        <v>65</v>
      </c>
      <c r="G831" s="1" t="s">
        <v>16</v>
      </c>
      <c r="H831" s="1" t="s">
        <v>155</v>
      </c>
      <c r="I831" s="1" t="s">
        <v>60</v>
      </c>
      <c r="J831" s="1" t="s">
        <v>67</v>
      </c>
      <c r="K831" s="1" t="s">
        <v>105</v>
      </c>
      <c r="L831" s="3">
        <v>47312</v>
      </c>
      <c r="M831" s="3">
        <v>46216</v>
      </c>
      <c r="N831">
        <f>_xlfn.XLOOKUP(Data[[#This Row],[Status]],Compliance_Status[Status from OPMS],Compliance_Status[Status_Key],"")</f>
        <v>4</v>
      </c>
      <c r="O831">
        <f>_xlfn.XLOOKUP(Data[[#This Row],[Status]],Compliance_Status[Status from OPMS],Compliance_Status[Has Course booking],"")</f>
        <v>0</v>
      </c>
      <c r="P831" t="str">
        <f>_xlfn.XLOOKUP(Data[[#This Row],[StatusKey]],Status_Key[Status_Key],Status_Key[Name],"")</f>
        <v>In Date</v>
      </c>
    </row>
    <row r="832" spans="1:16" x14ac:dyDescent="0.25">
      <c r="A832" s="1">
        <v>243</v>
      </c>
      <c r="B832" s="1" t="s">
        <v>216</v>
      </c>
      <c r="C832" s="1" t="s">
        <v>217</v>
      </c>
      <c r="D832" s="1" t="s">
        <v>218</v>
      </c>
      <c r="E832" s="1" t="s">
        <v>109</v>
      </c>
      <c r="F832" s="1" t="s">
        <v>65</v>
      </c>
      <c r="G832" s="1" t="s">
        <v>16</v>
      </c>
      <c r="H832" s="1" t="s">
        <v>155</v>
      </c>
      <c r="I832" s="1" t="s">
        <v>60</v>
      </c>
      <c r="J832" s="1" t="s">
        <v>67</v>
      </c>
      <c r="K832" s="1" t="s">
        <v>105</v>
      </c>
      <c r="L832" s="3">
        <v>46787</v>
      </c>
      <c r="M832" s="3">
        <v>46057</v>
      </c>
      <c r="N832">
        <f>_xlfn.XLOOKUP(Data[[#This Row],[Status]],Compliance_Status[Status from OPMS],Compliance_Status[Status_Key],"")</f>
        <v>4</v>
      </c>
      <c r="O832">
        <f>_xlfn.XLOOKUP(Data[[#This Row],[Status]],Compliance_Status[Status from OPMS],Compliance_Status[Has Course booking],"")</f>
        <v>0</v>
      </c>
      <c r="P832" t="str">
        <f>_xlfn.XLOOKUP(Data[[#This Row],[StatusKey]],Status_Key[Status_Key],Status_Key[Name],"")</f>
        <v>In Date</v>
      </c>
    </row>
    <row r="833" spans="1:16" x14ac:dyDescent="0.25">
      <c r="A833" s="1">
        <v>243</v>
      </c>
      <c r="B833" s="1" t="s">
        <v>216</v>
      </c>
      <c r="C833" s="1" t="s">
        <v>217</v>
      </c>
      <c r="D833" s="1" t="s">
        <v>218</v>
      </c>
      <c r="E833" s="1" t="s">
        <v>110</v>
      </c>
      <c r="F833" s="1" t="s">
        <v>65</v>
      </c>
      <c r="G833" s="1" t="s">
        <v>16</v>
      </c>
      <c r="H833" s="1" t="s">
        <v>155</v>
      </c>
      <c r="I833" s="1" t="s">
        <v>60</v>
      </c>
      <c r="J833" s="1" t="s">
        <v>67</v>
      </c>
      <c r="K833" s="1" t="s">
        <v>105</v>
      </c>
      <c r="L833" s="3" t="s">
        <v>79</v>
      </c>
      <c r="M833" s="3">
        <v>45628</v>
      </c>
      <c r="N833">
        <f>_xlfn.XLOOKUP(Data[[#This Row],[Status]],Compliance_Status[Status from OPMS],Compliance_Status[Status_Key],"")</f>
        <v>4</v>
      </c>
      <c r="O833">
        <f>_xlfn.XLOOKUP(Data[[#This Row],[Status]],Compliance_Status[Status from OPMS],Compliance_Status[Has Course booking],"")</f>
        <v>0</v>
      </c>
      <c r="P833" t="str">
        <f>_xlfn.XLOOKUP(Data[[#This Row],[StatusKey]],Status_Key[Status_Key],Status_Key[Name],"")</f>
        <v>In Date</v>
      </c>
    </row>
    <row r="834" spans="1:16" x14ac:dyDescent="0.25">
      <c r="A834" s="1">
        <v>243</v>
      </c>
      <c r="B834" s="1" t="s">
        <v>216</v>
      </c>
      <c r="C834" s="1" t="s">
        <v>217</v>
      </c>
      <c r="D834" s="1" t="s">
        <v>218</v>
      </c>
      <c r="E834" s="1" t="s">
        <v>111</v>
      </c>
      <c r="F834" s="1" t="s">
        <v>65</v>
      </c>
      <c r="G834" s="1" t="s">
        <v>16</v>
      </c>
      <c r="H834" s="1" t="s">
        <v>155</v>
      </c>
      <c r="I834" s="1" t="s">
        <v>60</v>
      </c>
      <c r="J834" s="1" t="s">
        <v>67</v>
      </c>
      <c r="K834" s="1" t="s">
        <v>105</v>
      </c>
      <c r="L834" s="3">
        <v>46789</v>
      </c>
      <c r="M834" s="3">
        <v>46059</v>
      </c>
      <c r="N834">
        <f>_xlfn.XLOOKUP(Data[[#This Row],[Status]],Compliance_Status[Status from OPMS],Compliance_Status[Status_Key],"")</f>
        <v>4</v>
      </c>
      <c r="O834">
        <f>_xlfn.XLOOKUP(Data[[#This Row],[Status]],Compliance_Status[Status from OPMS],Compliance_Status[Has Course booking],"")</f>
        <v>0</v>
      </c>
      <c r="P834" t="str">
        <f>_xlfn.XLOOKUP(Data[[#This Row],[StatusKey]],Status_Key[Status_Key],Status_Key[Name],"")</f>
        <v>In Date</v>
      </c>
    </row>
    <row r="835" spans="1:16" x14ac:dyDescent="0.25">
      <c r="A835" s="1">
        <v>243</v>
      </c>
      <c r="B835" s="1" t="s">
        <v>216</v>
      </c>
      <c r="C835" s="1" t="s">
        <v>217</v>
      </c>
      <c r="D835" s="1" t="s">
        <v>218</v>
      </c>
      <c r="E835" s="1" t="s">
        <v>112</v>
      </c>
      <c r="F835" s="1" t="s">
        <v>65</v>
      </c>
      <c r="G835" s="1" t="s">
        <v>16</v>
      </c>
      <c r="H835" s="1" t="s">
        <v>155</v>
      </c>
      <c r="I835" s="1" t="s">
        <v>60</v>
      </c>
      <c r="J835" s="1" t="s">
        <v>67</v>
      </c>
      <c r="K835" s="1" t="s">
        <v>105</v>
      </c>
      <c r="L835" s="3">
        <v>46787</v>
      </c>
      <c r="M835" s="3">
        <v>46057</v>
      </c>
      <c r="N835">
        <f>_xlfn.XLOOKUP(Data[[#This Row],[Status]],Compliance_Status[Status from OPMS],Compliance_Status[Status_Key],"")</f>
        <v>4</v>
      </c>
      <c r="O835">
        <f>_xlfn.XLOOKUP(Data[[#This Row],[Status]],Compliance_Status[Status from OPMS],Compliance_Status[Has Course booking],"")</f>
        <v>0</v>
      </c>
      <c r="P835" t="str">
        <f>_xlfn.XLOOKUP(Data[[#This Row],[StatusKey]],Status_Key[Status_Key],Status_Key[Name],"")</f>
        <v>In Date</v>
      </c>
    </row>
    <row r="836" spans="1:16" x14ac:dyDescent="0.25">
      <c r="A836" s="1">
        <v>243</v>
      </c>
      <c r="B836" s="1" t="s">
        <v>216</v>
      </c>
      <c r="C836" s="1" t="s">
        <v>217</v>
      </c>
      <c r="D836" s="1" t="s">
        <v>218</v>
      </c>
      <c r="E836" s="1" t="s">
        <v>113</v>
      </c>
      <c r="F836" s="1" t="s">
        <v>65</v>
      </c>
      <c r="G836" s="1" t="s">
        <v>16</v>
      </c>
      <c r="H836" s="1" t="s">
        <v>155</v>
      </c>
      <c r="I836" s="1" t="s">
        <v>60</v>
      </c>
      <c r="J836" s="1" t="s">
        <v>67</v>
      </c>
      <c r="K836" s="1" t="s">
        <v>105</v>
      </c>
      <c r="L836" s="3">
        <v>46789</v>
      </c>
      <c r="M836" s="3">
        <v>46059</v>
      </c>
      <c r="N836">
        <f>_xlfn.XLOOKUP(Data[[#This Row],[Status]],Compliance_Status[Status from OPMS],Compliance_Status[Status_Key],"")</f>
        <v>4</v>
      </c>
      <c r="O836">
        <f>_xlfn.XLOOKUP(Data[[#This Row],[Status]],Compliance_Status[Status from OPMS],Compliance_Status[Has Course booking],"")</f>
        <v>0</v>
      </c>
      <c r="P836" t="str">
        <f>_xlfn.XLOOKUP(Data[[#This Row],[StatusKey]],Status_Key[Status_Key],Status_Key[Name],"")</f>
        <v>In Date</v>
      </c>
    </row>
    <row r="837" spans="1:16" x14ac:dyDescent="0.25">
      <c r="A837" s="1">
        <v>180</v>
      </c>
      <c r="B837" s="1" t="s">
        <v>219</v>
      </c>
      <c r="C837" s="1" t="s">
        <v>220</v>
      </c>
      <c r="D837" s="1" t="s">
        <v>221</v>
      </c>
      <c r="E837" s="1" t="s">
        <v>163</v>
      </c>
      <c r="F837" s="1" t="s">
        <v>65</v>
      </c>
      <c r="G837" s="1" t="s">
        <v>16</v>
      </c>
      <c r="H837" s="1" t="s">
        <v>164</v>
      </c>
      <c r="I837" s="1" t="s">
        <v>60</v>
      </c>
      <c r="J837" s="1" t="s">
        <v>67</v>
      </c>
      <c r="K837" s="1" t="s">
        <v>68</v>
      </c>
      <c r="L837" s="3">
        <v>48017</v>
      </c>
      <c r="M837" s="3">
        <v>46192</v>
      </c>
      <c r="N837">
        <f>_xlfn.XLOOKUP(Data[[#This Row],[Status]],Compliance_Status[Status from OPMS],Compliance_Status[Status_Key],"")</f>
        <v>4</v>
      </c>
      <c r="O837">
        <f>_xlfn.XLOOKUP(Data[[#This Row],[Status]],Compliance_Status[Status from OPMS],Compliance_Status[Has Course booking],"")</f>
        <v>0</v>
      </c>
      <c r="P837" t="str">
        <f>_xlfn.XLOOKUP(Data[[#This Row],[StatusKey]],Status_Key[Status_Key],Status_Key[Name],"")</f>
        <v>In Date</v>
      </c>
    </row>
    <row r="838" spans="1:16" x14ac:dyDescent="0.25">
      <c r="A838" s="1">
        <v>180</v>
      </c>
      <c r="B838" s="1" t="s">
        <v>219</v>
      </c>
      <c r="C838" s="1" t="s">
        <v>220</v>
      </c>
      <c r="D838" s="1" t="s">
        <v>221</v>
      </c>
      <c r="E838" s="1" t="s">
        <v>131</v>
      </c>
      <c r="F838" s="1" t="s">
        <v>72</v>
      </c>
      <c r="G838" s="1" t="s">
        <v>16</v>
      </c>
      <c r="H838" s="1" t="s">
        <v>164</v>
      </c>
      <c r="I838" s="1" t="s">
        <v>60</v>
      </c>
      <c r="J838" s="1" t="s">
        <v>67</v>
      </c>
      <c r="K838" s="1" t="s">
        <v>68</v>
      </c>
      <c r="L838" s="3">
        <v>46959</v>
      </c>
      <c r="M838" s="3">
        <v>45133</v>
      </c>
      <c r="N838">
        <f>_xlfn.XLOOKUP(Data[[#This Row],[Status]],Compliance_Status[Status from OPMS],Compliance_Status[Status_Key],"")</f>
        <v>4</v>
      </c>
      <c r="O838">
        <f>_xlfn.XLOOKUP(Data[[#This Row],[Status]],Compliance_Status[Status from OPMS],Compliance_Status[Has Course booking],"")</f>
        <v>0</v>
      </c>
      <c r="P838" t="str">
        <f>_xlfn.XLOOKUP(Data[[#This Row],[StatusKey]],Status_Key[Status_Key],Status_Key[Name],"")</f>
        <v>In Date</v>
      </c>
    </row>
    <row r="839" spans="1:16" x14ac:dyDescent="0.25">
      <c r="A839" s="1">
        <v>180</v>
      </c>
      <c r="B839" s="1" t="s">
        <v>219</v>
      </c>
      <c r="C839" s="1" t="s">
        <v>220</v>
      </c>
      <c r="D839" s="1" t="s">
        <v>221</v>
      </c>
      <c r="E839" s="1" t="s">
        <v>71</v>
      </c>
      <c r="F839" s="1" t="s">
        <v>72</v>
      </c>
      <c r="G839" s="1" t="s">
        <v>16</v>
      </c>
      <c r="H839" s="1" t="s">
        <v>164</v>
      </c>
      <c r="I839" s="1" t="s">
        <v>60</v>
      </c>
      <c r="J839" s="1"/>
      <c r="K839" s="1" t="s">
        <v>68</v>
      </c>
      <c r="L839" s="3">
        <v>47196</v>
      </c>
      <c r="M839" s="3">
        <v>45371</v>
      </c>
      <c r="N839">
        <f>_xlfn.XLOOKUP(Data[[#This Row],[Status]],Compliance_Status[Status from OPMS],Compliance_Status[Status_Key],"")</f>
        <v>4</v>
      </c>
      <c r="O839">
        <f>_xlfn.XLOOKUP(Data[[#This Row],[Status]],Compliance_Status[Status from OPMS],Compliance_Status[Has Course booking],"")</f>
        <v>0</v>
      </c>
      <c r="P839" t="str">
        <f>_xlfn.XLOOKUP(Data[[#This Row],[StatusKey]],Status_Key[Status_Key],Status_Key[Name],"")</f>
        <v>In Date</v>
      </c>
    </row>
    <row r="840" spans="1:16" x14ac:dyDescent="0.25">
      <c r="A840" s="1">
        <v>180</v>
      </c>
      <c r="B840" s="1" t="s">
        <v>219</v>
      </c>
      <c r="C840" s="1" t="s">
        <v>220</v>
      </c>
      <c r="D840" s="1" t="s">
        <v>221</v>
      </c>
      <c r="E840" s="1" t="s">
        <v>73</v>
      </c>
      <c r="F840" s="1" t="s">
        <v>65</v>
      </c>
      <c r="G840" s="1" t="s">
        <v>16</v>
      </c>
      <c r="H840" s="1" t="s">
        <v>164</v>
      </c>
      <c r="I840" s="1" t="s">
        <v>60</v>
      </c>
      <c r="J840" s="1" t="s">
        <v>67</v>
      </c>
      <c r="K840" s="1" t="s">
        <v>68</v>
      </c>
      <c r="L840" s="3">
        <v>46730</v>
      </c>
      <c r="M840" s="3">
        <v>46000</v>
      </c>
      <c r="N840">
        <f>_xlfn.XLOOKUP(Data[[#This Row],[Status]],Compliance_Status[Status from OPMS],Compliance_Status[Status_Key],"")</f>
        <v>4</v>
      </c>
      <c r="O840">
        <f>_xlfn.XLOOKUP(Data[[#This Row],[Status]],Compliance_Status[Status from OPMS],Compliance_Status[Has Course booking],"")</f>
        <v>0</v>
      </c>
      <c r="P840" t="str">
        <f>_xlfn.XLOOKUP(Data[[#This Row],[StatusKey]],Status_Key[Status_Key],Status_Key[Name],"")</f>
        <v>In Date</v>
      </c>
    </row>
    <row r="841" spans="1:16" x14ac:dyDescent="0.25">
      <c r="A841" s="1">
        <v>180</v>
      </c>
      <c r="B841" s="1" t="s">
        <v>219</v>
      </c>
      <c r="C841" s="1" t="s">
        <v>220</v>
      </c>
      <c r="D841" s="1" t="s">
        <v>221</v>
      </c>
      <c r="E841" s="1" t="s">
        <v>74</v>
      </c>
      <c r="F841" s="1" t="s">
        <v>65</v>
      </c>
      <c r="G841" s="1" t="s">
        <v>16</v>
      </c>
      <c r="H841" s="1" t="s">
        <v>164</v>
      </c>
      <c r="I841" s="1" t="s">
        <v>60</v>
      </c>
      <c r="J841" s="1" t="s">
        <v>67</v>
      </c>
      <c r="K841" s="1" t="s">
        <v>68</v>
      </c>
      <c r="L841" s="3">
        <v>46717</v>
      </c>
      <c r="M841" s="3">
        <v>45622</v>
      </c>
      <c r="N841">
        <f>_xlfn.XLOOKUP(Data[[#This Row],[Status]],Compliance_Status[Status from OPMS],Compliance_Status[Status_Key],"")</f>
        <v>4</v>
      </c>
      <c r="O841">
        <f>_xlfn.XLOOKUP(Data[[#This Row],[Status]],Compliance_Status[Status from OPMS],Compliance_Status[Has Course booking],"")</f>
        <v>0</v>
      </c>
      <c r="P841" t="str">
        <f>_xlfn.XLOOKUP(Data[[#This Row],[StatusKey]],Status_Key[Status_Key],Status_Key[Name],"")</f>
        <v>In Date</v>
      </c>
    </row>
    <row r="842" spans="1:16" x14ac:dyDescent="0.25">
      <c r="A842" s="1">
        <v>180</v>
      </c>
      <c r="B842" s="1" t="s">
        <v>219</v>
      </c>
      <c r="C842" s="1" t="s">
        <v>220</v>
      </c>
      <c r="D842" s="1" t="s">
        <v>221</v>
      </c>
      <c r="E842" s="1" t="s">
        <v>75</v>
      </c>
      <c r="F842" s="1" t="s">
        <v>72</v>
      </c>
      <c r="G842" s="1" t="s">
        <v>24</v>
      </c>
      <c r="H842" s="1" t="s">
        <v>164</v>
      </c>
      <c r="I842" s="1" t="s">
        <v>60</v>
      </c>
      <c r="J842" s="1" t="s">
        <v>67</v>
      </c>
      <c r="K842" s="1" t="s">
        <v>68</v>
      </c>
      <c r="L842" s="3">
        <v>46385</v>
      </c>
      <c r="M842" s="3">
        <v>45723</v>
      </c>
      <c r="N842">
        <f>_xlfn.XLOOKUP(Data[[#This Row],[Status]],Compliance_Status[Status from OPMS],Compliance_Status[Status_Key],"")</f>
        <v>3</v>
      </c>
      <c r="O842">
        <f>_xlfn.XLOOKUP(Data[[#This Row],[Status]],Compliance_Status[Status from OPMS],Compliance_Status[Has Course booking],"")</f>
        <v>0</v>
      </c>
      <c r="P842" t="str">
        <f>_xlfn.XLOOKUP(Data[[#This Row],[StatusKey]],Status_Key[Status_Key],Status_Key[Name],"")</f>
        <v>About to expire</v>
      </c>
    </row>
    <row r="843" spans="1:16" x14ac:dyDescent="0.25">
      <c r="A843" s="1">
        <v>180</v>
      </c>
      <c r="B843" s="1" t="s">
        <v>219</v>
      </c>
      <c r="C843" s="1" t="s">
        <v>220</v>
      </c>
      <c r="D843" s="1" t="s">
        <v>221</v>
      </c>
      <c r="E843" s="1" t="s">
        <v>165</v>
      </c>
      <c r="F843" s="1" t="s">
        <v>72</v>
      </c>
      <c r="G843" s="1" t="s">
        <v>16</v>
      </c>
      <c r="H843" s="1" t="s">
        <v>164</v>
      </c>
      <c r="I843" s="1" t="s">
        <v>60</v>
      </c>
      <c r="J843" s="1" t="s">
        <v>67</v>
      </c>
      <c r="K843" s="1" t="s">
        <v>68</v>
      </c>
      <c r="L843" s="3" t="s">
        <v>79</v>
      </c>
      <c r="M843" s="3">
        <v>45369</v>
      </c>
      <c r="N843">
        <f>_xlfn.XLOOKUP(Data[[#This Row],[Status]],Compliance_Status[Status from OPMS],Compliance_Status[Status_Key],"")</f>
        <v>4</v>
      </c>
      <c r="O843">
        <f>_xlfn.XLOOKUP(Data[[#This Row],[Status]],Compliance_Status[Status from OPMS],Compliance_Status[Has Course booking],"")</f>
        <v>0</v>
      </c>
      <c r="P843" t="str">
        <f>_xlfn.XLOOKUP(Data[[#This Row],[StatusKey]],Status_Key[Status_Key],Status_Key[Name],"")</f>
        <v>In Date</v>
      </c>
    </row>
    <row r="844" spans="1:16" x14ac:dyDescent="0.25">
      <c r="A844" s="1">
        <v>180</v>
      </c>
      <c r="B844" s="1" t="s">
        <v>219</v>
      </c>
      <c r="C844" s="1" t="s">
        <v>220</v>
      </c>
      <c r="D844" s="1" t="s">
        <v>221</v>
      </c>
      <c r="E844" s="1" t="s">
        <v>76</v>
      </c>
      <c r="F844" s="1" t="s">
        <v>65</v>
      </c>
      <c r="G844" s="1" t="s">
        <v>16</v>
      </c>
      <c r="H844" s="1" t="s">
        <v>164</v>
      </c>
      <c r="I844" s="1" t="s">
        <v>60</v>
      </c>
      <c r="J844" s="1" t="s">
        <v>67</v>
      </c>
      <c r="K844" s="1" t="s">
        <v>77</v>
      </c>
      <c r="L844" s="3">
        <v>47330</v>
      </c>
      <c r="M844" s="3">
        <v>45869</v>
      </c>
      <c r="N844">
        <f>_xlfn.XLOOKUP(Data[[#This Row],[Status]],Compliance_Status[Status from OPMS],Compliance_Status[Status_Key],"")</f>
        <v>4</v>
      </c>
      <c r="O844">
        <f>_xlfn.XLOOKUP(Data[[#This Row],[Status]],Compliance_Status[Status from OPMS],Compliance_Status[Has Course booking],"")</f>
        <v>0</v>
      </c>
      <c r="P844" t="str">
        <f>_xlfn.XLOOKUP(Data[[#This Row],[StatusKey]],Status_Key[Status_Key],Status_Key[Name],"")</f>
        <v>In Date</v>
      </c>
    </row>
    <row r="845" spans="1:16" x14ac:dyDescent="0.25">
      <c r="A845" s="1">
        <v>180</v>
      </c>
      <c r="B845" s="1" t="s">
        <v>219</v>
      </c>
      <c r="C845" s="1" t="s">
        <v>220</v>
      </c>
      <c r="D845" s="1" t="s">
        <v>221</v>
      </c>
      <c r="E845" s="1" t="s">
        <v>80</v>
      </c>
      <c r="F845" s="1" t="s">
        <v>65</v>
      </c>
      <c r="G845" s="1" t="s">
        <v>16</v>
      </c>
      <c r="H845" s="1" t="s">
        <v>164</v>
      </c>
      <c r="I845" s="1" t="s">
        <v>60</v>
      </c>
      <c r="J845" s="1" t="s">
        <v>67</v>
      </c>
      <c r="K845" s="1" t="s">
        <v>77</v>
      </c>
      <c r="L845" s="3" t="s">
        <v>79</v>
      </c>
      <c r="M845" s="3">
        <v>45393</v>
      </c>
      <c r="N845">
        <f>_xlfn.XLOOKUP(Data[[#This Row],[Status]],Compliance_Status[Status from OPMS],Compliance_Status[Status_Key],"")</f>
        <v>4</v>
      </c>
      <c r="O845">
        <f>_xlfn.XLOOKUP(Data[[#This Row],[Status]],Compliance_Status[Status from OPMS],Compliance_Status[Has Course booking],"")</f>
        <v>0</v>
      </c>
      <c r="P845" t="str">
        <f>_xlfn.XLOOKUP(Data[[#This Row],[StatusKey]],Status_Key[Status_Key],Status_Key[Name],"")</f>
        <v>In Date</v>
      </c>
    </row>
    <row r="846" spans="1:16" x14ac:dyDescent="0.25">
      <c r="A846" s="1">
        <v>180</v>
      </c>
      <c r="B846" s="1" t="s">
        <v>219</v>
      </c>
      <c r="C846" s="1" t="s">
        <v>220</v>
      </c>
      <c r="D846" s="1" t="s">
        <v>221</v>
      </c>
      <c r="E846" s="1" t="s">
        <v>84</v>
      </c>
      <c r="F846" s="1" t="s">
        <v>65</v>
      </c>
      <c r="G846" s="1" t="s">
        <v>16</v>
      </c>
      <c r="H846" s="1" t="s">
        <v>164</v>
      </c>
      <c r="I846" s="1" t="s">
        <v>60</v>
      </c>
      <c r="J846" s="1" t="s">
        <v>67</v>
      </c>
      <c r="K846" s="1" t="s">
        <v>83</v>
      </c>
      <c r="L846" s="3">
        <v>46714</v>
      </c>
      <c r="M846" s="3">
        <v>45984</v>
      </c>
      <c r="N846">
        <f>_xlfn.XLOOKUP(Data[[#This Row],[Status]],Compliance_Status[Status from OPMS],Compliance_Status[Status_Key],"")</f>
        <v>4</v>
      </c>
      <c r="O846">
        <f>_xlfn.XLOOKUP(Data[[#This Row],[Status]],Compliance_Status[Status from OPMS],Compliance_Status[Has Course booking],"")</f>
        <v>0</v>
      </c>
      <c r="P846" t="str">
        <f>_xlfn.XLOOKUP(Data[[#This Row],[StatusKey]],Status_Key[Status_Key],Status_Key[Name],"")</f>
        <v>In Date</v>
      </c>
    </row>
    <row r="847" spans="1:16" x14ac:dyDescent="0.25">
      <c r="A847" s="1">
        <v>180</v>
      </c>
      <c r="B847" s="1" t="s">
        <v>219</v>
      </c>
      <c r="C847" s="1" t="s">
        <v>220</v>
      </c>
      <c r="D847" s="1" t="s">
        <v>221</v>
      </c>
      <c r="E847" s="1" t="s">
        <v>93</v>
      </c>
      <c r="F847" s="1" t="s">
        <v>65</v>
      </c>
      <c r="G847" s="1" t="s">
        <v>16</v>
      </c>
      <c r="H847" s="1" t="s">
        <v>164</v>
      </c>
      <c r="I847" s="1" t="s">
        <v>60</v>
      </c>
      <c r="J847" s="1" t="s">
        <v>67</v>
      </c>
      <c r="K847" s="1" t="s">
        <v>94</v>
      </c>
      <c r="L847" s="3">
        <v>46664</v>
      </c>
      <c r="M847" s="3">
        <v>45934</v>
      </c>
      <c r="N847">
        <f>_xlfn.XLOOKUP(Data[[#This Row],[Status]],Compliance_Status[Status from OPMS],Compliance_Status[Status_Key],"")</f>
        <v>4</v>
      </c>
      <c r="O847">
        <f>_xlfn.XLOOKUP(Data[[#This Row],[Status]],Compliance_Status[Status from OPMS],Compliance_Status[Has Course booking],"")</f>
        <v>0</v>
      </c>
      <c r="P847" t="str">
        <f>_xlfn.XLOOKUP(Data[[#This Row],[StatusKey]],Status_Key[Status_Key],Status_Key[Name],"")</f>
        <v>In Date</v>
      </c>
    </row>
    <row r="848" spans="1:16" x14ac:dyDescent="0.25">
      <c r="A848" s="1">
        <v>180</v>
      </c>
      <c r="B848" s="1" t="s">
        <v>219</v>
      </c>
      <c r="C848" s="1" t="s">
        <v>220</v>
      </c>
      <c r="D848" s="1" t="s">
        <v>221</v>
      </c>
      <c r="E848" s="1" t="s">
        <v>95</v>
      </c>
      <c r="F848" s="1" t="s">
        <v>65</v>
      </c>
      <c r="G848" s="1" t="s">
        <v>16</v>
      </c>
      <c r="H848" s="1" t="s">
        <v>164</v>
      </c>
      <c r="I848" s="1" t="s">
        <v>60</v>
      </c>
      <c r="J848" s="1" t="s">
        <v>67</v>
      </c>
      <c r="K848" s="1" t="s">
        <v>94</v>
      </c>
      <c r="L848" s="3">
        <v>46664</v>
      </c>
      <c r="M848" s="3">
        <v>45934</v>
      </c>
      <c r="N848">
        <f>_xlfn.XLOOKUP(Data[[#This Row],[Status]],Compliance_Status[Status from OPMS],Compliance_Status[Status_Key],"")</f>
        <v>4</v>
      </c>
      <c r="O848">
        <f>_xlfn.XLOOKUP(Data[[#This Row],[Status]],Compliance_Status[Status from OPMS],Compliance_Status[Has Course booking],"")</f>
        <v>0</v>
      </c>
      <c r="P848" t="str">
        <f>_xlfn.XLOOKUP(Data[[#This Row],[StatusKey]],Status_Key[Status_Key],Status_Key[Name],"")</f>
        <v>In Date</v>
      </c>
    </row>
    <row r="849" spans="1:16" x14ac:dyDescent="0.25">
      <c r="A849" s="1">
        <v>180</v>
      </c>
      <c r="B849" s="1" t="s">
        <v>219</v>
      </c>
      <c r="C849" s="1" t="s">
        <v>220</v>
      </c>
      <c r="D849" s="1" t="s">
        <v>221</v>
      </c>
      <c r="E849" s="1" t="s">
        <v>156</v>
      </c>
      <c r="F849" s="1" t="s">
        <v>65</v>
      </c>
      <c r="G849" s="1" t="s">
        <v>16</v>
      </c>
      <c r="H849" s="1" t="s">
        <v>164</v>
      </c>
      <c r="I849" s="1" t="s">
        <v>60</v>
      </c>
      <c r="J849" s="1" t="s">
        <v>67</v>
      </c>
      <c r="K849" s="1" t="s">
        <v>125</v>
      </c>
      <c r="L849" s="3">
        <v>46526</v>
      </c>
      <c r="M849" s="3">
        <v>44700</v>
      </c>
      <c r="N849">
        <f>_xlfn.XLOOKUP(Data[[#This Row],[Status]],Compliance_Status[Status from OPMS],Compliance_Status[Status_Key],"")</f>
        <v>4</v>
      </c>
      <c r="O849">
        <f>_xlfn.XLOOKUP(Data[[#This Row],[Status]],Compliance_Status[Status from OPMS],Compliance_Status[Has Course booking],"")</f>
        <v>0</v>
      </c>
      <c r="P849" t="str">
        <f>_xlfn.XLOOKUP(Data[[#This Row],[StatusKey]],Status_Key[Status_Key],Status_Key[Name],"")</f>
        <v>In Date</v>
      </c>
    </row>
    <row r="850" spans="1:16" x14ac:dyDescent="0.25">
      <c r="A850" s="1">
        <v>180</v>
      </c>
      <c r="B850" s="1" t="s">
        <v>219</v>
      </c>
      <c r="C850" s="1" t="s">
        <v>220</v>
      </c>
      <c r="D850" s="1" t="s">
        <v>221</v>
      </c>
      <c r="E850" s="1" t="s">
        <v>124</v>
      </c>
      <c r="F850" s="1" t="s">
        <v>72</v>
      </c>
      <c r="G850" s="1" t="s">
        <v>18</v>
      </c>
      <c r="H850" s="1" t="s">
        <v>164</v>
      </c>
      <c r="I850" s="1" t="s">
        <v>60</v>
      </c>
      <c r="J850" s="1"/>
      <c r="K850" s="1" t="s">
        <v>125</v>
      </c>
      <c r="L850" s="3"/>
      <c r="M850" s="3"/>
      <c r="N850">
        <f>_xlfn.XLOOKUP(Data[[#This Row],[Status]],Compliance_Status[Status from OPMS],Compliance_Status[Status_Key],"")</f>
        <v>2</v>
      </c>
      <c r="O850">
        <f>_xlfn.XLOOKUP(Data[[#This Row],[Status]],Compliance_Status[Status from OPMS],Compliance_Status[Has Course booking],"")</f>
        <v>0</v>
      </c>
      <c r="P850" t="str">
        <f>_xlfn.XLOOKUP(Data[[#This Row],[StatusKey]],Status_Key[Status_Key],Status_Key[Name],"")</f>
        <v>Outstanding</v>
      </c>
    </row>
    <row r="851" spans="1:16" x14ac:dyDescent="0.25">
      <c r="A851" s="1">
        <v>180</v>
      </c>
      <c r="B851" s="1" t="s">
        <v>219</v>
      </c>
      <c r="C851" s="1" t="s">
        <v>220</v>
      </c>
      <c r="D851" s="1" t="s">
        <v>221</v>
      </c>
      <c r="E851" s="1" t="s">
        <v>97</v>
      </c>
      <c r="F851" s="1" t="s">
        <v>65</v>
      </c>
      <c r="G851" s="1" t="s">
        <v>16</v>
      </c>
      <c r="H851" s="1" t="s">
        <v>164</v>
      </c>
      <c r="I851" s="1" t="s">
        <v>60</v>
      </c>
      <c r="J851" s="1" t="s">
        <v>67</v>
      </c>
      <c r="K851" s="1" t="s">
        <v>98</v>
      </c>
      <c r="L851" s="3">
        <v>47244</v>
      </c>
      <c r="M851" s="3">
        <v>45418</v>
      </c>
      <c r="N851">
        <f>_xlfn.XLOOKUP(Data[[#This Row],[Status]],Compliance_Status[Status from OPMS],Compliance_Status[Status_Key],"")</f>
        <v>4</v>
      </c>
      <c r="O851">
        <f>_xlfn.XLOOKUP(Data[[#This Row],[Status]],Compliance_Status[Status from OPMS],Compliance_Status[Has Course booking],"")</f>
        <v>0</v>
      </c>
      <c r="P851" t="str">
        <f>_xlfn.XLOOKUP(Data[[#This Row],[StatusKey]],Status_Key[Status_Key],Status_Key[Name],"")</f>
        <v>In Date</v>
      </c>
    </row>
    <row r="852" spans="1:16" x14ac:dyDescent="0.25">
      <c r="A852" s="1">
        <v>180</v>
      </c>
      <c r="B852" s="1" t="s">
        <v>219</v>
      </c>
      <c r="C852" s="1" t="s">
        <v>220</v>
      </c>
      <c r="D852" s="1" t="s">
        <v>221</v>
      </c>
      <c r="E852" s="1" t="s">
        <v>100</v>
      </c>
      <c r="F852" s="1" t="s">
        <v>72</v>
      </c>
      <c r="G852" s="1" t="s">
        <v>18</v>
      </c>
      <c r="H852" s="1" t="s">
        <v>164</v>
      </c>
      <c r="I852" s="1" t="s">
        <v>60</v>
      </c>
      <c r="J852" s="1"/>
      <c r="K852" s="1" t="s">
        <v>98</v>
      </c>
      <c r="L852" s="3"/>
      <c r="M852" s="3"/>
      <c r="N852">
        <f>_xlfn.XLOOKUP(Data[[#This Row],[Status]],Compliance_Status[Status from OPMS],Compliance_Status[Status_Key],"")</f>
        <v>2</v>
      </c>
      <c r="O852">
        <f>_xlfn.XLOOKUP(Data[[#This Row],[Status]],Compliance_Status[Status from OPMS],Compliance_Status[Has Course booking],"")</f>
        <v>0</v>
      </c>
      <c r="P852" t="str">
        <f>_xlfn.XLOOKUP(Data[[#This Row],[StatusKey]],Status_Key[Status_Key],Status_Key[Name],"")</f>
        <v>Outstanding</v>
      </c>
    </row>
    <row r="853" spans="1:16" x14ac:dyDescent="0.25">
      <c r="A853" s="1">
        <v>180</v>
      </c>
      <c r="B853" s="1" t="s">
        <v>219</v>
      </c>
      <c r="C853" s="1" t="s">
        <v>220</v>
      </c>
      <c r="D853" s="1" t="s">
        <v>221</v>
      </c>
      <c r="E853" s="1" t="s">
        <v>101</v>
      </c>
      <c r="F853" s="1" t="s">
        <v>65</v>
      </c>
      <c r="G853" s="1" t="s">
        <v>16</v>
      </c>
      <c r="H853" s="1" t="s">
        <v>164</v>
      </c>
      <c r="I853" s="1" t="s">
        <v>60</v>
      </c>
      <c r="J853" s="1" t="s">
        <v>67</v>
      </c>
      <c r="K853" s="1" t="s">
        <v>102</v>
      </c>
      <c r="L853" s="3" t="s">
        <v>79</v>
      </c>
      <c r="M853" s="3">
        <v>45406</v>
      </c>
      <c r="N853">
        <f>_xlfn.XLOOKUP(Data[[#This Row],[Status]],Compliance_Status[Status from OPMS],Compliance_Status[Status_Key],"")</f>
        <v>4</v>
      </c>
      <c r="O853">
        <f>_xlfn.XLOOKUP(Data[[#This Row],[Status]],Compliance_Status[Status from OPMS],Compliance_Status[Has Course booking],"")</f>
        <v>0</v>
      </c>
      <c r="P853" t="str">
        <f>_xlfn.XLOOKUP(Data[[#This Row],[StatusKey]],Status_Key[Status_Key],Status_Key[Name],"")</f>
        <v>In Date</v>
      </c>
    </row>
    <row r="854" spans="1:16" x14ac:dyDescent="0.25">
      <c r="A854" s="1">
        <v>180</v>
      </c>
      <c r="B854" s="1" t="s">
        <v>219</v>
      </c>
      <c r="C854" s="1" t="s">
        <v>220</v>
      </c>
      <c r="D854" s="1" t="s">
        <v>221</v>
      </c>
      <c r="E854" s="1" t="s">
        <v>103</v>
      </c>
      <c r="F854" s="1" t="s">
        <v>65</v>
      </c>
      <c r="G854" s="1" t="s">
        <v>16</v>
      </c>
      <c r="H854" s="1" t="s">
        <v>164</v>
      </c>
      <c r="I854" s="1" t="s">
        <v>60</v>
      </c>
      <c r="J854" s="1" t="s">
        <v>67</v>
      </c>
      <c r="K854" s="1" t="s">
        <v>102</v>
      </c>
      <c r="L854" s="3">
        <v>46475</v>
      </c>
      <c r="M854" s="3">
        <v>45745</v>
      </c>
      <c r="N854">
        <f>_xlfn.XLOOKUP(Data[[#This Row],[Status]],Compliance_Status[Status from OPMS],Compliance_Status[Status_Key],"")</f>
        <v>4</v>
      </c>
      <c r="O854">
        <f>_xlfn.XLOOKUP(Data[[#This Row],[Status]],Compliance_Status[Status from OPMS],Compliance_Status[Has Course booking],"")</f>
        <v>0</v>
      </c>
      <c r="P854" t="str">
        <f>_xlfn.XLOOKUP(Data[[#This Row],[StatusKey]],Status_Key[Status_Key],Status_Key[Name],"")</f>
        <v>In Date</v>
      </c>
    </row>
    <row r="855" spans="1:16" x14ac:dyDescent="0.25">
      <c r="A855" s="1">
        <v>180</v>
      </c>
      <c r="B855" s="1" t="s">
        <v>219</v>
      </c>
      <c r="C855" s="1" t="s">
        <v>220</v>
      </c>
      <c r="D855" s="1" t="s">
        <v>221</v>
      </c>
      <c r="E855" s="1" t="s">
        <v>104</v>
      </c>
      <c r="F855" s="1" t="s">
        <v>65</v>
      </c>
      <c r="G855" s="1" t="s">
        <v>16</v>
      </c>
      <c r="H855" s="1" t="s">
        <v>164</v>
      </c>
      <c r="I855" s="1" t="s">
        <v>60</v>
      </c>
      <c r="J855" s="1" t="s">
        <v>67</v>
      </c>
      <c r="K855" s="1" t="s">
        <v>105</v>
      </c>
      <c r="L855" s="3">
        <v>46770</v>
      </c>
      <c r="M855" s="3">
        <v>46040</v>
      </c>
      <c r="N855">
        <f>_xlfn.XLOOKUP(Data[[#This Row],[Status]],Compliance_Status[Status from OPMS],Compliance_Status[Status_Key],"")</f>
        <v>4</v>
      </c>
      <c r="O855">
        <f>_xlfn.XLOOKUP(Data[[#This Row],[Status]],Compliance_Status[Status from OPMS],Compliance_Status[Has Course booking],"")</f>
        <v>0</v>
      </c>
      <c r="P855" t="str">
        <f>_xlfn.XLOOKUP(Data[[#This Row],[StatusKey]],Status_Key[Status_Key],Status_Key[Name],"")</f>
        <v>In Date</v>
      </c>
    </row>
    <row r="856" spans="1:16" x14ac:dyDescent="0.25">
      <c r="A856" s="1">
        <v>180</v>
      </c>
      <c r="B856" s="1" t="s">
        <v>219</v>
      </c>
      <c r="C856" s="1" t="s">
        <v>220</v>
      </c>
      <c r="D856" s="1" t="s">
        <v>221</v>
      </c>
      <c r="E856" s="1" t="s">
        <v>106</v>
      </c>
      <c r="F856" s="1" t="s">
        <v>65</v>
      </c>
      <c r="G856" s="1" t="s">
        <v>16</v>
      </c>
      <c r="H856" s="1" t="s">
        <v>164</v>
      </c>
      <c r="I856" s="1" t="s">
        <v>60</v>
      </c>
      <c r="J856" s="1" t="s">
        <v>67</v>
      </c>
      <c r="K856" s="1" t="s">
        <v>105</v>
      </c>
      <c r="L856" s="3">
        <v>47244</v>
      </c>
      <c r="M856" s="3">
        <v>45418</v>
      </c>
      <c r="N856">
        <f>_xlfn.XLOOKUP(Data[[#This Row],[Status]],Compliance_Status[Status from OPMS],Compliance_Status[Status_Key],"")</f>
        <v>4</v>
      </c>
      <c r="O856">
        <f>_xlfn.XLOOKUP(Data[[#This Row],[Status]],Compliance_Status[Status from OPMS],Compliance_Status[Has Course booking],"")</f>
        <v>0</v>
      </c>
      <c r="P856" t="str">
        <f>_xlfn.XLOOKUP(Data[[#This Row],[StatusKey]],Status_Key[Status_Key],Status_Key[Name],"")</f>
        <v>In Date</v>
      </c>
    </row>
    <row r="857" spans="1:16" x14ac:dyDescent="0.25">
      <c r="A857" s="1">
        <v>180</v>
      </c>
      <c r="B857" s="1" t="s">
        <v>219</v>
      </c>
      <c r="C857" s="1" t="s">
        <v>220</v>
      </c>
      <c r="D857" s="1" t="s">
        <v>221</v>
      </c>
      <c r="E857" s="1" t="s">
        <v>107</v>
      </c>
      <c r="F857" s="1" t="s">
        <v>65</v>
      </c>
      <c r="G857" s="1" t="s">
        <v>16</v>
      </c>
      <c r="H857" s="1" t="s">
        <v>164</v>
      </c>
      <c r="I857" s="1" t="s">
        <v>60</v>
      </c>
      <c r="J857" s="1" t="s">
        <v>67</v>
      </c>
      <c r="K857" s="1" t="s">
        <v>105</v>
      </c>
      <c r="L857" s="3">
        <v>46513</v>
      </c>
      <c r="M857" s="3">
        <v>45418</v>
      </c>
      <c r="N857">
        <f>_xlfn.XLOOKUP(Data[[#This Row],[Status]],Compliance_Status[Status from OPMS],Compliance_Status[Status_Key],"")</f>
        <v>4</v>
      </c>
      <c r="O857">
        <f>_xlfn.XLOOKUP(Data[[#This Row],[Status]],Compliance_Status[Status from OPMS],Compliance_Status[Has Course booking],"")</f>
        <v>0</v>
      </c>
      <c r="P857" t="str">
        <f>_xlfn.XLOOKUP(Data[[#This Row],[StatusKey]],Status_Key[Status_Key],Status_Key[Name],"")</f>
        <v>In Date</v>
      </c>
    </row>
    <row r="858" spans="1:16" x14ac:dyDescent="0.25">
      <c r="A858" s="1">
        <v>180</v>
      </c>
      <c r="B858" s="1" t="s">
        <v>219</v>
      </c>
      <c r="C858" s="1" t="s">
        <v>220</v>
      </c>
      <c r="D858" s="1" t="s">
        <v>221</v>
      </c>
      <c r="E858" s="1" t="s">
        <v>108</v>
      </c>
      <c r="F858" s="1" t="s">
        <v>65</v>
      </c>
      <c r="G858" s="1" t="s">
        <v>16</v>
      </c>
      <c r="H858" s="1" t="s">
        <v>164</v>
      </c>
      <c r="I858" s="1" t="s">
        <v>60</v>
      </c>
      <c r="J858" s="1" t="s">
        <v>67</v>
      </c>
      <c r="K858" s="1" t="s">
        <v>105</v>
      </c>
      <c r="L858" s="3">
        <v>47314</v>
      </c>
      <c r="M858" s="3">
        <v>46218</v>
      </c>
      <c r="N858">
        <f>_xlfn.XLOOKUP(Data[[#This Row],[Status]],Compliance_Status[Status from OPMS],Compliance_Status[Status_Key],"")</f>
        <v>4</v>
      </c>
      <c r="O858">
        <f>_xlfn.XLOOKUP(Data[[#This Row],[Status]],Compliance_Status[Status from OPMS],Compliance_Status[Has Course booking],"")</f>
        <v>0</v>
      </c>
      <c r="P858" t="str">
        <f>_xlfn.XLOOKUP(Data[[#This Row],[StatusKey]],Status_Key[Status_Key],Status_Key[Name],"")</f>
        <v>In Date</v>
      </c>
    </row>
    <row r="859" spans="1:16" x14ac:dyDescent="0.25">
      <c r="A859" s="1">
        <v>180</v>
      </c>
      <c r="B859" s="1" t="s">
        <v>219</v>
      </c>
      <c r="C859" s="1" t="s">
        <v>220</v>
      </c>
      <c r="D859" s="1" t="s">
        <v>221</v>
      </c>
      <c r="E859" s="1" t="s">
        <v>109</v>
      </c>
      <c r="F859" s="1" t="s">
        <v>65</v>
      </c>
      <c r="G859" s="1" t="s">
        <v>16</v>
      </c>
      <c r="H859" s="1" t="s">
        <v>164</v>
      </c>
      <c r="I859" s="1" t="s">
        <v>60</v>
      </c>
      <c r="J859" s="1" t="s">
        <v>67</v>
      </c>
      <c r="K859" s="1" t="s">
        <v>105</v>
      </c>
      <c r="L859" s="3">
        <v>46770</v>
      </c>
      <c r="M859" s="3">
        <v>46040</v>
      </c>
      <c r="N859">
        <f>_xlfn.XLOOKUP(Data[[#This Row],[Status]],Compliance_Status[Status from OPMS],Compliance_Status[Status_Key],"")</f>
        <v>4</v>
      </c>
      <c r="O859">
        <f>_xlfn.XLOOKUP(Data[[#This Row],[Status]],Compliance_Status[Status from OPMS],Compliance_Status[Has Course booking],"")</f>
        <v>0</v>
      </c>
      <c r="P859" t="str">
        <f>_xlfn.XLOOKUP(Data[[#This Row],[StatusKey]],Status_Key[Status_Key],Status_Key[Name],"")</f>
        <v>In Date</v>
      </c>
    </row>
    <row r="860" spans="1:16" x14ac:dyDescent="0.25">
      <c r="A860" s="1">
        <v>180</v>
      </c>
      <c r="B860" s="1" t="s">
        <v>219</v>
      </c>
      <c r="C860" s="1" t="s">
        <v>220</v>
      </c>
      <c r="D860" s="1" t="s">
        <v>221</v>
      </c>
      <c r="E860" s="1" t="s">
        <v>110</v>
      </c>
      <c r="F860" s="1" t="s">
        <v>65</v>
      </c>
      <c r="G860" s="1" t="s">
        <v>16</v>
      </c>
      <c r="H860" s="1" t="s">
        <v>164</v>
      </c>
      <c r="I860" s="1" t="s">
        <v>60</v>
      </c>
      <c r="J860" s="1" t="s">
        <v>67</v>
      </c>
      <c r="K860" s="1" t="s">
        <v>105</v>
      </c>
      <c r="L860" s="3" t="s">
        <v>79</v>
      </c>
      <c r="M860" s="3">
        <v>45419</v>
      </c>
      <c r="N860">
        <f>_xlfn.XLOOKUP(Data[[#This Row],[Status]],Compliance_Status[Status from OPMS],Compliance_Status[Status_Key],"")</f>
        <v>4</v>
      </c>
      <c r="O860">
        <f>_xlfn.XLOOKUP(Data[[#This Row],[Status]],Compliance_Status[Status from OPMS],Compliance_Status[Has Course booking],"")</f>
        <v>0</v>
      </c>
      <c r="P860" t="str">
        <f>_xlfn.XLOOKUP(Data[[#This Row],[StatusKey]],Status_Key[Status_Key],Status_Key[Name],"")</f>
        <v>In Date</v>
      </c>
    </row>
    <row r="861" spans="1:16" x14ac:dyDescent="0.25">
      <c r="A861" s="1">
        <v>180</v>
      </c>
      <c r="B861" s="1" t="s">
        <v>219</v>
      </c>
      <c r="C861" s="1" t="s">
        <v>220</v>
      </c>
      <c r="D861" s="1" t="s">
        <v>221</v>
      </c>
      <c r="E861" s="1" t="s">
        <v>111</v>
      </c>
      <c r="F861" s="1" t="s">
        <v>65</v>
      </c>
      <c r="G861" s="1" t="s">
        <v>16</v>
      </c>
      <c r="H861" s="1" t="s">
        <v>164</v>
      </c>
      <c r="I861" s="1" t="s">
        <v>60</v>
      </c>
      <c r="J861" s="1" t="s">
        <v>67</v>
      </c>
      <c r="K861" s="1" t="s">
        <v>105</v>
      </c>
      <c r="L861" s="3">
        <v>46714</v>
      </c>
      <c r="M861" s="3">
        <v>45984</v>
      </c>
      <c r="N861">
        <f>_xlfn.XLOOKUP(Data[[#This Row],[Status]],Compliance_Status[Status from OPMS],Compliance_Status[Status_Key],"")</f>
        <v>4</v>
      </c>
      <c r="O861">
        <f>_xlfn.XLOOKUP(Data[[#This Row],[Status]],Compliance_Status[Status from OPMS],Compliance_Status[Has Course booking],"")</f>
        <v>0</v>
      </c>
      <c r="P861" t="str">
        <f>_xlfn.XLOOKUP(Data[[#This Row],[StatusKey]],Status_Key[Status_Key],Status_Key[Name],"")</f>
        <v>In Date</v>
      </c>
    </row>
    <row r="862" spans="1:16" x14ac:dyDescent="0.25">
      <c r="A862" s="1">
        <v>180</v>
      </c>
      <c r="B862" s="1" t="s">
        <v>219</v>
      </c>
      <c r="C862" s="1" t="s">
        <v>220</v>
      </c>
      <c r="D862" s="1" t="s">
        <v>221</v>
      </c>
      <c r="E862" s="1" t="s">
        <v>112</v>
      </c>
      <c r="F862" s="1" t="s">
        <v>65</v>
      </c>
      <c r="G862" s="1" t="s">
        <v>16</v>
      </c>
      <c r="H862" s="1" t="s">
        <v>164</v>
      </c>
      <c r="I862" s="1" t="s">
        <v>60</v>
      </c>
      <c r="J862" s="1" t="s">
        <v>67</v>
      </c>
      <c r="K862" s="1" t="s">
        <v>105</v>
      </c>
      <c r="L862" s="3">
        <v>46665</v>
      </c>
      <c r="M862" s="3">
        <v>45935</v>
      </c>
      <c r="N862">
        <f>_xlfn.XLOOKUP(Data[[#This Row],[Status]],Compliance_Status[Status from OPMS],Compliance_Status[Status_Key],"")</f>
        <v>4</v>
      </c>
      <c r="O862">
        <f>_xlfn.XLOOKUP(Data[[#This Row],[Status]],Compliance_Status[Status from OPMS],Compliance_Status[Has Course booking],"")</f>
        <v>0</v>
      </c>
      <c r="P862" t="str">
        <f>_xlfn.XLOOKUP(Data[[#This Row],[StatusKey]],Status_Key[Status_Key],Status_Key[Name],"")</f>
        <v>In Date</v>
      </c>
    </row>
    <row r="863" spans="1:16" x14ac:dyDescent="0.25">
      <c r="A863" s="1">
        <v>180</v>
      </c>
      <c r="B863" s="1" t="s">
        <v>219</v>
      </c>
      <c r="C863" s="1" t="s">
        <v>220</v>
      </c>
      <c r="D863" s="1" t="s">
        <v>221</v>
      </c>
      <c r="E863" s="1" t="s">
        <v>113</v>
      </c>
      <c r="F863" s="1" t="s">
        <v>65</v>
      </c>
      <c r="G863" s="1" t="s">
        <v>16</v>
      </c>
      <c r="H863" s="1" t="s">
        <v>164</v>
      </c>
      <c r="I863" s="1" t="s">
        <v>60</v>
      </c>
      <c r="J863" s="1" t="s">
        <v>67</v>
      </c>
      <c r="K863" s="1" t="s">
        <v>105</v>
      </c>
      <c r="L863" s="3">
        <v>46756</v>
      </c>
      <c r="M863" s="3">
        <v>46026</v>
      </c>
      <c r="N863">
        <f>_xlfn.XLOOKUP(Data[[#This Row],[Status]],Compliance_Status[Status from OPMS],Compliance_Status[Status_Key],"")</f>
        <v>4</v>
      </c>
      <c r="O863">
        <f>_xlfn.XLOOKUP(Data[[#This Row],[Status]],Compliance_Status[Status from OPMS],Compliance_Status[Has Course booking],"")</f>
        <v>0</v>
      </c>
      <c r="P863" t="str">
        <f>_xlfn.XLOOKUP(Data[[#This Row],[StatusKey]],Status_Key[Status_Key],Status_Key[Name],"")</f>
        <v>In Date</v>
      </c>
    </row>
    <row r="864" spans="1:16" x14ac:dyDescent="0.25">
      <c r="A864" s="1">
        <v>177</v>
      </c>
      <c r="B864" s="1" t="s">
        <v>222</v>
      </c>
      <c r="C864" s="1" t="s">
        <v>223</v>
      </c>
      <c r="D864" s="1" t="s">
        <v>224</v>
      </c>
      <c r="E864" s="1" t="s">
        <v>163</v>
      </c>
      <c r="F864" s="1" t="s">
        <v>65</v>
      </c>
      <c r="G864" s="1" t="s">
        <v>16</v>
      </c>
      <c r="H864" s="1" t="s">
        <v>164</v>
      </c>
      <c r="I864" s="1" t="s">
        <v>60</v>
      </c>
      <c r="J864" s="1"/>
      <c r="K864" s="1" t="s">
        <v>68</v>
      </c>
      <c r="L864" s="3">
        <v>46677</v>
      </c>
      <c r="M864" s="3">
        <v>44852</v>
      </c>
      <c r="N864">
        <f>_xlfn.XLOOKUP(Data[[#This Row],[Status]],Compliance_Status[Status from OPMS],Compliance_Status[Status_Key],"")</f>
        <v>4</v>
      </c>
      <c r="O864">
        <f>_xlfn.XLOOKUP(Data[[#This Row],[Status]],Compliance_Status[Status from OPMS],Compliance_Status[Has Course booking],"")</f>
        <v>0</v>
      </c>
      <c r="P864" t="str">
        <f>_xlfn.XLOOKUP(Data[[#This Row],[StatusKey]],Status_Key[Status_Key],Status_Key[Name],"")</f>
        <v>In Date</v>
      </c>
    </row>
    <row r="865" spans="1:16" x14ac:dyDescent="0.25">
      <c r="A865" s="1">
        <v>177</v>
      </c>
      <c r="B865" s="1" t="s">
        <v>222</v>
      </c>
      <c r="C865" s="1" t="s">
        <v>223</v>
      </c>
      <c r="D865" s="1" t="s">
        <v>224</v>
      </c>
      <c r="E865" s="1" t="s">
        <v>131</v>
      </c>
      <c r="F865" s="1" t="s">
        <v>72</v>
      </c>
      <c r="G865" s="1" t="s">
        <v>16</v>
      </c>
      <c r="H865" s="1" t="s">
        <v>164</v>
      </c>
      <c r="I865" s="1" t="s">
        <v>60</v>
      </c>
      <c r="J865" s="1" t="s">
        <v>67</v>
      </c>
      <c r="K865" s="1" t="s">
        <v>68</v>
      </c>
      <c r="L865" s="3">
        <v>46637</v>
      </c>
      <c r="M865" s="3">
        <v>44812</v>
      </c>
      <c r="N865">
        <f>_xlfn.XLOOKUP(Data[[#This Row],[Status]],Compliance_Status[Status from OPMS],Compliance_Status[Status_Key],"")</f>
        <v>4</v>
      </c>
      <c r="O865">
        <f>_xlfn.XLOOKUP(Data[[#This Row],[Status]],Compliance_Status[Status from OPMS],Compliance_Status[Has Course booking],"")</f>
        <v>0</v>
      </c>
      <c r="P865" t="str">
        <f>_xlfn.XLOOKUP(Data[[#This Row],[StatusKey]],Status_Key[Status_Key],Status_Key[Name],"")</f>
        <v>In Date</v>
      </c>
    </row>
    <row r="866" spans="1:16" x14ac:dyDescent="0.25">
      <c r="A866" s="1">
        <v>177</v>
      </c>
      <c r="B866" s="1" t="s">
        <v>222</v>
      </c>
      <c r="C866" s="1" t="s">
        <v>223</v>
      </c>
      <c r="D866" s="1" t="s">
        <v>224</v>
      </c>
      <c r="E866" s="1" t="s">
        <v>69</v>
      </c>
      <c r="F866" s="1"/>
      <c r="G866" s="1" t="s">
        <v>16</v>
      </c>
      <c r="H866" s="1" t="s">
        <v>164</v>
      </c>
      <c r="I866" s="1" t="s">
        <v>60</v>
      </c>
      <c r="J866" s="1" t="s">
        <v>67</v>
      </c>
      <c r="K866" s="1" t="s">
        <v>68</v>
      </c>
      <c r="L866" s="3">
        <v>47915</v>
      </c>
      <c r="M866" s="3">
        <v>46090</v>
      </c>
      <c r="N866">
        <f>_xlfn.XLOOKUP(Data[[#This Row],[Status]],Compliance_Status[Status from OPMS],Compliance_Status[Status_Key],"")</f>
        <v>4</v>
      </c>
      <c r="O866">
        <f>_xlfn.XLOOKUP(Data[[#This Row],[Status]],Compliance_Status[Status from OPMS],Compliance_Status[Has Course booking],"")</f>
        <v>0</v>
      </c>
      <c r="P866" t="str">
        <f>_xlfn.XLOOKUP(Data[[#This Row],[StatusKey]],Status_Key[Status_Key],Status_Key[Name],"")</f>
        <v>In Date</v>
      </c>
    </row>
    <row r="867" spans="1:16" x14ac:dyDescent="0.25">
      <c r="A867" s="1">
        <v>177</v>
      </c>
      <c r="B867" s="1" t="s">
        <v>222</v>
      </c>
      <c r="C867" s="1" t="s">
        <v>223</v>
      </c>
      <c r="D867" s="1" t="s">
        <v>224</v>
      </c>
      <c r="E867" s="1" t="s">
        <v>70</v>
      </c>
      <c r="F867" s="1"/>
      <c r="G867" s="1" t="s">
        <v>16</v>
      </c>
      <c r="H867" s="1" t="s">
        <v>164</v>
      </c>
      <c r="I867" s="1" t="s">
        <v>60</v>
      </c>
      <c r="J867" s="1" t="s">
        <v>67</v>
      </c>
      <c r="K867" s="1" t="s">
        <v>68</v>
      </c>
      <c r="L867" s="3">
        <v>47657</v>
      </c>
      <c r="M867" s="3">
        <v>45831</v>
      </c>
      <c r="N867">
        <f>_xlfn.XLOOKUP(Data[[#This Row],[Status]],Compliance_Status[Status from OPMS],Compliance_Status[Status_Key],"")</f>
        <v>4</v>
      </c>
      <c r="O867">
        <f>_xlfn.XLOOKUP(Data[[#This Row],[Status]],Compliance_Status[Status from OPMS],Compliance_Status[Has Course booking],"")</f>
        <v>0</v>
      </c>
      <c r="P867" t="str">
        <f>_xlfn.XLOOKUP(Data[[#This Row],[StatusKey]],Status_Key[Status_Key],Status_Key[Name],"")</f>
        <v>In Date</v>
      </c>
    </row>
    <row r="868" spans="1:16" x14ac:dyDescent="0.25">
      <c r="A868" s="1">
        <v>177</v>
      </c>
      <c r="B868" s="1" t="s">
        <v>222</v>
      </c>
      <c r="C868" s="1" t="s">
        <v>223</v>
      </c>
      <c r="D868" s="1" t="s">
        <v>224</v>
      </c>
      <c r="E868" s="1" t="s">
        <v>71</v>
      </c>
      <c r="F868" s="1" t="s">
        <v>72</v>
      </c>
      <c r="G868" s="1" t="s">
        <v>16</v>
      </c>
      <c r="H868" s="1" t="s">
        <v>164</v>
      </c>
      <c r="I868" s="1" t="s">
        <v>60</v>
      </c>
      <c r="J868" s="1" t="s">
        <v>67</v>
      </c>
      <c r="K868" s="1" t="s">
        <v>68</v>
      </c>
      <c r="L868" s="3">
        <v>47185</v>
      </c>
      <c r="M868" s="3">
        <v>45359</v>
      </c>
      <c r="N868">
        <f>_xlfn.XLOOKUP(Data[[#This Row],[Status]],Compliance_Status[Status from OPMS],Compliance_Status[Status_Key],"")</f>
        <v>4</v>
      </c>
      <c r="O868">
        <f>_xlfn.XLOOKUP(Data[[#This Row],[Status]],Compliance_Status[Status from OPMS],Compliance_Status[Has Course booking],"")</f>
        <v>0</v>
      </c>
      <c r="P868" t="str">
        <f>_xlfn.XLOOKUP(Data[[#This Row],[StatusKey]],Status_Key[Status_Key],Status_Key[Name],"")</f>
        <v>In Date</v>
      </c>
    </row>
    <row r="869" spans="1:16" x14ac:dyDescent="0.25">
      <c r="A869" s="1">
        <v>177</v>
      </c>
      <c r="B869" s="1" t="s">
        <v>222</v>
      </c>
      <c r="C869" s="1" t="s">
        <v>223</v>
      </c>
      <c r="D869" s="1" t="s">
        <v>224</v>
      </c>
      <c r="E869" s="1" t="s">
        <v>73</v>
      </c>
      <c r="F869" s="1" t="s">
        <v>65</v>
      </c>
      <c r="G869" s="1" t="s">
        <v>16</v>
      </c>
      <c r="H869" s="1" t="s">
        <v>164</v>
      </c>
      <c r="I869" s="1" t="s">
        <v>60</v>
      </c>
      <c r="J869" s="1" t="s">
        <v>67</v>
      </c>
      <c r="K869" s="1" t="s">
        <v>68</v>
      </c>
      <c r="L869" s="3">
        <v>46845</v>
      </c>
      <c r="M869" s="3">
        <v>46114</v>
      </c>
      <c r="N869">
        <f>_xlfn.XLOOKUP(Data[[#This Row],[Status]],Compliance_Status[Status from OPMS],Compliance_Status[Status_Key],"")</f>
        <v>4</v>
      </c>
      <c r="O869">
        <f>_xlfn.XLOOKUP(Data[[#This Row],[Status]],Compliance_Status[Status from OPMS],Compliance_Status[Has Course booking],"")</f>
        <v>0</v>
      </c>
      <c r="P869" t="str">
        <f>_xlfn.XLOOKUP(Data[[#This Row],[StatusKey]],Status_Key[Status_Key],Status_Key[Name],"")</f>
        <v>In Date</v>
      </c>
    </row>
    <row r="870" spans="1:16" x14ac:dyDescent="0.25">
      <c r="A870" s="1">
        <v>177</v>
      </c>
      <c r="B870" s="1" t="s">
        <v>222</v>
      </c>
      <c r="C870" s="1" t="s">
        <v>223</v>
      </c>
      <c r="D870" s="1" t="s">
        <v>224</v>
      </c>
      <c r="E870" s="1" t="s">
        <v>74</v>
      </c>
      <c r="F870" s="1" t="s">
        <v>65</v>
      </c>
      <c r="G870" s="1" t="s">
        <v>16</v>
      </c>
      <c r="H870" s="1" t="s">
        <v>164</v>
      </c>
      <c r="I870" s="1" t="s">
        <v>60</v>
      </c>
      <c r="J870" s="1" t="s">
        <v>67</v>
      </c>
      <c r="K870" s="1" t="s">
        <v>68</v>
      </c>
      <c r="L870" s="3">
        <v>46762</v>
      </c>
      <c r="M870" s="3">
        <v>45667</v>
      </c>
      <c r="N870">
        <f>_xlfn.XLOOKUP(Data[[#This Row],[Status]],Compliance_Status[Status from OPMS],Compliance_Status[Status_Key],"")</f>
        <v>4</v>
      </c>
      <c r="O870">
        <f>_xlfn.XLOOKUP(Data[[#This Row],[Status]],Compliance_Status[Status from OPMS],Compliance_Status[Has Course booking],"")</f>
        <v>0</v>
      </c>
      <c r="P870" t="str">
        <f>_xlfn.XLOOKUP(Data[[#This Row],[StatusKey]],Status_Key[Status_Key],Status_Key[Name],"")</f>
        <v>In Date</v>
      </c>
    </row>
    <row r="871" spans="1:16" x14ac:dyDescent="0.25">
      <c r="A871" s="1">
        <v>177</v>
      </c>
      <c r="B871" s="1" t="s">
        <v>222</v>
      </c>
      <c r="C871" s="1" t="s">
        <v>223</v>
      </c>
      <c r="D871" s="1" t="s">
        <v>224</v>
      </c>
      <c r="E871" s="1" t="s">
        <v>75</v>
      </c>
      <c r="F871" s="1" t="s">
        <v>72</v>
      </c>
      <c r="G871" s="1" t="s">
        <v>24</v>
      </c>
      <c r="H871" s="1" t="s">
        <v>164</v>
      </c>
      <c r="I871" s="1" t="s">
        <v>60</v>
      </c>
      <c r="J871" s="1" t="s">
        <v>67</v>
      </c>
      <c r="K871" s="1" t="s">
        <v>68</v>
      </c>
      <c r="L871" s="3">
        <v>46385</v>
      </c>
      <c r="M871" s="3">
        <v>45667</v>
      </c>
      <c r="N871">
        <f>_xlfn.XLOOKUP(Data[[#This Row],[Status]],Compliance_Status[Status from OPMS],Compliance_Status[Status_Key],"")</f>
        <v>3</v>
      </c>
      <c r="O871">
        <f>_xlfn.XLOOKUP(Data[[#This Row],[Status]],Compliance_Status[Status from OPMS],Compliance_Status[Has Course booking],"")</f>
        <v>0</v>
      </c>
      <c r="P871" t="str">
        <f>_xlfn.XLOOKUP(Data[[#This Row],[StatusKey]],Status_Key[Status_Key],Status_Key[Name],"")</f>
        <v>About to expire</v>
      </c>
    </row>
    <row r="872" spans="1:16" x14ac:dyDescent="0.25">
      <c r="A872" s="1">
        <v>177</v>
      </c>
      <c r="B872" s="1" t="s">
        <v>222</v>
      </c>
      <c r="C872" s="1" t="s">
        <v>223</v>
      </c>
      <c r="D872" s="1" t="s">
        <v>224</v>
      </c>
      <c r="E872" s="1" t="s">
        <v>165</v>
      </c>
      <c r="F872" s="1" t="s">
        <v>72</v>
      </c>
      <c r="G872" s="1" t="s">
        <v>16</v>
      </c>
      <c r="H872" s="1" t="s">
        <v>164</v>
      </c>
      <c r="I872" s="1" t="s">
        <v>60</v>
      </c>
      <c r="J872" s="1" t="s">
        <v>67</v>
      </c>
      <c r="K872" s="1" t="s">
        <v>68</v>
      </c>
      <c r="L872" s="3" t="s">
        <v>79</v>
      </c>
      <c r="M872" s="3">
        <v>45373</v>
      </c>
      <c r="N872">
        <f>_xlfn.XLOOKUP(Data[[#This Row],[Status]],Compliance_Status[Status from OPMS],Compliance_Status[Status_Key],"")</f>
        <v>4</v>
      </c>
      <c r="O872">
        <f>_xlfn.XLOOKUP(Data[[#This Row],[Status]],Compliance_Status[Status from OPMS],Compliance_Status[Has Course booking],"")</f>
        <v>0</v>
      </c>
      <c r="P872" t="str">
        <f>_xlfn.XLOOKUP(Data[[#This Row],[StatusKey]],Status_Key[Status_Key],Status_Key[Name],"")</f>
        <v>In Date</v>
      </c>
    </row>
    <row r="873" spans="1:16" x14ac:dyDescent="0.25">
      <c r="A873" s="1">
        <v>177</v>
      </c>
      <c r="B873" s="1" t="s">
        <v>222</v>
      </c>
      <c r="C873" s="1" t="s">
        <v>223</v>
      </c>
      <c r="D873" s="1" t="s">
        <v>224</v>
      </c>
      <c r="E873" s="1" t="s">
        <v>76</v>
      </c>
      <c r="F873" s="1" t="s">
        <v>65</v>
      </c>
      <c r="G873" s="1" t="s">
        <v>16</v>
      </c>
      <c r="H873" s="1" t="s">
        <v>164</v>
      </c>
      <c r="I873" s="1" t="s">
        <v>60</v>
      </c>
      <c r="J873" s="1" t="s">
        <v>67</v>
      </c>
      <c r="K873" s="1" t="s">
        <v>77</v>
      </c>
      <c r="L873" s="3">
        <v>46934</v>
      </c>
      <c r="M873" s="3">
        <v>46203</v>
      </c>
      <c r="N873">
        <f>_xlfn.XLOOKUP(Data[[#This Row],[Status]],Compliance_Status[Status from OPMS],Compliance_Status[Status_Key],"")</f>
        <v>4</v>
      </c>
      <c r="O873">
        <f>_xlfn.XLOOKUP(Data[[#This Row],[Status]],Compliance_Status[Status from OPMS],Compliance_Status[Has Course booking],"")</f>
        <v>0</v>
      </c>
      <c r="P873" t="str">
        <f>_xlfn.XLOOKUP(Data[[#This Row],[StatusKey]],Status_Key[Status_Key],Status_Key[Name],"")</f>
        <v>In Date</v>
      </c>
    </row>
    <row r="874" spans="1:16" x14ac:dyDescent="0.25">
      <c r="A874" s="1">
        <v>177</v>
      </c>
      <c r="B874" s="1" t="s">
        <v>222</v>
      </c>
      <c r="C874" s="1" t="s">
        <v>223</v>
      </c>
      <c r="D874" s="1" t="s">
        <v>224</v>
      </c>
      <c r="E874" s="1" t="s">
        <v>80</v>
      </c>
      <c r="F874" s="1" t="s">
        <v>65</v>
      </c>
      <c r="G874" s="1" t="s">
        <v>16</v>
      </c>
      <c r="H874" s="1" t="s">
        <v>164</v>
      </c>
      <c r="I874" s="1" t="s">
        <v>60</v>
      </c>
      <c r="J874" s="1" t="s">
        <v>67</v>
      </c>
      <c r="K874" s="1" t="s">
        <v>77</v>
      </c>
      <c r="L874" s="3" t="s">
        <v>79</v>
      </c>
      <c r="M874" s="3">
        <v>45392</v>
      </c>
      <c r="N874">
        <f>_xlfn.XLOOKUP(Data[[#This Row],[Status]],Compliance_Status[Status from OPMS],Compliance_Status[Status_Key],"")</f>
        <v>4</v>
      </c>
      <c r="O874">
        <f>_xlfn.XLOOKUP(Data[[#This Row],[Status]],Compliance_Status[Status from OPMS],Compliance_Status[Has Course booking],"")</f>
        <v>0</v>
      </c>
      <c r="P874" t="str">
        <f>_xlfn.XLOOKUP(Data[[#This Row],[StatusKey]],Status_Key[Status_Key],Status_Key[Name],"")</f>
        <v>In Date</v>
      </c>
    </row>
    <row r="875" spans="1:16" x14ac:dyDescent="0.25">
      <c r="A875" s="1">
        <v>177</v>
      </c>
      <c r="B875" s="1" t="s">
        <v>222</v>
      </c>
      <c r="C875" s="1" t="s">
        <v>223</v>
      </c>
      <c r="D875" s="1" t="s">
        <v>224</v>
      </c>
      <c r="E875" s="1" t="s">
        <v>84</v>
      </c>
      <c r="F875" s="1" t="s">
        <v>65</v>
      </c>
      <c r="G875" s="1" t="s">
        <v>16</v>
      </c>
      <c r="H875" s="1" t="s">
        <v>164</v>
      </c>
      <c r="I875" s="1" t="s">
        <v>60</v>
      </c>
      <c r="J875" s="1" t="s">
        <v>67</v>
      </c>
      <c r="K875" s="1" t="s">
        <v>83</v>
      </c>
      <c r="L875" s="3">
        <v>46716</v>
      </c>
      <c r="M875" s="3">
        <v>45986</v>
      </c>
      <c r="N875">
        <f>_xlfn.XLOOKUP(Data[[#This Row],[Status]],Compliance_Status[Status from OPMS],Compliance_Status[Status_Key],"")</f>
        <v>4</v>
      </c>
      <c r="O875">
        <f>_xlfn.XLOOKUP(Data[[#This Row],[Status]],Compliance_Status[Status from OPMS],Compliance_Status[Has Course booking],"")</f>
        <v>0</v>
      </c>
      <c r="P875" t="str">
        <f>_xlfn.XLOOKUP(Data[[#This Row],[StatusKey]],Status_Key[Status_Key],Status_Key[Name],"")</f>
        <v>In Date</v>
      </c>
    </row>
    <row r="876" spans="1:16" x14ac:dyDescent="0.25">
      <c r="A876" s="1">
        <v>177</v>
      </c>
      <c r="B876" s="1" t="s">
        <v>222</v>
      </c>
      <c r="C876" s="1" t="s">
        <v>223</v>
      </c>
      <c r="D876" s="1" t="s">
        <v>224</v>
      </c>
      <c r="E876" s="1" t="s">
        <v>93</v>
      </c>
      <c r="F876" s="1" t="s">
        <v>65</v>
      </c>
      <c r="G876" s="1" t="s">
        <v>16</v>
      </c>
      <c r="H876" s="1" t="s">
        <v>164</v>
      </c>
      <c r="I876" s="1" t="s">
        <v>60</v>
      </c>
      <c r="J876" s="1" t="s">
        <v>67</v>
      </c>
      <c r="K876" s="1" t="s">
        <v>94</v>
      </c>
      <c r="L876" s="3">
        <v>46645</v>
      </c>
      <c r="M876" s="3">
        <v>45915</v>
      </c>
      <c r="N876">
        <f>_xlfn.XLOOKUP(Data[[#This Row],[Status]],Compliance_Status[Status from OPMS],Compliance_Status[Status_Key],"")</f>
        <v>4</v>
      </c>
      <c r="O876">
        <f>_xlfn.XLOOKUP(Data[[#This Row],[Status]],Compliance_Status[Status from OPMS],Compliance_Status[Has Course booking],"")</f>
        <v>0</v>
      </c>
      <c r="P876" t="str">
        <f>_xlfn.XLOOKUP(Data[[#This Row],[StatusKey]],Status_Key[Status_Key],Status_Key[Name],"")</f>
        <v>In Date</v>
      </c>
    </row>
    <row r="877" spans="1:16" x14ac:dyDescent="0.25">
      <c r="A877" s="1">
        <v>177</v>
      </c>
      <c r="B877" s="1" t="s">
        <v>222</v>
      </c>
      <c r="C877" s="1" t="s">
        <v>223</v>
      </c>
      <c r="D877" s="1" t="s">
        <v>224</v>
      </c>
      <c r="E877" s="1" t="s">
        <v>95</v>
      </c>
      <c r="F877" s="1" t="s">
        <v>65</v>
      </c>
      <c r="G877" s="1" t="s">
        <v>16</v>
      </c>
      <c r="H877" s="1" t="s">
        <v>164</v>
      </c>
      <c r="I877" s="1" t="s">
        <v>60</v>
      </c>
      <c r="J877" s="1" t="s">
        <v>67</v>
      </c>
      <c r="K877" s="1" t="s">
        <v>94</v>
      </c>
      <c r="L877" s="3">
        <v>46645</v>
      </c>
      <c r="M877" s="3">
        <v>45915</v>
      </c>
      <c r="N877">
        <f>_xlfn.XLOOKUP(Data[[#This Row],[Status]],Compliance_Status[Status from OPMS],Compliance_Status[Status_Key],"")</f>
        <v>4</v>
      </c>
      <c r="O877">
        <f>_xlfn.XLOOKUP(Data[[#This Row],[Status]],Compliance_Status[Status from OPMS],Compliance_Status[Has Course booking],"")</f>
        <v>0</v>
      </c>
      <c r="P877" t="str">
        <f>_xlfn.XLOOKUP(Data[[#This Row],[StatusKey]],Status_Key[Status_Key],Status_Key[Name],"")</f>
        <v>In Date</v>
      </c>
    </row>
    <row r="878" spans="1:16" x14ac:dyDescent="0.25">
      <c r="A878" s="1">
        <v>177</v>
      </c>
      <c r="B878" s="1" t="s">
        <v>222</v>
      </c>
      <c r="C878" s="1" t="s">
        <v>223</v>
      </c>
      <c r="D878" s="1" t="s">
        <v>224</v>
      </c>
      <c r="E878" s="1" t="s">
        <v>156</v>
      </c>
      <c r="F878" s="1" t="s">
        <v>65</v>
      </c>
      <c r="G878" s="1" t="s">
        <v>24</v>
      </c>
      <c r="H878" s="1" t="s">
        <v>164</v>
      </c>
      <c r="I878" s="1" t="s">
        <v>60</v>
      </c>
      <c r="J878" s="1" t="s">
        <v>67</v>
      </c>
      <c r="K878" s="1" t="s">
        <v>125</v>
      </c>
      <c r="L878" s="3">
        <v>46330</v>
      </c>
      <c r="M878" s="3">
        <v>44505</v>
      </c>
      <c r="N878">
        <f>_xlfn.XLOOKUP(Data[[#This Row],[Status]],Compliance_Status[Status from OPMS],Compliance_Status[Status_Key],"")</f>
        <v>3</v>
      </c>
      <c r="O878">
        <f>_xlfn.XLOOKUP(Data[[#This Row],[Status]],Compliance_Status[Status from OPMS],Compliance_Status[Has Course booking],"")</f>
        <v>0</v>
      </c>
      <c r="P878" t="str">
        <f>_xlfn.XLOOKUP(Data[[#This Row],[StatusKey]],Status_Key[Status_Key],Status_Key[Name],"")</f>
        <v>About to expire</v>
      </c>
    </row>
    <row r="879" spans="1:16" x14ac:dyDescent="0.25">
      <c r="A879" s="1">
        <v>177</v>
      </c>
      <c r="B879" s="1" t="s">
        <v>222</v>
      </c>
      <c r="C879" s="1" t="s">
        <v>223</v>
      </c>
      <c r="D879" s="1" t="s">
        <v>224</v>
      </c>
      <c r="E879" s="1" t="s">
        <v>124</v>
      </c>
      <c r="F879" s="1" t="s">
        <v>72</v>
      </c>
      <c r="G879" s="1" t="s">
        <v>24</v>
      </c>
      <c r="H879" s="1" t="s">
        <v>164</v>
      </c>
      <c r="I879" s="1" t="s">
        <v>60</v>
      </c>
      <c r="J879" s="1"/>
      <c r="K879" s="1" t="s">
        <v>125</v>
      </c>
      <c r="L879" s="3">
        <v>46330</v>
      </c>
      <c r="M879" s="3">
        <v>44505</v>
      </c>
      <c r="N879">
        <f>_xlfn.XLOOKUP(Data[[#This Row],[Status]],Compliance_Status[Status from OPMS],Compliance_Status[Status_Key],"")</f>
        <v>3</v>
      </c>
      <c r="O879">
        <f>_xlfn.XLOOKUP(Data[[#This Row],[Status]],Compliance_Status[Status from OPMS],Compliance_Status[Has Course booking],"")</f>
        <v>0</v>
      </c>
      <c r="P879" t="str">
        <f>_xlfn.XLOOKUP(Data[[#This Row],[StatusKey]],Status_Key[Status_Key],Status_Key[Name],"")</f>
        <v>About to expire</v>
      </c>
    </row>
    <row r="880" spans="1:16" x14ac:dyDescent="0.25">
      <c r="A880" s="1">
        <v>177</v>
      </c>
      <c r="B880" s="1" t="s">
        <v>222</v>
      </c>
      <c r="C880" s="1" t="s">
        <v>223</v>
      </c>
      <c r="D880" s="1" t="s">
        <v>224</v>
      </c>
      <c r="E880" s="1" t="s">
        <v>97</v>
      </c>
      <c r="F880" s="1" t="s">
        <v>65</v>
      </c>
      <c r="G880" s="1" t="s">
        <v>16</v>
      </c>
      <c r="H880" s="1" t="s">
        <v>164</v>
      </c>
      <c r="I880" s="1" t="s">
        <v>60</v>
      </c>
      <c r="J880" s="1" t="s">
        <v>67</v>
      </c>
      <c r="K880" s="1" t="s">
        <v>98</v>
      </c>
      <c r="L880" s="3">
        <v>47247</v>
      </c>
      <c r="M880" s="3">
        <v>45421</v>
      </c>
      <c r="N880">
        <f>_xlfn.XLOOKUP(Data[[#This Row],[Status]],Compliance_Status[Status from OPMS],Compliance_Status[Status_Key],"")</f>
        <v>4</v>
      </c>
      <c r="O880">
        <f>_xlfn.XLOOKUP(Data[[#This Row],[Status]],Compliance_Status[Status from OPMS],Compliance_Status[Has Course booking],"")</f>
        <v>0</v>
      </c>
      <c r="P880" t="str">
        <f>_xlfn.XLOOKUP(Data[[#This Row],[StatusKey]],Status_Key[Status_Key],Status_Key[Name],"")</f>
        <v>In Date</v>
      </c>
    </row>
    <row r="881" spans="1:16" x14ac:dyDescent="0.25">
      <c r="A881" s="1">
        <v>177</v>
      </c>
      <c r="B881" s="1" t="s">
        <v>222</v>
      </c>
      <c r="C881" s="1" t="s">
        <v>223</v>
      </c>
      <c r="D881" s="1" t="s">
        <v>224</v>
      </c>
      <c r="E881" s="1" t="s">
        <v>100</v>
      </c>
      <c r="F881" s="1" t="s">
        <v>72</v>
      </c>
      <c r="G881" s="1" t="s">
        <v>18</v>
      </c>
      <c r="H881" s="1" t="s">
        <v>164</v>
      </c>
      <c r="I881" s="1" t="s">
        <v>60</v>
      </c>
      <c r="J881" s="1"/>
      <c r="K881" s="1" t="s">
        <v>98</v>
      </c>
      <c r="L881" s="3"/>
      <c r="M881" s="3"/>
      <c r="N881">
        <f>_xlfn.XLOOKUP(Data[[#This Row],[Status]],Compliance_Status[Status from OPMS],Compliance_Status[Status_Key],"")</f>
        <v>2</v>
      </c>
      <c r="O881">
        <f>_xlfn.XLOOKUP(Data[[#This Row],[Status]],Compliance_Status[Status from OPMS],Compliance_Status[Has Course booking],"")</f>
        <v>0</v>
      </c>
      <c r="P881" t="str">
        <f>_xlfn.XLOOKUP(Data[[#This Row],[StatusKey]],Status_Key[Status_Key],Status_Key[Name],"")</f>
        <v>Outstanding</v>
      </c>
    </row>
    <row r="882" spans="1:16" x14ac:dyDescent="0.25">
      <c r="A882" s="1">
        <v>177</v>
      </c>
      <c r="B882" s="1" t="s">
        <v>222</v>
      </c>
      <c r="C882" s="1" t="s">
        <v>223</v>
      </c>
      <c r="D882" s="1" t="s">
        <v>224</v>
      </c>
      <c r="E882" s="1" t="s">
        <v>101</v>
      </c>
      <c r="F882" s="1" t="s">
        <v>65</v>
      </c>
      <c r="G882" s="1" t="s">
        <v>16</v>
      </c>
      <c r="H882" s="1" t="s">
        <v>164</v>
      </c>
      <c r="I882" s="1" t="s">
        <v>60</v>
      </c>
      <c r="J882" s="1" t="s">
        <v>67</v>
      </c>
      <c r="K882" s="1" t="s">
        <v>102</v>
      </c>
      <c r="L882" s="3" t="s">
        <v>79</v>
      </c>
      <c r="M882" s="3">
        <v>45406</v>
      </c>
      <c r="N882">
        <f>_xlfn.XLOOKUP(Data[[#This Row],[Status]],Compliance_Status[Status from OPMS],Compliance_Status[Status_Key],"")</f>
        <v>4</v>
      </c>
      <c r="O882">
        <f>_xlfn.XLOOKUP(Data[[#This Row],[Status]],Compliance_Status[Status from OPMS],Compliance_Status[Has Course booking],"")</f>
        <v>0</v>
      </c>
      <c r="P882" t="str">
        <f>_xlfn.XLOOKUP(Data[[#This Row],[StatusKey]],Status_Key[Status_Key],Status_Key[Name],"")</f>
        <v>In Date</v>
      </c>
    </row>
    <row r="883" spans="1:16" x14ac:dyDescent="0.25">
      <c r="A883" s="1">
        <v>177</v>
      </c>
      <c r="B883" s="1" t="s">
        <v>222</v>
      </c>
      <c r="C883" s="1" t="s">
        <v>223</v>
      </c>
      <c r="D883" s="1" t="s">
        <v>224</v>
      </c>
      <c r="E883" s="1" t="s">
        <v>103</v>
      </c>
      <c r="F883" s="1" t="s">
        <v>65</v>
      </c>
      <c r="G883" s="1" t="s">
        <v>16</v>
      </c>
      <c r="H883" s="1" t="s">
        <v>164</v>
      </c>
      <c r="I883" s="1" t="s">
        <v>60</v>
      </c>
      <c r="J883" s="1" t="s">
        <v>67</v>
      </c>
      <c r="K883" s="1" t="s">
        <v>102</v>
      </c>
      <c r="L883" s="3">
        <v>46475</v>
      </c>
      <c r="M883" s="3">
        <v>45745</v>
      </c>
      <c r="N883">
        <f>_xlfn.XLOOKUP(Data[[#This Row],[Status]],Compliance_Status[Status from OPMS],Compliance_Status[Status_Key],"")</f>
        <v>4</v>
      </c>
      <c r="O883">
        <f>_xlfn.XLOOKUP(Data[[#This Row],[Status]],Compliance_Status[Status from OPMS],Compliance_Status[Has Course booking],"")</f>
        <v>0</v>
      </c>
      <c r="P883" t="str">
        <f>_xlfn.XLOOKUP(Data[[#This Row],[StatusKey]],Status_Key[Status_Key],Status_Key[Name],"")</f>
        <v>In Date</v>
      </c>
    </row>
    <row r="884" spans="1:16" x14ac:dyDescent="0.25">
      <c r="A884" s="1">
        <v>177</v>
      </c>
      <c r="B884" s="1" t="s">
        <v>222</v>
      </c>
      <c r="C884" s="1" t="s">
        <v>223</v>
      </c>
      <c r="D884" s="1" t="s">
        <v>224</v>
      </c>
      <c r="E884" s="1" t="s">
        <v>104</v>
      </c>
      <c r="F884" s="1" t="s">
        <v>65</v>
      </c>
      <c r="G884" s="1" t="s">
        <v>16</v>
      </c>
      <c r="H884" s="1" t="s">
        <v>164</v>
      </c>
      <c r="I884" s="1" t="s">
        <v>60</v>
      </c>
      <c r="J884" s="1" t="s">
        <v>67</v>
      </c>
      <c r="K884" s="1" t="s">
        <v>105</v>
      </c>
      <c r="L884" s="3">
        <v>46770</v>
      </c>
      <c r="M884" s="3">
        <v>46040</v>
      </c>
      <c r="N884">
        <f>_xlfn.XLOOKUP(Data[[#This Row],[Status]],Compliance_Status[Status from OPMS],Compliance_Status[Status_Key],"")</f>
        <v>4</v>
      </c>
      <c r="O884">
        <f>_xlfn.XLOOKUP(Data[[#This Row],[Status]],Compliance_Status[Status from OPMS],Compliance_Status[Has Course booking],"")</f>
        <v>0</v>
      </c>
      <c r="P884" t="str">
        <f>_xlfn.XLOOKUP(Data[[#This Row],[StatusKey]],Status_Key[Status_Key],Status_Key[Name],"")</f>
        <v>In Date</v>
      </c>
    </row>
    <row r="885" spans="1:16" x14ac:dyDescent="0.25">
      <c r="A885" s="1">
        <v>177</v>
      </c>
      <c r="B885" s="1" t="s">
        <v>222</v>
      </c>
      <c r="C885" s="1" t="s">
        <v>223</v>
      </c>
      <c r="D885" s="1" t="s">
        <v>224</v>
      </c>
      <c r="E885" s="1" t="s">
        <v>106</v>
      </c>
      <c r="F885" s="1" t="s">
        <v>65</v>
      </c>
      <c r="G885" s="1" t="s">
        <v>16</v>
      </c>
      <c r="H885" s="1" t="s">
        <v>164</v>
      </c>
      <c r="I885" s="1" t="s">
        <v>60</v>
      </c>
      <c r="J885" s="1" t="s">
        <v>67</v>
      </c>
      <c r="K885" s="1" t="s">
        <v>105</v>
      </c>
      <c r="L885" s="3">
        <v>47247</v>
      </c>
      <c r="M885" s="3">
        <v>45421</v>
      </c>
      <c r="N885">
        <f>_xlfn.XLOOKUP(Data[[#This Row],[Status]],Compliance_Status[Status from OPMS],Compliance_Status[Status_Key],"")</f>
        <v>4</v>
      </c>
      <c r="O885">
        <f>_xlfn.XLOOKUP(Data[[#This Row],[Status]],Compliance_Status[Status from OPMS],Compliance_Status[Has Course booking],"")</f>
        <v>0</v>
      </c>
      <c r="P885" t="str">
        <f>_xlfn.XLOOKUP(Data[[#This Row],[StatusKey]],Status_Key[Status_Key],Status_Key[Name],"")</f>
        <v>In Date</v>
      </c>
    </row>
    <row r="886" spans="1:16" x14ac:dyDescent="0.25">
      <c r="A886" s="1">
        <v>177</v>
      </c>
      <c r="B886" s="1" t="s">
        <v>222</v>
      </c>
      <c r="C886" s="1" t="s">
        <v>223</v>
      </c>
      <c r="D886" s="1" t="s">
        <v>224</v>
      </c>
      <c r="E886" s="1" t="s">
        <v>107</v>
      </c>
      <c r="F886" s="1" t="s">
        <v>65</v>
      </c>
      <c r="G886" s="1" t="s">
        <v>16</v>
      </c>
      <c r="H886" s="1" t="s">
        <v>164</v>
      </c>
      <c r="I886" s="1" t="s">
        <v>60</v>
      </c>
      <c r="J886" s="1" t="s">
        <v>67</v>
      </c>
      <c r="K886" s="1" t="s">
        <v>105</v>
      </c>
      <c r="L886" s="3">
        <v>46517</v>
      </c>
      <c r="M886" s="3">
        <v>45422</v>
      </c>
      <c r="N886">
        <f>_xlfn.XLOOKUP(Data[[#This Row],[Status]],Compliance_Status[Status from OPMS],Compliance_Status[Status_Key],"")</f>
        <v>4</v>
      </c>
      <c r="O886">
        <f>_xlfn.XLOOKUP(Data[[#This Row],[Status]],Compliance_Status[Status from OPMS],Compliance_Status[Has Course booking],"")</f>
        <v>0</v>
      </c>
      <c r="P886" t="str">
        <f>_xlfn.XLOOKUP(Data[[#This Row],[StatusKey]],Status_Key[Status_Key],Status_Key[Name],"")</f>
        <v>In Date</v>
      </c>
    </row>
    <row r="887" spans="1:16" x14ac:dyDescent="0.25">
      <c r="A887" s="1">
        <v>177</v>
      </c>
      <c r="B887" s="1" t="s">
        <v>222</v>
      </c>
      <c r="C887" s="1" t="s">
        <v>223</v>
      </c>
      <c r="D887" s="1" t="s">
        <v>224</v>
      </c>
      <c r="E887" s="1" t="s">
        <v>108</v>
      </c>
      <c r="F887" s="1" t="s">
        <v>65</v>
      </c>
      <c r="G887" s="1" t="s">
        <v>16</v>
      </c>
      <c r="H887" s="1" t="s">
        <v>164</v>
      </c>
      <c r="I887" s="1" t="s">
        <v>60</v>
      </c>
      <c r="J887" s="1" t="s">
        <v>67</v>
      </c>
      <c r="K887" s="1" t="s">
        <v>105</v>
      </c>
      <c r="L887" s="3">
        <v>47312</v>
      </c>
      <c r="M887" s="3">
        <v>46216</v>
      </c>
      <c r="N887">
        <f>_xlfn.XLOOKUP(Data[[#This Row],[Status]],Compliance_Status[Status from OPMS],Compliance_Status[Status_Key],"")</f>
        <v>4</v>
      </c>
      <c r="O887">
        <f>_xlfn.XLOOKUP(Data[[#This Row],[Status]],Compliance_Status[Status from OPMS],Compliance_Status[Has Course booking],"")</f>
        <v>0</v>
      </c>
      <c r="P887" t="str">
        <f>_xlfn.XLOOKUP(Data[[#This Row],[StatusKey]],Status_Key[Status_Key],Status_Key[Name],"")</f>
        <v>In Date</v>
      </c>
    </row>
    <row r="888" spans="1:16" x14ac:dyDescent="0.25">
      <c r="A888" s="1">
        <v>177</v>
      </c>
      <c r="B888" s="1" t="s">
        <v>222</v>
      </c>
      <c r="C888" s="1" t="s">
        <v>223</v>
      </c>
      <c r="D888" s="1" t="s">
        <v>224</v>
      </c>
      <c r="E888" s="1" t="s">
        <v>109</v>
      </c>
      <c r="F888" s="1" t="s">
        <v>65</v>
      </c>
      <c r="G888" s="1" t="s">
        <v>16</v>
      </c>
      <c r="H888" s="1" t="s">
        <v>164</v>
      </c>
      <c r="I888" s="1" t="s">
        <v>60</v>
      </c>
      <c r="J888" s="1" t="s">
        <v>67</v>
      </c>
      <c r="K888" s="1" t="s">
        <v>105</v>
      </c>
      <c r="L888" s="3">
        <v>46770</v>
      </c>
      <c r="M888" s="3">
        <v>46040</v>
      </c>
      <c r="N888">
        <f>_xlfn.XLOOKUP(Data[[#This Row],[Status]],Compliance_Status[Status from OPMS],Compliance_Status[Status_Key],"")</f>
        <v>4</v>
      </c>
      <c r="O888">
        <f>_xlfn.XLOOKUP(Data[[#This Row],[Status]],Compliance_Status[Status from OPMS],Compliance_Status[Has Course booking],"")</f>
        <v>0</v>
      </c>
      <c r="P888" t="str">
        <f>_xlfn.XLOOKUP(Data[[#This Row],[StatusKey]],Status_Key[Status_Key],Status_Key[Name],"")</f>
        <v>In Date</v>
      </c>
    </row>
    <row r="889" spans="1:16" x14ac:dyDescent="0.25">
      <c r="A889" s="1">
        <v>177</v>
      </c>
      <c r="B889" s="1" t="s">
        <v>222</v>
      </c>
      <c r="C889" s="1" t="s">
        <v>223</v>
      </c>
      <c r="D889" s="1" t="s">
        <v>224</v>
      </c>
      <c r="E889" s="1" t="s">
        <v>110</v>
      </c>
      <c r="F889" s="1" t="s">
        <v>65</v>
      </c>
      <c r="G889" s="1" t="s">
        <v>16</v>
      </c>
      <c r="H889" s="1" t="s">
        <v>164</v>
      </c>
      <c r="I889" s="1" t="s">
        <v>60</v>
      </c>
      <c r="J889" s="1" t="s">
        <v>67</v>
      </c>
      <c r="K889" s="1" t="s">
        <v>105</v>
      </c>
      <c r="L889" s="3" t="s">
        <v>79</v>
      </c>
      <c r="M889" s="3">
        <v>45421</v>
      </c>
      <c r="N889">
        <f>_xlfn.XLOOKUP(Data[[#This Row],[Status]],Compliance_Status[Status from OPMS],Compliance_Status[Status_Key],"")</f>
        <v>4</v>
      </c>
      <c r="O889">
        <f>_xlfn.XLOOKUP(Data[[#This Row],[Status]],Compliance_Status[Status from OPMS],Compliance_Status[Has Course booking],"")</f>
        <v>0</v>
      </c>
      <c r="P889" t="str">
        <f>_xlfn.XLOOKUP(Data[[#This Row],[StatusKey]],Status_Key[Status_Key],Status_Key[Name],"")</f>
        <v>In Date</v>
      </c>
    </row>
    <row r="890" spans="1:16" x14ac:dyDescent="0.25">
      <c r="A890" s="1">
        <v>177</v>
      </c>
      <c r="B890" s="1" t="s">
        <v>222</v>
      </c>
      <c r="C890" s="1" t="s">
        <v>223</v>
      </c>
      <c r="D890" s="1" t="s">
        <v>224</v>
      </c>
      <c r="E890" s="1" t="s">
        <v>111</v>
      </c>
      <c r="F890" s="1" t="s">
        <v>65</v>
      </c>
      <c r="G890" s="1" t="s">
        <v>16</v>
      </c>
      <c r="H890" s="1" t="s">
        <v>164</v>
      </c>
      <c r="I890" s="1" t="s">
        <v>60</v>
      </c>
      <c r="J890" s="1" t="s">
        <v>67</v>
      </c>
      <c r="K890" s="1" t="s">
        <v>105</v>
      </c>
      <c r="L890" s="3">
        <v>46714</v>
      </c>
      <c r="M890" s="3">
        <v>45984</v>
      </c>
      <c r="N890">
        <f>_xlfn.XLOOKUP(Data[[#This Row],[Status]],Compliance_Status[Status from OPMS],Compliance_Status[Status_Key],"")</f>
        <v>4</v>
      </c>
      <c r="O890">
        <f>_xlfn.XLOOKUP(Data[[#This Row],[Status]],Compliance_Status[Status from OPMS],Compliance_Status[Has Course booking],"")</f>
        <v>0</v>
      </c>
      <c r="P890" t="str">
        <f>_xlfn.XLOOKUP(Data[[#This Row],[StatusKey]],Status_Key[Status_Key],Status_Key[Name],"")</f>
        <v>In Date</v>
      </c>
    </row>
    <row r="891" spans="1:16" x14ac:dyDescent="0.25">
      <c r="A891" s="1">
        <v>177</v>
      </c>
      <c r="B891" s="1" t="s">
        <v>222</v>
      </c>
      <c r="C891" s="1" t="s">
        <v>223</v>
      </c>
      <c r="D891" s="1" t="s">
        <v>224</v>
      </c>
      <c r="E891" s="1" t="s">
        <v>112</v>
      </c>
      <c r="F891" s="1" t="s">
        <v>65</v>
      </c>
      <c r="G891" s="1" t="s">
        <v>16</v>
      </c>
      <c r="H891" s="1" t="s">
        <v>164</v>
      </c>
      <c r="I891" s="1" t="s">
        <v>60</v>
      </c>
      <c r="J891" s="1" t="s">
        <v>67</v>
      </c>
      <c r="K891" s="1" t="s">
        <v>105</v>
      </c>
      <c r="L891" s="3">
        <v>46757</v>
      </c>
      <c r="M891" s="3">
        <v>46027</v>
      </c>
      <c r="N891">
        <f>_xlfn.XLOOKUP(Data[[#This Row],[Status]],Compliance_Status[Status from OPMS],Compliance_Status[Status_Key],"")</f>
        <v>4</v>
      </c>
      <c r="O891">
        <f>_xlfn.XLOOKUP(Data[[#This Row],[Status]],Compliance_Status[Status from OPMS],Compliance_Status[Has Course booking],"")</f>
        <v>0</v>
      </c>
      <c r="P891" t="str">
        <f>_xlfn.XLOOKUP(Data[[#This Row],[StatusKey]],Status_Key[Status_Key],Status_Key[Name],"")</f>
        <v>In Date</v>
      </c>
    </row>
    <row r="892" spans="1:16" x14ac:dyDescent="0.25">
      <c r="A892" s="1">
        <v>177</v>
      </c>
      <c r="B892" s="1" t="s">
        <v>222</v>
      </c>
      <c r="C892" s="1" t="s">
        <v>223</v>
      </c>
      <c r="D892" s="1" t="s">
        <v>224</v>
      </c>
      <c r="E892" s="1" t="s">
        <v>113</v>
      </c>
      <c r="F892" s="1" t="s">
        <v>65</v>
      </c>
      <c r="G892" s="1" t="s">
        <v>16</v>
      </c>
      <c r="H892" s="1" t="s">
        <v>164</v>
      </c>
      <c r="I892" s="1" t="s">
        <v>60</v>
      </c>
      <c r="J892" s="1" t="s">
        <v>67</v>
      </c>
      <c r="K892" s="1" t="s">
        <v>105</v>
      </c>
      <c r="L892" s="3">
        <v>46769</v>
      </c>
      <c r="M892" s="3">
        <v>46039</v>
      </c>
      <c r="N892">
        <f>_xlfn.XLOOKUP(Data[[#This Row],[Status]],Compliance_Status[Status from OPMS],Compliance_Status[Status_Key],"")</f>
        <v>4</v>
      </c>
      <c r="O892">
        <f>_xlfn.XLOOKUP(Data[[#This Row],[Status]],Compliance_Status[Status from OPMS],Compliance_Status[Has Course booking],"")</f>
        <v>0</v>
      </c>
      <c r="P892" t="str">
        <f>_xlfn.XLOOKUP(Data[[#This Row],[StatusKey]],Status_Key[Status_Key],Status_Key[Name],"")</f>
        <v>In Date</v>
      </c>
    </row>
    <row r="893" spans="1:16" x14ac:dyDescent="0.25">
      <c r="A893" s="1">
        <v>176</v>
      </c>
      <c r="B893" s="1" t="s">
        <v>225</v>
      </c>
      <c r="C893" s="1" t="s">
        <v>226</v>
      </c>
      <c r="D893" s="1" t="s">
        <v>227</v>
      </c>
      <c r="E893" s="1" t="s">
        <v>163</v>
      </c>
      <c r="F893" s="1" t="s">
        <v>65</v>
      </c>
      <c r="G893" s="1" t="s">
        <v>16</v>
      </c>
      <c r="H893" s="1" t="s">
        <v>164</v>
      </c>
      <c r="I893" s="1" t="s">
        <v>60</v>
      </c>
      <c r="J893" s="1"/>
      <c r="K893" s="1" t="s">
        <v>68</v>
      </c>
      <c r="L893" s="3">
        <v>47258</v>
      </c>
      <c r="M893" s="3">
        <v>45433</v>
      </c>
      <c r="N893">
        <f>_xlfn.XLOOKUP(Data[[#This Row],[Status]],Compliance_Status[Status from OPMS],Compliance_Status[Status_Key],"")</f>
        <v>4</v>
      </c>
      <c r="O893">
        <f>_xlfn.XLOOKUP(Data[[#This Row],[Status]],Compliance_Status[Status from OPMS],Compliance_Status[Has Course booking],"")</f>
        <v>0</v>
      </c>
      <c r="P893" t="str">
        <f>_xlfn.XLOOKUP(Data[[#This Row],[StatusKey]],Status_Key[Status_Key],Status_Key[Name],"")</f>
        <v>In Date</v>
      </c>
    </row>
    <row r="894" spans="1:16" x14ac:dyDescent="0.25">
      <c r="A894" s="1">
        <v>176</v>
      </c>
      <c r="B894" s="1" t="s">
        <v>225</v>
      </c>
      <c r="C894" s="1" t="s">
        <v>226</v>
      </c>
      <c r="D894" s="1" t="s">
        <v>227</v>
      </c>
      <c r="E894" s="1" t="s">
        <v>131</v>
      </c>
      <c r="F894" s="1" t="s">
        <v>72</v>
      </c>
      <c r="G894" s="1" t="s">
        <v>16</v>
      </c>
      <c r="H894" s="1" t="s">
        <v>164</v>
      </c>
      <c r="I894" s="1" t="s">
        <v>60</v>
      </c>
      <c r="J894" s="1" t="s">
        <v>67</v>
      </c>
      <c r="K894" s="1" t="s">
        <v>68</v>
      </c>
      <c r="L894" s="3">
        <v>47540</v>
      </c>
      <c r="M894" s="3">
        <v>45686</v>
      </c>
      <c r="N894">
        <f>_xlfn.XLOOKUP(Data[[#This Row],[Status]],Compliance_Status[Status from OPMS],Compliance_Status[Status_Key],"")</f>
        <v>4</v>
      </c>
      <c r="O894">
        <f>_xlfn.XLOOKUP(Data[[#This Row],[Status]],Compliance_Status[Status from OPMS],Compliance_Status[Has Course booking],"")</f>
        <v>0</v>
      </c>
      <c r="P894" t="str">
        <f>_xlfn.XLOOKUP(Data[[#This Row],[StatusKey]],Status_Key[Status_Key],Status_Key[Name],"")</f>
        <v>In Date</v>
      </c>
    </row>
    <row r="895" spans="1:16" x14ac:dyDescent="0.25">
      <c r="A895" s="1">
        <v>176</v>
      </c>
      <c r="B895" s="1" t="s">
        <v>225</v>
      </c>
      <c r="C895" s="1" t="s">
        <v>226</v>
      </c>
      <c r="D895" s="1" t="s">
        <v>227</v>
      </c>
      <c r="E895" s="1" t="s">
        <v>71</v>
      </c>
      <c r="F895" s="1" t="s">
        <v>72</v>
      </c>
      <c r="G895" s="1" t="s">
        <v>16</v>
      </c>
      <c r="H895" s="1" t="s">
        <v>164</v>
      </c>
      <c r="I895" s="1" t="s">
        <v>60</v>
      </c>
      <c r="J895" s="1" t="s">
        <v>67</v>
      </c>
      <c r="K895" s="1" t="s">
        <v>68</v>
      </c>
      <c r="L895" s="3">
        <v>47348</v>
      </c>
      <c r="M895" s="3">
        <v>45523</v>
      </c>
      <c r="N895">
        <f>_xlfn.XLOOKUP(Data[[#This Row],[Status]],Compliance_Status[Status from OPMS],Compliance_Status[Status_Key],"")</f>
        <v>4</v>
      </c>
      <c r="O895">
        <f>_xlfn.XLOOKUP(Data[[#This Row],[Status]],Compliance_Status[Status from OPMS],Compliance_Status[Has Course booking],"")</f>
        <v>0</v>
      </c>
      <c r="P895" t="str">
        <f>_xlfn.XLOOKUP(Data[[#This Row],[StatusKey]],Status_Key[Status_Key],Status_Key[Name],"")</f>
        <v>In Date</v>
      </c>
    </row>
    <row r="896" spans="1:16" x14ac:dyDescent="0.25">
      <c r="A896" s="1">
        <v>176</v>
      </c>
      <c r="B896" s="1" t="s">
        <v>225</v>
      </c>
      <c r="C896" s="1" t="s">
        <v>226</v>
      </c>
      <c r="D896" s="1" t="s">
        <v>227</v>
      </c>
      <c r="E896" s="1" t="s">
        <v>73</v>
      </c>
      <c r="F896" s="1" t="s">
        <v>65</v>
      </c>
      <c r="G896" s="1" t="s">
        <v>16</v>
      </c>
      <c r="H896" s="1" t="s">
        <v>164</v>
      </c>
      <c r="I896" s="1" t="s">
        <v>60</v>
      </c>
      <c r="J896" s="1" t="s">
        <v>67</v>
      </c>
      <c r="K896" s="1" t="s">
        <v>68</v>
      </c>
      <c r="L896" s="3">
        <v>46788</v>
      </c>
      <c r="M896" s="3">
        <v>46058</v>
      </c>
      <c r="N896">
        <f>_xlfn.XLOOKUP(Data[[#This Row],[Status]],Compliance_Status[Status from OPMS],Compliance_Status[Status_Key],"")</f>
        <v>4</v>
      </c>
      <c r="O896">
        <f>_xlfn.XLOOKUP(Data[[#This Row],[Status]],Compliance_Status[Status from OPMS],Compliance_Status[Has Course booking],"")</f>
        <v>0</v>
      </c>
      <c r="P896" t="str">
        <f>_xlfn.XLOOKUP(Data[[#This Row],[StatusKey]],Status_Key[Status_Key],Status_Key[Name],"")</f>
        <v>In Date</v>
      </c>
    </row>
    <row r="897" spans="1:16" x14ac:dyDescent="0.25">
      <c r="A897" s="1">
        <v>176</v>
      </c>
      <c r="B897" s="1" t="s">
        <v>225</v>
      </c>
      <c r="C897" s="1" t="s">
        <v>226</v>
      </c>
      <c r="D897" s="1" t="s">
        <v>227</v>
      </c>
      <c r="E897" s="1" t="s">
        <v>74</v>
      </c>
      <c r="F897" s="1" t="s">
        <v>65</v>
      </c>
      <c r="G897" s="1" t="s">
        <v>16</v>
      </c>
      <c r="H897" s="1" t="s">
        <v>164</v>
      </c>
      <c r="I897" s="1" t="s">
        <v>60</v>
      </c>
      <c r="J897" s="1" t="s">
        <v>67</v>
      </c>
      <c r="K897" s="1" t="s">
        <v>68</v>
      </c>
      <c r="L897" s="3">
        <v>47326</v>
      </c>
      <c r="M897" s="3">
        <v>46230</v>
      </c>
      <c r="N897">
        <f>_xlfn.XLOOKUP(Data[[#This Row],[Status]],Compliance_Status[Status from OPMS],Compliance_Status[Status_Key],"")</f>
        <v>4</v>
      </c>
      <c r="O897">
        <f>_xlfn.XLOOKUP(Data[[#This Row],[Status]],Compliance_Status[Status from OPMS],Compliance_Status[Has Course booking],"")</f>
        <v>0</v>
      </c>
      <c r="P897" t="str">
        <f>_xlfn.XLOOKUP(Data[[#This Row],[StatusKey]],Status_Key[Status_Key],Status_Key[Name],"")</f>
        <v>In Date</v>
      </c>
    </row>
    <row r="898" spans="1:16" x14ac:dyDescent="0.25">
      <c r="A898" s="1">
        <v>176</v>
      </c>
      <c r="B898" s="1" t="s">
        <v>225</v>
      </c>
      <c r="C898" s="1" t="s">
        <v>226</v>
      </c>
      <c r="D898" s="1" t="s">
        <v>227</v>
      </c>
      <c r="E898" s="1" t="s">
        <v>75</v>
      </c>
      <c r="F898" s="1" t="s">
        <v>72</v>
      </c>
      <c r="G898" s="1" t="s">
        <v>16</v>
      </c>
      <c r="H898" s="1" t="s">
        <v>164</v>
      </c>
      <c r="I898" s="1" t="s">
        <v>60</v>
      </c>
      <c r="J898" s="1" t="s">
        <v>67</v>
      </c>
      <c r="K898" s="1" t="s">
        <v>68</v>
      </c>
      <c r="L898" s="3">
        <v>46595</v>
      </c>
      <c r="M898" s="3">
        <v>46230</v>
      </c>
      <c r="N898">
        <f>_xlfn.XLOOKUP(Data[[#This Row],[Status]],Compliance_Status[Status from OPMS],Compliance_Status[Status_Key],"")</f>
        <v>4</v>
      </c>
      <c r="O898">
        <f>_xlfn.XLOOKUP(Data[[#This Row],[Status]],Compliance_Status[Status from OPMS],Compliance_Status[Has Course booking],"")</f>
        <v>0</v>
      </c>
      <c r="P898" t="str">
        <f>_xlfn.XLOOKUP(Data[[#This Row],[StatusKey]],Status_Key[Status_Key],Status_Key[Name],"")</f>
        <v>In Date</v>
      </c>
    </row>
    <row r="899" spans="1:16" x14ac:dyDescent="0.25">
      <c r="A899" s="1">
        <v>176</v>
      </c>
      <c r="B899" s="1" t="s">
        <v>225</v>
      </c>
      <c r="C899" s="1" t="s">
        <v>226</v>
      </c>
      <c r="D899" s="1" t="s">
        <v>227</v>
      </c>
      <c r="E899" s="1" t="s">
        <v>165</v>
      </c>
      <c r="F899" s="1" t="s">
        <v>72</v>
      </c>
      <c r="G899" s="1" t="s">
        <v>16</v>
      </c>
      <c r="H899" s="1" t="s">
        <v>164</v>
      </c>
      <c r="I899" s="1" t="s">
        <v>60</v>
      </c>
      <c r="J899" s="1" t="s">
        <v>67</v>
      </c>
      <c r="K899" s="1" t="s">
        <v>68</v>
      </c>
      <c r="L899" s="3" t="s">
        <v>79</v>
      </c>
      <c r="M899" s="3">
        <v>45344</v>
      </c>
      <c r="N899">
        <f>_xlfn.XLOOKUP(Data[[#This Row],[Status]],Compliance_Status[Status from OPMS],Compliance_Status[Status_Key],"")</f>
        <v>4</v>
      </c>
      <c r="O899">
        <f>_xlfn.XLOOKUP(Data[[#This Row],[Status]],Compliance_Status[Status from OPMS],Compliance_Status[Has Course booking],"")</f>
        <v>0</v>
      </c>
      <c r="P899" t="str">
        <f>_xlfn.XLOOKUP(Data[[#This Row],[StatusKey]],Status_Key[Status_Key],Status_Key[Name],"")</f>
        <v>In Date</v>
      </c>
    </row>
    <row r="900" spans="1:16" x14ac:dyDescent="0.25">
      <c r="A900" s="1">
        <v>176</v>
      </c>
      <c r="B900" s="1" t="s">
        <v>225</v>
      </c>
      <c r="C900" s="1" t="s">
        <v>226</v>
      </c>
      <c r="D900" s="1" t="s">
        <v>227</v>
      </c>
      <c r="E900" s="1" t="s">
        <v>76</v>
      </c>
      <c r="F900" s="1" t="s">
        <v>65</v>
      </c>
      <c r="G900" s="1" t="s">
        <v>16</v>
      </c>
      <c r="H900" s="1" t="s">
        <v>164</v>
      </c>
      <c r="I900" s="1" t="s">
        <v>60</v>
      </c>
      <c r="J900" s="1" t="s">
        <v>67</v>
      </c>
      <c r="K900" s="1" t="s">
        <v>77</v>
      </c>
      <c r="L900" s="3">
        <v>47483</v>
      </c>
      <c r="M900" s="3">
        <v>46022</v>
      </c>
      <c r="N900">
        <f>_xlfn.XLOOKUP(Data[[#This Row],[Status]],Compliance_Status[Status from OPMS],Compliance_Status[Status_Key],"")</f>
        <v>4</v>
      </c>
      <c r="O900">
        <f>_xlfn.XLOOKUP(Data[[#This Row],[Status]],Compliance_Status[Status from OPMS],Compliance_Status[Has Course booking],"")</f>
        <v>0</v>
      </c>
      <c r="P900" t="str">
        <f>_xlfn.XLOOKUP(Data[[#This Row],[StatusKey]],Status_Key[Status_Key],Status_Key[Name],"")</f>
        <v>In Date</v>
      </c>
    </row>
    <row r="901" spans="1:16" x14ac:dyDescent="0.25">
      <c r="A901" s="1">
        <v>176</v>
      </c>
      <c r="B901" s="1" t="s">
        <v>225</v>
      </c>
      <c r="C901" s="1" t="s">
        <v>226</v>
      </c>
      <c r="D901" s="1" t="s">
        <v>227</v>
      </c>
      <c r="E901" s="1" t="s">
        <v>80</v>
      </c>
      <c r="F901" s="1" t="s">
        <v>65</v>
      </c>
      <c r="G901" s="1" t="s">
        <v>16</v>
      </c>
      <c r="H901" s="1" t="s">
        <v>164</v>
      </c>
      <c r="I901" s="1" t="s">
        <v>60</v>
      </c>
      <c r="J901" s="1" t="s">
        <v>67</v>
      </c>
      <c r="K901" s="1" t="s">
        <v>77</v>
      </c>
      <c r="L901" s="3" t="s">
        <v>79</v>
      </c>
      <c r="M901" s="3">
        <v>45392</v>
      </c>
      <c r="N901">
        <f>_xlfn.XLOOKUP(Data[[#This Row],[Status]],Compliance_Status[Status from OPMS],Compliance_Status[Status_Key],"")</f>
        <v>4</v>
      </c>
      <c r="O901">
        <f>_xlfn.XLOOKUP(Data[[#This Row],[Status]],Compliance_Status[Status from OPMS],Compliance_Status[Has Course booking],"")</f>
        <v>0</v>
      </c>
      <c r="P901" t="str">
        <f>_xlfn.XLOOKUP(Data[[#This Row],[StatusKey]],Status_Key[Status_Key],Status_Key[Name],"")</f>
        <v>In Date</v>
      </c>
    </row>
    <row r="902" spans="1:16" x14ac:dyDescent="0.25">
      <c r="A902" s="1">
        <v>176</v>
      </c>
      <c r="B902" s="1" t="s">
        <v>225</v>
      </c>
      <c r="C902" s="1" t="s">
        <v>226</v>
      </c>
      <c r="D902" s="1" t="s">
        <v>227</v>
      </c>
      <c r="E902" s="1" t="s">
        <v>84</v>
      </c>
      <c r="F902" s="1" t="s">
        <v>65</v>
      </c>
      <c r="G902" s="1" t="s">
        <v>16</v>
      </c>
      <c r="H902" s="1" t="s">
        <v>164</v>
      </c>
      <c r="I902" s="1" t="s">
        <v>60</v>
      </c>
      <c r="J902" s="1" t="s">
        <v>67</v>
      </c>
      <c r="K902" s="1" t="s">
        <v>83</v>
      </c>
      <c r="L902" s="3">
        <v>46715</v>
      </c>
      <c r="M902" s="3">
        <v>45985</v>
      </c>
      <c r="N902">
        <f>_xlfn.XLOOKUP(Data[[#This Row],[Status]],Compliance_Status[Status from OPMS],Compliance_Status[Status_Key],"")</f>
        <v>4</v>
      </c>
      <c r="O902">
        <f>_xlfn.XLOOKUP(Data[[#This Row],[Status]],Compliance_Status[Status from OPMS],Compliance_Status[Has Course booking],"")</f>
        <v>0</v>
      </c>
      <c r="P902" t="str">
        <f>_xlfn.XLOOKUP(Data[[#This Row],[StatusKey]],Status_Key[Status_Key],Status_Key[Name],"")</f>
        <v>In Date</v>
      </c>
    </row>
    <row r="903" spans="1:16" x14ac:dyDescent="0.25">
      <c r="A903" s="1">
        <v>176</v>
      </c>
      <c r="B903" s="1" t="s">
        <v>225</v>
      </c>
      <c r="C903" s="1" t="s">
        <v>226</v>
      </c>
      <c r="D903" s="1" t="s">
        <v>227</v>
      </c>
      <c r="E903" s="1" t="s">
        <v>93</v>
      </c>
      <c r="F903" s="1" t="s">
        <v>65</v>
      </c>
      <c r="G903" s="1" t="s">
        <v>16</v>
      </c>
      <c r="H903" s="1" t="s">
        <v>164</v>
      </c>
      <c r="I903" s="1" t="s">
        <v>60</v>
      </c>
      <c r="J903" s="1" t="s">
        <v>67</v>
      </c>
      <c r="K903" s="1" t="s">
        <v>94</v>
      </c>
      <c r="L903" s="3">
        <v>46644</v>
      </c>
      <c r="M903" s="3">
        <v>45914</v>
      </c>
      <c r="N903">
        <f>_xlfn.XLOOKUP(Data[[#This Row],[Status]],Compliance_Status[Status from OPMS],Compliance_Status[Status_Key],"")</f>
        <v>4</v>
      </c>
      <c r="O903">
        <f>_xlfn.XLOOKUP(Data[[#This Row],[Status]],Compliance_Status[Status from OPMS],Compliance_Status[Has Course booking],"")</f>
        <v>0</v>
      </c>
      <c r="P903" t="str">
        <f>_xlfn.XLOOKUP(Data[[#This Row],[StatusKey]],Status_Key[Status_Key],Status_Key[Name],"")</f>
        <v>In Date</v>
      </c>
    </row>
    <row r="904" spans="1:16" x14ac:dyDescent="0.25">
      <c r="A904" s="1">
        <v>176</v>
      </c>
      <c r="B904" s="1" t="s">
        <v>225</v>
      </c>
      <c r="C904" s="1" t="s">
        <v>226</v>
      </c>
      <c r="D904" s="1" t="s">
        <v>227</v>
      </c>
      <c r="E904" s="1" t="s">
        <v>95</v>
      </c>
      <c r="F904" s="1" t="s">
        <v>65</v>
      </c>
      <c r="G904" s="1" t="s">
        <v>16</v>
      </c>
      <c r="H904" s="1" t="s">
        <v>164</v>
      </c>
      <c r="I904" s="1" t="s">
        <v>60</v>
      </c>
      <c r="J904" s="1" t="s">
        <v>67</v>
      </c>
      <c r="K904" s="1" t="s">
        <v>94</v>
      </c>
      <c r="L904" s="3">
        <v>46654</v>
      </c>
      <c r="M904" s="3">
        <v>45924</v>
      </c>
      <c r="N904">
        <f>_xlfn.XLOOKUP(Data[[#This Row],[Status]],Compliance_Status[Status from OPMS],Compliance_Status[Status_Key],"")</f>
        <v>4</v>
      </c>
      <c r="O904">
        <f>_xlfn.XLOOKUP(Data[[#This Row],[Status]],Compliance_Status[Status from OPMS],Compliance_Status[Has Course booking],"")</f>
        <v>0</v>
      </c>
      <c r="P904" t="str">
        <f>_xlfn.XLOOKUP(Data[[#This Row],[StatusKey]],Status_Key[Status_Key],Status_Key[Name],"")</f>
        <v>In Date</v>
      </c>
    </row>
    <row r="905" spans="1:16" x14ac:dyDescent="0.25">
      <c r="A905" s="1">
        <v>176</v>
      </c>
      <c r="B905" s="1" t="s">
        <v>225</v>
      </c>
      <c r="C905" s="1" t="s">
        <v>226</v>
      </c>
      <c r="D905" s="1" t="s">
        <v>227</v>
      </c>
      <c r="E905" s="1" t="s">
        <v>156</v>
      </c>
      <c r="F905" s="1" t="s">
        <v>65</v>
      </c>
      <c r="G905" s="1" t="s">
        <v>16</v>
      </c>
      <c r="H905" s="1" t="s">
        <v>164</v>
      </c>
      <c r="I905" s="1" t="s">
        <v>60</v>
      </c>
      <c r="J905" s="1"/>
      <c r="K905" s="1" t="s">
        <v>125</v>
      </c>
      <c r="L905" s="3">
        <v>47504</v>
      </c>
      <c r="M905" s="3">
        <v>45678</v>
      </c>
      <c r="N905">
        <f>_xlfn.XLOOKUP(Data[[#This Row],[Status]],Compliance_Status[Status from OPMS],Compliance_Status[Status_Key],"")</f>
        <v>4</v>
      </c>
      <c r="O905">
        <f>_xlfn.XLOOKUP(Data[[#This Row],[Status]],Compliance_Status[Status from OPMS],Compliance_Status[Has Course booking],"")</f>
        <v>0</v>
      </c>
      <c r="P905" t="str">
        <f>_xlfn.XLOOKUP(Data[[#This Row],[StatusKey]],Status_Key[Status_Key],Status_Key[Name],"")</f>
        <v>In Date</v>
      </c>
    </row>
    <row r="906" spans="1:16" x14ac:dyDescent="0.25">
      <c r="A906" s="1">
        <v>176</v>
      </c>
      <c r="B906" s="1" t="s">
        <v>225</v>
      </c>
      <c r="C906" s="1" t="s">
        <v>226</v>
      </c>
      <c r="D906" s="1" t="s">
        <v>227</v>
      </c>
      <c r="E906" s="1" t="s">
        <v>124</v>
      </c>
      <c r="F906" s="1" t="s">
        <v>72</v>
      </c>
      <c r="G906" s="1" t="s">
        <v>16</v>
      </c>
      <c r="H906" s="1" t="s">
        <v>164</v>
      </c>
      <c r="I906" s="1" t="s">
        <v>60</v>
      </c>
      <c r="J906" s="1"/>
      <c r="K906" s="1" t="s">
        <v>125</v>
      </c>
      <c r="L906" s="3">
        <v>47504</v>
      </c>
      <c r="M906" s="3">
        <v>45678</v>
      </c>
      <c r="N906">
        <f>_xlfn.XLOOKUP(Data[[#This Row],[Status]],Compliance_Status[Status from OPMS],Compliance_Status[Status_Key],"")</f>
        <v>4</v>
      </c>
      <c r="O906">
        <f>_xlfn.XLOOKUP(Data[[#This Row],[Status]],Compliance_Status[Status from OPMS],Compliance_Status[Has Course booking],"")</f>
        <v>0</v>
      </c>
      <c r="P906" t="str">
        <f>_xlfn.XLOOKUP(Data[[#This Row],[StatusKey]],Status_Key[Status_Key],Status_Key[Name],"")</f>
        <v>In Date</v>
      </c>
    </row>
    <row r="907" spans="1:16" x14ac:dyDescent="0.25">
      <c r="A907" s="1">
        <v>176</v>
      </c>
      <c r="B907" s="1" t="s">
        <v>225</v>
      </c>
      <c r="C907" s="1" t="s">
        <v>226</v>
      </c>
      <c r="D907" s="1" t="s">
        <v>227</v>
      </c>
      <c r="E907" s="1" t="s">
        <v>97</v>
      </c>
      <c r="F907" s="1" t="s">
        <v>65</v>
      </c>
      <c r="G907" s="1" t="s">
        <v>16</v>
      </c>
      <c r="H907" s="1" t="s">
        <v>164</v>
      </c>
      <c r="I907" s="1" t="s">
        <v>60</v>
      </c>
      <c r="J907" s="1" t="s">
        <v>67</v>
      </c>
      <c r="K907" s="1" t="s">
        <v>98</v>
      </c>
      <c r="L907" s="3">
        <v>47246</v>
      </c>
      <c r="M907" s="3">
        <v>45420</v>
      </c>
      <c r="N907">
        <f>_xlfn.XLOOKUP(Data[[#This Row],[Status]],Compliance_Status[Status from OPMS],Compliance_Status[Status_Key],"")</f>
        <v>4</v>
      </c>
      <c r="O907">
        <f>_xlfn.XLOOKUP(Data[[#This Row],[Status]],Compliance_Status[Status from OPMS],Compliance_Status[Has Course booking],"")</f>
        <v>0</v>
      </c>
      <c r="P907" t="str">
        <f>_xlfn.XLOOKUP(Data[[#This Row],[StatusKey]],Status_Key[Status_Key],Status_Key[Name],"")</f>
        <v>In Date</v>
      </c>
    </row>
    <row r="908" spans="1:16" x14ac:dyDescent="0.25">
      <c r="A908" s="1">
        <v>176</v>
      </c>
      <c r="B908" s="1" t="s">
        <v>225</v>
      </c>
      <c r="C908" s="1" t="s">
        <v>226</v>
      </c>
      <c r="D908" s="1" t="s">
        <v>227</v>
      </c>
      <c r="E908" s="1" t="s">
        <v>99</v>
      </c>
      <c r="F908" s="1"/>
      <c r="G908" s="1" t="s">
        <v>16</v>
      </c>
      <c r="H908" s="1" t="s">
        <v>164</v>
      </c>
      <c r="I908" s="1" t="s">
        <v>60</v>
      </c>
      <c r="J908" s="1" t="s">
        <v>67</v>
      </c>
      <c r="K908" s="1" t="s">
        <v>98</v>
      </c>
      <c r="L908" s="3">
        <v>46949</v>
      </c>
      <c r="M908" s="3">
        <v>46218</v>
      </c>
      <c r="N908">
        <f>_xlfn.XLOOKUP(Data[[#This Row],[Status]],Compliance_Status[Status from OPMS],Compliance_Status[Status_Key],"")</f>
        <v>4</v>
      </c>
      <c r="O908">
        <f>_xlfn.XLOOKUP(Data[[#This Row],[Status]],Compliance_Status[Status from OPMS],Compliance_Status[Has Course booking],"")</f>
        <v>0</v>
      </c>
      <c r="P908" t="str">
        <f>_xlfn.XLOOKUP(Data[[#This Row],[StatusKey]],Status_Key[Status_Key],Status_Key[Name],"")</f>
        <v>In Date</v>
      </c>
    </row>
    <row r="909" spans="1:16" x14ac:dyDescent="0.25">
      <c r="A909" s="1">
        <v>176</v>
      </c>
      <c r="B909" s="1" t="s">
        <v>225</v>
      </c>
      <c r="C909" s="1" t="s">
        <v>226</v>
      </c>
      <c r="D909" s="1" t="s">
        <v>227</v>
      </c>
      <c r="E909" s="1" t="s">
        <v>100</v>
      </c>
      <c r="F909" s="1" t="s">
        <v>72</v>
      </c>
      <c r="G909" s="1" t="s">
        <v>16</v>
      </c>
      <c r="H909" s="1" t="s">
        <v>164</v>
      </c>
      <c r="I909" s="1" t="s">
        <v>60</v>
      </c>
      <c r="J909" s="1" t="s">
        <v>67</v>
      </c>
      <c r="K909" s="1" t="s">
        <v>98</v>
      </c>
      <c r="L909" s="3">
        <v>46949</v>
      </c>
      <c r="M909" s="3">
        <v>46218</v>
      </c>
      <c r="N909">
        <f>_xlfn.XLOOKUP(Data[[#This Row],[Status]],Compliance_Status[Status from OPMS],Compliance_Status[Status_Key],"")</f>
        <v>4</v>
      </c>
      <c r="O909">
        <f>_xlfn.XLOOKUP(Data[[#This Row],[Status]],Compliance_Status[Status from OPMS],Compliance_Status[Has Course booking],"")</f>
        <v>0</v>
      </c>
      <c r="P909" t="str">
        <f>_xlfn.XLOOKUP(Data[[#This Row],[StatusKey]],Status_Key[Status_Key],Status_Key[Name],"")</f>
        <v>In Date</v>
      </c>
    </row>
    <row r="910" spans="1:16" x14ac:dyDescent="0.25">
      <c r="A910" s="1">
        <v>176</v>
      </c>
      <c r="B910" s="1" t="s">
        <v>225</v>
      </c>
      <c r="C910" s="1" t="s">
        <v>226</v>
      </c>
      <c r="D910" s="1" t="s">
        <v>227</v>
      </c>
      <c r="E910" s="1" t="s">
        <v>101</v>
      </c>
      <c r="F910" s="1" t="s">
        <v>65</v>
      </c>
      <c r="G910" s="1" t="s">
        <v>16</v>
      </c>
      <c r="H910" s="1" t="s">
        <v>164</v>
      </c>
      <c r="I910" s="1" t="s">
        <v>60</v>
      </c>
      <c r="J910" s="1" t="s">
        <v>67</v>
      </c>
      <c r="K910" s="1" t="s">
        <v>102</v>
      </c>
      <c r="L910" s="3" t="s">
        <v>79</v>
      </c>
      <c r="M910" s="3">
        <v>45406</v>
      </c>
      <c r="N910">
        <f>_xlfn.XLOOKUP(Data[[#This Row],[Status]],Compliance_Status[Status from OPMS],Compliance_Status[Status_Key],"")</f>
        <v>4</v>
      </c>
      <c r="O910">
        <f>_xlfn.XLOOKUP(Data[[#This Row],[Status]],Compliance_Status[Status from OPMS],Compliance_Status[Has Course booking],"")</f>
        <v>0</v>
      </c>
      <c r="P910" t="str">
        <f>_xlfn.XLOOKUP(Data[[#This Row],[StatusKey]],Status_Key[Status_Key],Status_Key[Name],"")</f>
        <v>In Date</v>
      </c>
    </row>
    <row r="911" spans="1:16" x14ac:dyDescent="0.25">
      <c r="A911" s="1">
        <v>176</v>
      </c>
      <c r="B911" s="1" t="s">
        <v>225</v>
      </c>
      <c r="C911" s="1" t="s">
        <v>226</v>
      </c>
      <c r="D911" s="1" t="s">
        <v>227</v>
      </c>
      <c r="E911" s="1" t="s">
        <v>103</v>
      </c>
      <c r="F911" s="1" t="s">
        <v>65</v>
      </c>
      <c r="G911" s="1" t="s">
        <v>16</v>
      </c>
      <c r="H911" s="1" t="s">
        <v>164</v>
      </c>
      <c r="I911" s="1" t="s">
        <v>60</v>
      </c>
      <c r="J911" s="1" t="s">
        <v>67</v>
      </c>
      <c r="K911" s="1" t="s">
        <v>102</v>
      </c>
      <c r="L911" s="3">
        <v>46475</v>
      </c>
      <c r="M911" s="3">
        <v>45745</v>
      </c>
      <c r="N911">
        <f>_xlfn.XLOOKUP(Data[[#This Row],[Status]],Compliance_Status[Status from OPMS],Compliance_Status[Status_Key],"")</f>
        <v>4</v>
      </c>
      <c r="O911">
        <f>_xlfn.XLOOKUP(Data[[#This Row],[Status]],Compliance_Status[Status from OPMS],Compliance_Status[Has Course booking],"")</f>
        <v>0</v>
      </c>
      <c r="P911" t="str">
        <f>_xlfn.XLOOKUP(Data[[#This Row],[StatusKey]],Status_Key[Status_Key],Status_Key[Name],"")</f>
        <v>In Date</v>
      </c>
    </row>
    <row r="912" spans="1:16" x14ac:dyDescent="0.25">
      <c r="A912" s="1">
        <v>176</v>
      </c>
      <c r="B912" s="1" t="s">
        <v>225</v>
      </c>
      <c r="C912" s="1" t="s">
        <v>226</v>
      </c>
      <c r="D912" s="1" t="s">
        <v>227</v>
      </c>
      <c r="E912" s="1" t="s">
        <v>104</v>
      </c>
      <c r="F912" s="1" t="s">
        <v>65</v>
      </c>
      <c r="G912" s="1" t="s">
        <v>16</v>
      </c>
      <c r="H912" s="1" t="s">
        <v>164</v>
      </c>
      <c r="I912" s="1" t="s">
        <v>60</v>
      </c>
      <c r="J912" s="1" t="s">
        <v>67</v>
      </c>
      <c r="K912" s="1" t="s">
        <v>105</v>
      </c>
      <c r="L912" s="3">
        <v>46770</v>
      </c>
      <c r="M912" s="3">
        <v>46040</v>
      </c>
      <c r="N912">
        <f>_xlfn.XLOOKUP(Data[[#This Row],[Status]],Compliance_Status[Status from OPMS],Compliance_Status[Status_Key],"")</f>
        <v>4</v>
      </c>
      <c r="O912">
        <f>_xlfn.XLOOKUP(Data[[#This Row],[Status]],Compliance_Status[Status from OPMS],Compliance_Status[Has Course booking],"")</f>
        <v>0</v>
      </c>
      <c r="P912" t="str">
        <f>_xlfn.XLOOKUP(Data[[#This Row],[StatusKey]],Status_Key[Status_Key],Status_Key[Name],"")</f>
        <v>In Date</v>
      </c>
    </row>
    <row r="913" spans="1:16" x14ac:dyDescent="0.25">
      <c r="A913" s="1">
        <v>176</v>
      </c>
      <c r="B913" s="1" t="s">
        <v>225</v>
      </c>
      <c r="C913" s="1" t="s">
        <v>226</v>
      </c>
      <c r="D913" s="1" t="s">
        <v>227</v>
      </c>
      <c r="E913" s="1" t="s">
        <v>106</v>
      </c>
      <c r="F913" s="1" t="s">
        <v>65</v>
      </c>
      <c r="G913" s="1" t="s">
        <v>16</v>
      </c>
      <c r="H913" s="1" t="s">
        <v>164</v>
      </c>
      <c r="I913" s="1" t="s">
        <v>60</v>
      </c>
      <c r="J913" s="1" t="s">
        <v>67</v>
      </c>
      <c r="K913" s="1" t="s">
        <v>105</v>
      </c>
      <c r="L913" s="3">
        <v>47246</v>
      </c>
      <c r="M913" s="3">
        <v>45420</v>
      </c>
      <c r="N913">
        <f>_xlfn.XLOOKUP(Data[[#This Row],[Status]],Compliance_Status[Status from OPMS],Compliance_Status[Status_Key],"")</f>
        <v>4</v>
      </c>
      <c r="O913">
        <f>_xlfn.XLOOKUP(Data[[#This Row],[Status]],Compliance_Status[Status from OPMS],Compliance_Status[Has Course booking],"")</f>
        <v>0</v>
      </c>
      <c r="P913" t="str">
        <f>_xlfn.XLOOKUP(Data[[#This Row],[StatusKey]],Status_Key[Status_Key],Status_Key[Name],"")</f>
        <v>In Date</v>
      </c>
    </row>
    <row r="914" spans="1:16" x14ac:dyDescent="0.25">
      <c r="A914" s="1">
        <v>176</v>
      </c>
      <c r="B914" s="1" t="s">
        <v>225</v>
      </c>
      <c r="C914" s="1" t="s">
        <v>226</v>
      </c>
      <c r="D914" s="1" t="s">
        <v>227</v>
      </c>
      <c r="E914" s="1" t="s">
        <v>107</v>
      </c>
      <c r="F914" s="1" t="s">
        <v>65</v>
      </c>
      <c r="G914" s="1" t="s">
        <v>16</v>
      </c>
      <c r="H914" s="1" t="s">
        <v>164</v>
      </c>
      <c r="I914" s="1" t="s">
        <v>60</v>
      </c>
      <c r="J914" s="1" t="s">
        <v>67</v>
      </c>
      <c r="K914" s="1" t="s">
        <v>105</v>
      </c>
      <c r="L914" s="3">
        <v>46515</v>
      </c>
      <c r="M914" s="3">
        <v>45420</v>
      </c>
      <c r="N914">
        <f>_xlfn.XLOOKUP(Data[[#This Row],[Status]],Compliance_Status[Status from OPMS],Compliance_Status[Status_Key],"")</f>
        <v>4</v>
      </c>
      <c r="O914">
        <f>_xlfn.XLOOKUP(Data[[#This Row],[Status]],Compliance_Status[Status from OPMS],Compliance_Status[Has Course booking],"")</f>
        <v>0</v>
      </c>
      <c r="P914" t="str">
        <f>_xlfn.XLOOKUP(Data[[#This Row],[StatusKey]],Status_Key[Status_Key],Status_Key[Name],"")</f>
        <v>In Date</v>
      </c>
    </row>
    <row r="915" spans="1:16" x14ac:dyDescent="0.25">
      <c r="A915" s="1">
        <v>176</v>
      </c>
      <c r="B915" s="1" t="s">
        <v>225</v>
      </c>
      <c r="C915" s="1" t="s">
        <v>226</v>
      </c>
      <c r="D915" s="1" t="s">
        <v>227</v>
      </c>
      <c r="E915" s="1" t="s">
        <v>108</v>
      </c>
      <c r="F915" s="1" t="s">
        <v>65</v>
      </c>
      <c r="G915" s="1" t="s">
        <v>16</v>
      </c>
      <c r="H915" s="1" t="s">
        <v>164</v>
      </c>
      <c r="I915" s="1" t="s">
        <v>60</v>
      </c>
      <c r="J915" s="1" t="s">
        <v>67</v>
      </c>
      <c r="K915" s="1" t="s">
        <v>105</v>
      </c>
      <c r="L915" s="3">
        <v>47312</v>
      </c>
      <c r="M915" s="3">
        <v>46216</v>
      </c>
      <c r="N915">
        <f>_xlfn.XLOOKUP(Data[[#This Row],[Status]],Compliance_Status[Status from OPMS],Compliance_Status[Status_Key],"")</f>
        <v>4</v>
      </c>
      <c r="O915">
        <f>_xlfn.XLOOKUP(Data[[#This Row],[Status]],Compliance_Status[Status from OPMS],Compliance_Status[Has Course booking],"")</f>
        <v>0</v>
      </c>
      <c r="P915" t="str">
        <f>_xlfn.XLOOKUP(Data[[#This Row],[StatusKey]],Status_Key[Status_Key],Status_Key[Name],"")</f>
        <v>In Date</v>
      </c>
    </row>
    <row r="916" spans="1:16" x14ac:dyDescent="0.25">
      <c r="A916" s="1">
        <v>176</v>
      </c>
      <c r="B916" s="1" t="s">
        <v>225</v>
      </c>
      <c r="C916" s="1" t="s">
        <v>226</v>
      </c>
      <c r="D916" s="1" t="s">
        <v>227</v>
      </c>
      <c r="E916" s="1" t="s">
        <v>109</v>
      </c>
      <c r="F916" s="1" t="s">
        <v>65</v>
      </c>
      <c r="G916" s="1" t="s">
        <v>16</v>
      </c>
      <c r="H916" s="1" t="s">
        <v>164</v>
      </c>
      <c r="I916" s="1" t="s">
        <v>60</v>
      </c>
      <c r="J916" s="1" t="s">
        <v>67</v>
      </c>
      <c r="K916" s="1" t="s">
        <v>105</v>
      </c>
      <c r="L916" s="3">
        <v>46770</v>
      </c>
      <c r="M916" s="3">
        <v>46040</v>
      </c>
      <c r="N916">
        <f>_xlfn.XLOOKUP(Data[[#This Row],[Status]],Compliance_Status[Status from OPMS],Compliance_Status[Status_Key],"")</f>
        <v>4</v>
      </c>
      <c r="O916">
        <f>_xlfn.XLOOKUP(Data[[#This Row],[Status]],Compliance_Status[Status from OPMS],Compliance_Status[Has Course booking],"")</f>
        <v>0</v>
      </c>
      <c r="P916" t="str">
        <f>_xlfn.XLOOKUP(Data[[#This Row],[StatusKey]],Status_Key[Status_Key],Status_Key[Name],"")</f>
        <v>In Date</v>
      </c>
    </row>
    <row r="917" spans="1:16" x14ac:dyDescent="0.25">
      <c r="A917" s="1">
        <v>176</v>
      </c>
      <c r="B917" s="1" t="s">
        <v>225</v>
      </c>
      <c r="C917" s="1" t="s">
        <v>226</v>
      </c>
      <c r="D917" s="1" t="s">
        <v>227</v>
      </c>
      <c r="E917" s="1" t="s">
        <v>110</v>
      </c>
      <c r="F917" s="1" t="s">
        <v>65</v>
      </c>
      <c r="G917" s="1" t="s">
        <v>16</v>
      </c>
      <c r="H917" s="1" t="s">
        <v>164</v>
      </c>
      <c r="I917" s="1" t="s">
        <v>60</v>
      </c>
      <c r="J917" s="1" t="s">
        <v>67</v>
      </c>
      <c r="K917" s="1" t="s">
        <v>105</v>
      </c>
      <c r="L917" s="3" t="s">
        <v>79</v>
      </c>
      <c r="M917" s="3">
        <v>45420</v>
      </c>
      <c r="N917">
        <f>_xlfn.XLOOKUP(Data[[#This Row],[Status]],Compliance_Status[Status from OPMS],Compliance_Status[Status_Key],"")</f>
        <v>4</v>
      </c>
      <c r="O917">
        <f>_xlfn.XLOOKUP(Data[[#This Row],[Status]],Compliance_Status[Status from OPMS],Compliance_Status[Has Course booking],"")</f>
        <v>0</v>
      </c>
      <c r="P917" t="str">
        <f>_xlfn.XLOOKUP(Data[[#This Row],[StatusKey]],Status_Key[Status_Key],Status_Key[Name],"")</f>
        <v>In Date</v>
      </c>
    </row>
    <row r="918" spans="1:16" x14ac:dyDescent="0.25">
      <c r="A918" s="1">
        <v>176</v>
      </c>
      <c r="B918" s="1" t="s">
        <v>225</v>
      </c>
      <c r="C918" s="1" t="s">
        <v>226</v>
      </c>
      <c r="D918" s="1" t="s">
        <v>227</v>
      </c>
      <c r="E918" s="1" t="s">
        <v>111</v>
      </c>
      <c r="F918" s="1" t="s">
        <v>65</v>
      </c>
      <c r="G918" s="1" t="s">
        <v>16</v>
      </c>
      <c r="H918" s="1" t="s">
        <v>164</v>
      </c>
      <c r="I918" s="1" t="s">
        <v>60</v>
      </c>
      <c r="J918" s="1" t="s">
        <v>67</v>
      </c>
      <c r="K918" s="1" t="s">
        <v>105</v>
      </c>
      <c r="L918" s="3">
        <v>46713</v>
      </c>
      <c r="M918" s="3">
        <v>45983</v>
      </c>
      <c r="N918">
        <f>_xlfn.XLOOKUP(Data[[#This Row],[Status]],Compliance_Status[Status from OPMS],Compliance_Status[Status_Key],"")</f>
        <v>4</v>
      </c>
      <c r="O918">
        <f>_xlfn.XLOOKUP(Data[[#This Row],[Status]],Compliance_Status[Status from OPMS],Compliance_Status[Has Course booking],"")</f>
        <v>0</v>
      </c>
      <c r="P918" t="str">
        <f>_xlfn.XLOOKUP(Data[[#This Row],[StatusKey]],Status_Key[Status_Key],Status_Key[Name],"")</f>
        <v>In Date</v>
      </c>
    </row>
    <row r="919" spans="1:16" x14ac:dyDescent="0.25">
      <c r="A919" s="1">
        <v>176</v>
      </c>
      <c r="B919" s="1" t="s">
        <v>225</v>
      </c>
      <c r="C919" s="1" t="s">
        <v>226</v>
      </c>
      <c r="D919" s="1" t="s">
        <v>227</v>
      </c>
      <c r="E919" s="1" t="s">
        <v>112</v>
      </c>
      <c r="F919" s="1" t="s">
        <v>65</v>
      </c>
      <c r="G919" s="1" t="s">
        <v>16</v>
      </c>
      <c r="H919" s="1" t="s">
        <v>164</v>
      </c>
      <c r="I919" s="1" t="s">
        <v>60</v>
      </c>
      <c r="J919" s="1" t="s">
        <v>67</v>
      </c>
      <c r="K919" s="1" t="s">
        <v>105</v>
      </c>
      <c r="L919" s="3">
        <v>46644</v>
      </c>
      <c r="M919" s="3">
        <v>45914</v>
      </c>
      <c r="N919">
        <f>_xlfn.XLOOKUP(Data[[#This Row],[Status]],Compliance_Status[Status from OPMS],Compliance_Status[Status_Key],"")</f>
        <v>4</v>
      </c>
      <c r="O919">
        <f>_xlfn.XLOOKUP(Data[[#This Row],[Status]],Compliance_Status[Status from OPMS],Compliance_Status[Has Course booking],"")</f>
        <v>0</v>
      </c>
      <c r="P919" t="str">
        <f>_xlfn.XLOOKUP(Data[[#This Row],[StatusKey]],Status_Key[Status_Key],Status_Key[Name],"")</f>
        <v>In Date</v>
      </c>
    </row>
    <row r="920" spans="1:16" x14ac:dyDescent="0.25">
      <c r="A920" s="1">
        <v>176</v>
      </c>
      <c r="B920" s="1" t="s">
        <v>225</v>
      </c>
      <c r="C920" s="1" t="s">
        <v>226</v>
      </c>
      <c r="D920" s="1" t="s">
        <v>227</v>
      </c>
      <c r="E920" s="1" t="s">
        <v>113</v>
      </c>
      <c r="F920" s="1" t="s">
        <v>65</v>
      </c>
      <c r="G920" s="1" t="s">
        <v>16</v>
      </c>
      <c r="H920" s="1" t="s">
        <v>164</v>
      </c>
      <c r="I920" s="1" t="s">
        <v>60</v>
      </c>
      <c r="J920" s="1" t="s">
        <v>67</v>
      </c>
      <c r="K920" s="1" t="s">
        <v>105</v>
      </c>
      <c r="L920" s="3">
        <v>46769</v>
      </c>
      <c r="M920" s="3">
        <v>46039</v>
      </c>
      <c r="N920">
        <f>_xlfn.XLOOKUP(Data[[#This Row],[Status]],Compliance_Status[Status from OPMS],Compliance_Status[Status_Key],"")</f>
        <v>4</v>
      </c>
      <c r="O920">
        <f>_xlfn.XLOOKUP(Data[[#This Row],[Status]],Compliance_Status[Status from OPMS],Compliance_Status[Has Course booking],"")</f>
        <v>0</v>
      </c>
      <c r="P920" t="str">
        <f>_xlfn.XLOOKUP(Data[[#This Row],[StatusKey]],Status_Key[Status_Key],Status_Key[Name],"")</f>
        <v>In Date</v>
      </c>
    </row>
    <row r="921" spans="1:16" x14ac:dyDescent="0.25">
      <c r="A921" s="1">
        <v>181</v>
      </c>
      <c r="B921" s="1" t="s">
        <v>228</v>
      </c>
      <c r="C921" s="1" t="s">
        <v>229</v>
      </c>
      <c r="D921" s="1" t="s">
        <v>230</v>
      </c>
      <c r="E921" s="1" t="s">
        <v>163</v>
      </c>
      <c r="F921" s="1" t="s">
        <v>65</v>
      </c>
      <c r="G921" s="1" t="s">
        <v>16</v>
      </c>
      <c r="H921" s="1" t="s">
        <v>164</v>
      </c>
      <c r="I921" s="1" t="s">
        <v>60</v>
      </c>
      <c r="J921" s="1"/>
      <c r="K921" s="1" t="s">
        <v>68</v>
      </c>
      <c r="L921" s="3">
        <v>46762</v>
      </c>
      <c r="M921" s="3">
        <v>44937</v>
      </c>
      <c r="N921">
        <f>_xlfn.XLOOKUP(Data[[#This Row],[Status]],Compliance_Status[Status from OPMS],Compliance_Status[Status_Key],"")</f>
        <v>4</v>
      </c>
      <c r="O921">
        <f>_xlfn.XLOOKUP(Data[[#This Row],[Status]],Compliance_Status[Status from OPMS],Compliance_Status[Has Course booking],"")</f>
        <v>0</v>
      </c>
      <c r="P921" t="str">
        <f>_xlfn.XLOOKUP(Data[[#This Row],[StatusKey]],Status_Key[Status_Key],Status_Key[Name],"")</f>
        <v>In Date</v>
      </c>
    </row>
    <row r="922" spans="1:16" x14ac:dyDescent="0.25">
      <c r="A922" s="1">
        <v>181</v>
      </c>
      <c r="B922" s="1" t="s">
        <v>228</v>
      </c>
      <c r="C922" s="1" t="s">
        <v>229</v>
      </c>
      <c r="D922" s="1" t="s">
        <v>230</v>
      </c>
      <c r="E922" s="1" t="s">
        <v>131</v>
      </c>
      <c r="F922" s="1" t="s">
        <v>72</v>
      </c>
      <c r="G922" s="1" t="s">
        <v>16</v>
      </c>
      <c r="H922" s="1" t="s">
        <v>164</v>
      </c>
      <c r="I922" s="1" t="s">
        <v>60</v>
      </c>
      <c r="J922" s="1" t="s">
        <v>67</v>
      </c>
      <c r="K922" s="1" t="s">
        <v>68</v>
      </c>
      <c r="L922" s="3">
        <v>47673</v>
      </c>
      <c r="M922" s="3">
        <v>45789</v>
      </c>
      <c r="N922">
        <f>_xlfn.XLOOKUP(Data[[#This Row],[Status]],Compliance_Status[Status from OPMS],Compliance_Status[Status_Key],"")</f>
        <v>4</v>
      </c>
      <c r="O922">
        <f>_xlfn.XLOOKUP(Data[[#This Row],[Status]],Compliance_Status[Status from OPMS],Compliance_Status[Has Course booking],"")</f>
        <v>0</v>
      </c>
      <c r="P922" t="str">
        <f>_xlfn.XLOOKUP(Data[[#This Row],[StatusKey]],Status_Key[Status_Key],Status_Key[Name],"")</f>
        <v>In Date</v>
      </c>
    </row>
    <row r="923" spans="1:16" x14ac:dyDescent="0.25">
      <c r="A923" s="1">
        <v>181</v>
      </c>
      <c r="B923" s="1" t="s">
        <v>228</v>
      </c>
      <c r="C923" s="1" t="s">
        <v>229</v>
      </c>
      <c r="D923" s="1" t="s">
        <v>230</v>
      </c>
      <c r="E923" s="1" t="s">
        <v>71</v>
      </c>
      <c r="F923" s="1" t="s">
        <v>72</v>
      </c>
      <c r="G923" s="1" t="s">
        <v>16</v>
      </c>
      <c r="H923" s="1" t="s">
        <v>164</v>
      </c>
      <c r="I923" s="1" t="s">
        <v>60</v>
      </c>
      <c r="J923" s="1" t="s">
        <v>67</v>
      </c>
      <c r="K923" s="1" t="s">
        <v>68</v>
      </c>
      <c r="L923" s="3">
        <v>47343</v>
      </c>
      <c r="M923" s="3">
        <v>45518</v>
      </c>
      <c r="N923">
        <f>_xlfn.XLOOKUP(Data[[#This Row],[Status]],Compliance_Status[Status from OPMS],Compliance_Status[Status_Key],"")</f>
        <v>4</v>
      </c>
      <c r="O923">
        <f>_xlfn.XLOOKUP(Data[[#This Row],[Status]],Compliance_Status[Status from OPMS],Compliance_Status[Has Course booking],"")</f>
        <v>0</v>
      </c>
      <c r="P923" t="str">
        <f>_xlfn.XLOOKUP(Data[[#This Row],[StatusKey]],Status_Key[Status_Key],Status_Key[Name],"")</f>
        <v>In Date</v>
      </c>
    </row>
    <row r="924" spans="1:16" x14ac:dyDescent="0.25">
      <c r="A924" s="1">
        <v>181</v>
      </c>
      <c r="B924" s="1" t="s">
        <v>228</v>
      </c>
      <c r="C924" s="1" t="s">
        <v>229</v>
      </c>
      <c r="D924" s="1" t="s">
        <v>230</v>
      </c>
      <c r="E924" s="1" t="s">
        <v>73</v>
      </c>
      <c r="F924" s="1" t="s">
        <v>65</v>
      </c>
      <c r="G924" s="1" t="s">
        <v>16</v>
      </c>
      <c r="H924" s="1" t="s">
        <v>164</v>
      </c>
      <c r="I924" s="1" t="s">
        <v>60</v>
      </c>
      <c r="J924" s="1" t="s">
        <v>67</v>
      </c>
      <c r="K924" s="1" t="s">
        <v>68</v>
      </c>
      <c r="L924" s="3">
        <v>46968</v>
      </c>
      <c r="M924" s="3">
        <v>46237</v>
      </c>
      <c r="N924">
        <f>_xlfn.XLOOKUP(Data[[#This Row],[Status]],Compliance_Status[Status from OPMS],Compliance_Status[Status_Key],"")</f>
        <v>4</v>
      </c>
      <c r="O924">
        <f>_xlfn.XLOOKUP(Data[[#This Row],[Status]],Compliance_Status[Status from OPMS],Compliance_Status[Has Course booking],"")</f>
        <v>0</v>
      </c>
      <c r="P924" t="str">
        <f>_xlfn.XLOOKUP(Data[[#This Row],[StatusKey]],Status_Key[Status_Key],Status_Key[Name],"")</f>
        <v>In Date</v>
      </c>
    </row>
    <row r="925" spans="1:16" x14ac:dyDescent="0.25">
      <c r="A925" s="1">
        <v>181</v>
      </c>
      <c r="B925" s="1" t="s">
        <v>228</v>
      </c>
      <c r="C925" s="1" t="s">
        <v>229</v>
      </c>
      <c r="D925" s="1" t="s">
        <v>230</v>
      </c>
      <c r="E925" s="1" t="s">
        <v>74</v>
      </c>
      <c r="F925" s="1" t="s">
        <v>65</v>
      </c>
      <c r="G925" s="1" t="s">
        <v>16</v>
      </c>
      <c r="H925" s="1" t="s">
        <v>164</v>
      </c>
      <c r="I925" s="1" t="s">
        <v>60</v>
      </c>
      <c r="J925" s="1" t="s">
        <v>67</v>
      </c>
      <c r="K925" s="1" t="s">
        <v>68</v>
      </c>
      <c r="L925" s="3">
        <v>46819</v>
      </c>
      <c r="M925" s="3">
        <v>45723</v>
      </c>
      <c r="N925">
        <f>_xlfn.XLOOKUP(Data[[#This Row],[Status]],Compliance_Status[Status from OPMS],Compliance_Status[Status_Key],"")</f>
        <v>4</v>
      </c>
      <c r="O925">
        <f>_xlfn.XLOOKUP(Data[[#This Row],[Status]],Compliance_Status[Status from OPMS],Compliance_Status[Has Course booking],"")</f>
        <v>0</v>
      </c>
      <c r="P925" t="str">
        <f>_xlfn.XLOOKUP(Data[[#This Row],[StatusKey]],Status_Key[Status_Key],Status_Key[Name],"")</f>
        <v>In Date</v>
      </c>
    </row>
    <row r="926" spans="1:16" x14ac:dyDescent="0.25">
      <c r="A926" s="1">
        <v>181</v>
      </c>
      <c r="B926" s="1" t="s">
        <v>228</v>
      </c>
      <c r="C926" s="1" t="s">
        <v>229</v>
      </c>
      <c r="D926" s="1" t="s">
        <v>230</v>
      </c>
      <c r="E926" s="1" t="s">
        <v>75</v>
      </c>
      <c r="F926" s="1" t="s">
        <v>72</v>
      </c>
      <c r="G926" s="1" t="s">
        <v>24</v>
      </c>
      <c r="H926" s="1" t="s">
        <v>164</v>
      </c>
      <c r="I926" s="1" t="s">
        <v>60</v>
      </c>
      <c r="J926" s="1" t="s">
        <v>67</v>
      </c>
      <c r="K926" s="1" t="s">
        <v>68</v>
      </c>
      <c r="L926" s="3">
        <v>46385</v>
      </c>
      <c r="M926" s="3">
        <v>45723</v>
      </c>
      <c r="N926">
        <f>_xlfn.XLOOKUP(Data[[#This Row],[Status]],Compliance_Status[Status from OPMS],Compliance_Status[Status_Key],"")</f>
        <v>3</v>
      </c>
      <c r="O926">
        <f>_xlfn.XLOOKUP(Data[[#This Row],[Status]],Compliance_Status[Status from OPMS],Compliance_Status[Has Course booking],"")</f>
        <v>0</v>
      </c>
      <c r="P926" t="str">
        <f>_xlfn.XLOOKUP(Data[[#This Row],[StatusKey]],Status_Key[Status_Key],Status_Key[Name],"")</f>
        <v>About to expire</v>
      </c>
    </row>
    <row r="927" spans="1:16" x14ac:dyDescent="0.25">
      <c r="A927" s="1">
        <v>181</v>
      </c>
      <c r="B927" s="1" t="s">
        <v>228</v>
      </c>
      <c r="C927" s="1" t="s">
        <v>229</v>
      </c>
      <c r="D927" s="1" t="s">
        <v>230</v>
      </c>
      <c r="E927" s="1" t="s">
        <v>165</v>
      </c>
      <c r="F927" s="1" t="s">
        <v>72</v>
      </c>
      <c r="G927" s="1" t="s">
        <v>16</v>
      </c>
      <c r="H927" s="1" t="s">
        <v>164</v>
      </c>
      <c r="I927" s="1" t="s">
        <v>60</v>
      </c>
      <c r="J927" s="1" t="s">
        <v>67</v>
      </c>
      <c r="K927" s="1" t="s">
        <v>68</v>
      </c>
      <c r="L927" s="3" t="s">
        <v>79</v>
      </c>
      <c r="M927" s="3">
        <v>45348</v>
      </c>
      <c r="N927">
        <f>_xlfn.XLOOKUP(Data[[#This Row],[Status]],Compliance_Status[Status from OPMS],Compliance_Status[Status_Key],"")</f>
        <v>4</v>
      </c>
      <c r="O927">
        <f>_xlfn.XLOOKUP(Data[[#This Row],[Status]],Compliance_Status[Status from OPMS],Compliance_Status[Has Course booking],"")</f>
        <v>0</v>
      </c>
      <c r="P927" t="str">
        <f>_xlfn.XLOOKUP(Data[[#This Row],[StatusKey]],Status_Key[Status_Key],Status_Key[Name],"")</f>
        <v>In Date</v>
      </c>
    </row>
    <row r="928" spans="1:16" x14ac:dyDescent="0.25">
      <c r="A928" s="1">
        <v>181</v>
      </c>
      <c r="B928" s="1" t="s">
        <v>228</v>
      </c>
      <c r="C928" s="1" t="s">
        <v>229</v>
      </c>
      <c r="D928" s="1" t="s">
        <v>230</v>
      </c>
      <c r="E928" s="1" t="s">
        <v>76</v>
      </c>
      <c r="F928" s="1" t="s">
        <v>65</v>
      </c>
      <c r="G928" s="1" t="s">
        <v>16</v>
      </c>
      <c r="H928" s="1" t="s">
        <v>164</v>
      </c>
      <c r="I928" s="1" t="s">
        <v>60</v>
      </c>
      <c r="J928" s="1" t="s">
        <v>67</v>
      </c>
      <c r="K928" s="1" t="s">
        <v>77</v>
      </c>
      <c r="L928" s="3">
        <v>47391</v>
      </c>
      <c r="M928" s="3">
        <v>45930</v>
      </c>
      <c r="N928">
        <f>_xlfn.XLOOKUP(Data[[#This Row],[Status]],Compliance_Status[Status from OPMS],Compliance_Status[Status_Key],"")</f>
        <v>4</v>
      </c>
      <c r="O928">
        <f>_xlfn.XLOOKUP(Data[[#This Row],[Status]],Compliance_Status[Status from OPMS],Compliance_Status[Has Course booking],"")</f>
        <v>0</v>
      </c>
      <c r="P928" t="str">
        <f>_xlfn.XLOOKUP(Data[[#This Row],[StatusKey]],Status_Key[Status_Key],Status_Key[Name],"")</f>
        <v>In Date</v>
      </c>
    </row>
    <row r="929" spans="1:16" x14ac:dyDescent="0.25">
      <c r="A929" s="1">
        <v>181</v>
      </c>
      <c r="B929" s="1" t="s">
        <v>228</v>
      </c>
      <c r="C929" s="1" t="s">
        <v>229</v>
      </c>
      <c r="D929" s="1" t="s">
        <v>230</v>
      </c>
      <c r="E929" s="1" t="s">
        <v>80</v>
      </c>
      <c r="F929" s="1" t="s">
        <v>65</v>
      </c>
      <c r="G929" s="1" t="s">
        <v>16</v>
      </c>
      <c r="H929" s="1" t="s">
        <v>164</v>
      </c>
      <c r="I929" s="1" t="s">
        <v>60</v>
      </c>
      <c r="J929" s="1" t="s">
        <v>67</v>
      </c>
      <c r="K929" s="1" t="s">
        <v>77</v>
      </c>
      <c r="L929" s="3" t="s">
        <v>79</v>
      </c>
      <c r="M929" s="3">
        <v>45779</v>
      </c>
      <c r="N929">
        <f>_xlfn.XLOOKUP(Data[[#This Row],[Status]],Compliance_Status[Status from OPMS],Compliance_Status[Status_Key],"")</f>
        <v>4</v>
      </c>
      <c r="O929">
        <f>_xlfn.XLOOKUP(Data[[#This Row],[Status]],Compliance_Status[Status from OPMS],Compliance_Status[Has Course booking],"")</f>
        <v>0</v>
      </c>
      <c r="P929" t="str">
        <f>_xlfn.XLOOKUP(Data[[#This Row],[StatusKey]],Status_Key[Status_Key],Status_Key[Name],"")</f>
        <v>In Date</v>
      </c>
    </row>
    <row r="930" spans="1:16" x14ac:dyDescent="0.25">
      <c r="A930" s="1">
        <v>181</v>
      </c>
      <c r="B930" s="1" t="s">
        <v>228</v>
      </c>
      <c r="C930" s="1" t="s">
        <v>229</v>
      </c>
      <c r="D930" s="1" t="s">
        <v>230</v>
      </c>
      <c r="E930" s="1" t="s">
        <v>84</v>
      </c>
      <c r="F930" s="1" t="s">
        <v>65</v>
      </c>
      <c r="G930" s="1" t="s">
        <v>16</v>
      </c>
      <c r="H930" s="1" t="s">
        <v>164</v>
      </c>
      <c r="I930" s="1" t="s">
        <v>60</v>
      </c>
      <c r="J930" s="1" t="s">
        <v>67</v>
      </c>
      <c r="K930" s="1" t="s">
        <v>83</v>
      </c>
      <c r="L930" s="3">
        <v>46714</v>
      </c>
      <c r="M930" s="3">
        <v>45984</v>
      </c>
      <c r="N930">
        <f>_xlfn.XLOOKUP(Data[[#This Row],[Status]],Compliance_Status[Status from OPMS],Compliance_Status[Status_Key],"")</f>
        <v>4</v>
      </c>
      <c r="O930">
        <f>_xlfn.XLOOKUP(Data[[#This Row],[Status]],Compliance_Status[Status from OPMS],Compliance_Status[Has Course booking],"")</f>
        <v>0</v>
      </c>
      <c r="P930" t="str">
        <f>_xlfn.XLOOKUP(Data[[#This Row],[StatusKey]],Status_Key[Status_Key],Status_Key[Name],"")</f>
        <v>In Date</v>
      </c>
    </row>
    <row r="931" spans="1:16" x14ac:dyDescent="0.25">
      <c r="A931" s="1">
        <v>181</v>
      </c>
      <c r="B931" s="1" t="s">
        <v>228</v>
      </c>
      <c r="C931" s="1" t="s">
        <v>229</v>
      </c>
      <c r="D931" s="1" t="s">
        <v>230</v>
      </c>
      <c r="E931" s="1" t="s">
        <v>93</v>
      </c>
      <c r="F931" s="1" t="s">
        <v>65</v>
      </c>
      <c r="G931" s="1" t="s">
        <v>16</v>
      </c>
      <c r="H931" s="1" t="s">
        <v>164</v>
      </c>
      <c r="I931" s="1" t="s">
        <v>60</v>
      </c>
      <c r="J931" s="1" t="s">
        <v>67</v>
      </c>
      <c r="K931" s="1" t="s">
        <v>94</v>
      </c>
      <c r="L931" s="3">
        <v>46646</v>
      </c>
      <c r="M931" s="3">
        <v>45916</v>
      </c>
      <c r="N931">
        <f>_xlfn.XLOOKUP(Data[[#This Row],[Status]],Compliance_Status[Status from OPMS],Compliance_Status[Status_Key],"")</f>
        <v>4</v>
      </c>
      <c r="O931">
        <f>_xlfn.XLOOKUP(Data[[#This Row],[Status]],Compliance_Status[Status from OPMS],Compliance_Status[Has Course booking],"")</f>
        <v>0</v>
      </c>
      <c r="P931" t="str">
        <f>_xlfn.XLOOKUP(Data[[#This Row],[StatusKey]],Status_Key[Status_Key],Status_Key[Name],"")</f>
        <v>In Date</v>
      </c>
    </row>
    <row r="932" spans="1:16" x14ac:dyDescent="0.25">
      <c r="A932" s="1">
        <v>181</v>
      </c>
      <c r="B932" s="1" t="s">
        <v>228</v>
      </c>
      <c r="C932" s="1" t="s">
        <v>229</v>
      </c>
      <c r="D932" s="1" t="s">
        <v>230</v>
      </c>
      <c r="E932" s="1" t="s">
        <v>95</v>
      </c>
      <c r="F932" s="1" t="s">
        <v>65</v>
      </c>
      <c r="G932" s="1" t="s">
        <v>16</v>
      </c>
      <c r="H932" s="1" t="s">
        <v>164</v>
      </c>
      <c r="I932" s="1" t="s">
        <v>60</v>
      </c>
      <c r="J932" s="1" t="s">
        <v>67</v>
      </c>
      <c r="K932" s="1" t="s">
        <v>94</v>
      </c>
      <c r="L932" s="3">
        <v>46646</v>
      </c>
      <c r="M932" s="3">
        <v>45916</v>
      </c>
      <c r="N932">
        <f>_xlfn.XLOOKUP(Data[[#This Row],[Status]],Compliance_Status[Status from OPMS],Compliance_Status[Status_Key],"")</f>
        <v>4</v>
      </c>
      <c r="O932">
        <f>_xlfn.XLOOKUP(Data[[#This Row],[Status]],Compliance_Status[Status from OPMS],Compliance_Status[Has Course booking],"")</f>
        <v>0</v>
      </c>
      <c r="P932" t="str">
        <f>_xlfn.XLOOKUP(Data[[#This Row],[StatusKey]],Status_Key[Status_Key],Status_Key[Name],"")</f>
        <v>In Date</v>
      </c>
    </row>
    <row r="933" spans="1:16" x14ac:dyDescent="0.25">
      <c r="A933" s="1">
        <v>181</v>
      </c>
      <c r="B933" s="1" t="s">
        <v>228</v>
      </c>
      <c r="C933" s="1" t="s">
        <v>229</v>
      </c>
      <c r="D933" s="1" t="s">
        <v>230</v>
      </c>
      <c r="E933" s="1" t="s">
        <v>156</v>
      </c>
      <c r="F933" s="1" t="s">
        <v>65</v>
      </c>
      <c r="G933" s="1" t="s">
        <v>16</v>
      </c>
      <c r="H933" s="1" t="s">
        <v>164</v>
      </c>
      <c r="I933" s="1" t="s">
        <v>60</v>
      </c>
      <c r="J933" s="1"/>
      <c r="K933" s="1" t="s">
        <v>125</v>
      </c>
      <c r="L933" s="3">
        <v>47812</v>
      </c>
      <c r="M933" s="3">
        <v>45986</v>
      </c>
      <c r="N933">
        <f>_xlfn.XLOOKUP(Data[[#This Row],[Status]],Compliance_Status[Status from OPMS],Compliance_Status[Status_Key],"")</f>
        <v>4</v>
      </c>
      <c r="O933">
        <f>_xlfn.XLOOKUP(Data[[#This Row],[Status]],Compliance_Status[Status from OPMS],Compliance_Status[Has Course booking],"")</f>
        <v>0</v>
      </c>
      <c r="P933" t="str">
        <f>_xlfn.XLOOKUP(Data[[#This Row],[StatusKey]],Status_Key[Status_Key],Status_Key[Name],"")</f>
        <v>In Date</v>
      </c>
    </row>
    <row r="934" spans="1:16" x14ac:dyDescent="0.25">
      <c r="A934" s="1">
        <v>181</v>
      </c>
      <c r="B934" s="1" t="s">
        <v>228</v>
      </c>
      <c r="C934" s="1" t="s">
        <v>229</v>
      </c>
      <c r="D934" s="1" t="s">
        <v>230</v>
      </c>
      <c r="E934" s="1" t="s">
        <v>124</v>
      </c>
      <c r="F934" s="1" t="s">
        <v>72</v>
      </c>
      <c r="G934" s="1" t="s">
        <v>16</v>
      </c>
      <c r="H934" s="1" t="s">
        <v>164</v>
      </c>
      <c r="I934" s="1" t="s">
        <v>60</v>
      </c>
      <c r="J934" s="1"/>
      <c r="K934" s="1" t="s">
        <v>125</v>
      </c>
      <c r="L934" s="3">
        <v>47812</v>
      </c>
      <c r="M934" s="3">
        <v>45986</v>
      </c>
      <c r="N934">
        <f>_xlfn.XLOOKUP(Data[[#This Row],[Status]],Compliance_Status[Status from OPMS],Compliance_Status[Status_Key],"")</f>
        <v>4</v>
      </c>
      <c r="O934">
        <f>_xlfn.XLOOKUP(Data[[#This Row],[Status]],Compliance_Status[Status from OPMS],Compliance_Status[Has Course booking],"")</f>
        <v>0</v>
      </c>
      <c r="P934" t="str">
        <f>_xlfn.XLOOKUP(Data[[#This Row],[StatusKey]],Status_Key[Status_Key],Status_Key[Name],"")</f>
        <v>In Date</v>
      </c>
    </row>
    <row r="935" spans="1:16" x14ac:dyDescent="0.25">
      <c r="A935" s="1">
        <v>181</v>
      </c>
      <c r="B935" s="1" t="s">
        <v>228</v>
      </c>
      <c r="C935" s="1" t="s">
        <v>229</v>
      </c>
      <c r="D935" s="1" t="s">
        <v>230</v>
      </c>
      <c r="E935" s="1" t="s">
        <v>97</v>
      </c>
      <c r="F935" s="1" t="s">
        <v>65</v>
      </c>
      <c r="G935" s="1" t="s">
        <v>16</v>
      </c>
      <c r="H935" s="1" t="s">
        <v>164</v>
      </c>
      <c r="I935" s="1" t="s">
        <v>60</v>
      </c>
      <c r="J935" s="1" t="s">
        <v>67</v>
      </c>
      <c r="K935" s="1" t="s">
        <v>98</v>
      </c>
      <c r="L935" s="3">
        <v>47245</v>
      </c>
      <c r="M935" s="3">
        <v>45419</v>
      </c>
      <c r="N935">
        <f>_xlfn.XLOOKUP(Data[[#This Row],[Status]],Compliance_Status[Status from OPMS],Compliance_Status[Status_Key],"")</f>
        <v>4</v>
      </c>
      <c r="O935">
        <f>_xlfn.XLOOKUP(Data[[#This Row],[Status]],Compliance_Status[Status from OPMS],Compliance_Status[Has Course booking],"")</f>
        <v>0</v>
      </c>
      <c r="P935" t="str">
        <f>_xlfn.XLOOKUP(Data[[#This Row],[StatusKey]],Status_Key[Status_Key],Status_Key[Name],"")</f>
        <v>In Date</v>
      </c>
    </row>
    <row r="936" spans="1:16" x14ac:dyDescent="0.25">
      <c r="A936" s="1">
        <v>181</v>
      </c>
      <c r="B936" s="1" t="s">
        <v>228</v>
      </c>
      <c r="C936" s="1" t="s">
        <v>229</v>
      </c>
      <c r="D936" s="1" t="s">
        <v>230</v>
      </c>
      <c r="E936" s="1" t="s">
        <v>100</v>
      </c>
      <c r="F936" s="1" t="s">
        <v>72</v>
      </c>
      <c r="G936" s="1" t="s">
        <v>18</v>
      </c>
      <c r="H936" s="1" t="s">
        <v>164</v>
      </c>
      <c r="I936" s="1" t="s">
        <v>60</v>
      </c>
      <c r="J936" s="1"/>
      <c r="K936" s="1" t="s">
        <v>98</v>
      </c>
      <c r="L936" s="3"/>
      <c r="M936" s="3"/>
      <c r="N936">
        <f>_xlfn.XLOOKUP(Data[[#This Row],[Status]],Compliance_Status[Status from OPMS],Compliance_Status[Status_Key],"")</f>
        <v>2</v>
      </c>
      <c r="O936">
        <f>_xlfn.XLOOKUP(Data[[#This Row],[Status]],Compliance_Status[Status from OPMS],Compliance_Status[Has Course booking],"")</f>
        <v>0</v>
      </c>
      <c r="P936" t="str">
        <f>_xlfn.XLOOKUP(Data[[#This Row],[StatusKey]],Status_Key[Status_Key],Status_Key[Name],"")</f>
        <v>Outstanding</v>
      </c>
    </row>
    <row r="937" spans="1:16" x14ac:dyDescent="0.25">
      <c r="A937" s="1">
        <v>181</v>
      </c>
      <c r="B937" s="1" t="s">
        <v>228</v>
      </c>
      <c r="C937" s="1" t="s">
        <v>229</v>
      </c>
      <c r="D937" s="1" t="s">
        <v>230</v>
      </c>
      <c r="E937" s="1" t="s">
        <v>101</v>
      </c>
      <c r="F937" s="1" t="s">
        <v>65</v>
      </c>
      <c r="G937" s="1" t="s">
        <v>16</v>
      </c>
      <c r="H937" s="1" t="s">
        <v>164</v>
      </c>
      <c r="I937" s="1" t="s">
        <v>60</v>
      </c>
      <c r="J937" s="1" t="s">
        <v>67</v>
      </c>
      <c r="K937" s="1" t="s">
        <v>102</v>
      </c>
      <c r="L937" s="3" t="s">
        <v>79</v>
      </c>
      <c r="M937" s="3">
        <v>45406</v>
      </c>
      <c r="N937">
        <f>_xlfn.XLOOKUP(Data[[#This Row],[Status]],Compliance_Status[Status from OPMS],Compliance_Status[Status_Key],"")</f>
        <v>4</v>
      </c>
      <c r="O937">
        <f>_xlfn.XLOOKUP(Data[[#This Row],[Status]],Compliance_Status[Status from OPMS],Compliance_Status[Has Course booking],"")</f>
        <v>0</v>
      </c>
      <c r="P937" t="str">
        <f>_xlfn.XLOOKUP(Data[[#This Row],[StatusKey]],Status_Key[Status_Key],Status_Key[Name],"")</f>
        <v>In Date</v>
      </c>
    </row>
    <row r="938" spans="1:16" x14ac:dyDescent="0.25">
      <c r="A938" s="1">
        <v>181</v>
      </c>
      <c r="B938" s="1" t="s">
        <v>228</v>
      </c>
      <c r="C938" s="1" t="s">
        <v>229</v>
      </c>
      <c r="D938" s="1" t="s">
        <v>230</v>
      </c>
      <c r="E938" s="1" t="s">
        <v>103</v>
      </c>
      <c r="F938" s="1" t="s">
        <v>65</v>
      </c>
      <c r="G938" s="1" t="s">
        <v>16</v>
      </c>
      <c r="H938" s="1" t="s">
        <v>164</v>
      </c>
      <c r="I938" s="1" t="s">
        <v>60</v>
      </c>
      <c r="J938" s="1" t="s">
        <v>67</v>
      </c>
      <c r="K938" s="1" t="s">
        <v>102</v>
      </c>
      <c r="L938" s="3">
        <v>46453</v>
      </c>
      <c r="M938" s="3">
        <v>45723</v>
      </c>
      <c r="N938">
        <f>_xlfn.XLOOKUP(Data[[#This Row],[Status]],Compliance_Status[Status from OPMS],Compliance_Status[Status_Key],"")</f>
        <v>4</v>
      </c>
      <c r="O938">
        <f>_xlfn.XLOOKUP(Data[[#This Row],[Status]],Compliance_Status[Status from OPMS],Compliance_Status[Has Course booking],"")</f>
        <v>0</v>
      </c>
      <c r="P938" t="str">
        <f>_xlfn.XLOOKUP(Data[[#This Row],[StatusKey]],Status_Key[Status_Key],Status_Key[Name],"")</f>
        <v>In Date</v>
      </c>
    </row>
    <row r="939" spans="1:16" x14ac:dyDescent="0.25">
      <c r="A939" s="1">
        <v>181</v>
      </c>
      <c r="B939" s="1" t="s">
        <v>228</v>
      </c>
      <c r="C939" s="1" t="s">
        <v>229</v>
      </c>
      <c r="D939" s="1" t="s">
        <v>230</v>
      </c>
      <c r="E939" s="1" t="s">
        <v>104</v>
      </c>
      <c r="F939" s="1" t="s">
        <v>65</v>
      </c>
      <c r="G939" s="1" t="s">
        <v>16</v>
      </c>
      <c r="H939" s="1" t="s">
        <v>164</v>
      </c>
      <c r="I939" s="1" t="s">
        <v>60</v>
      </c>
      <c r="J939" s="1" t="s">
        <v>67</v>
      </c>
      <c r="K939" s="1" t="s">
        <v>105</v>
      </c>
      <c r="L939" s="3">
        <v>46770</v>
      </c>
      <c r="M939" s="3">
        <v>46040</v>
      </c>
      <c r="N939">
        <f>_xlfn.XLOOKUP(Data[[#This Row],[Status]],Compliance_Status[Status from OPMS],Compliance_Status[Status_Key],"")</f>
        <v>4</v>
      </c>
      <c r="O939">
        <f>_xlfn.XLOOKUP(Data[[#This Row],[Status]],Compliance_Status[Status from OPMS],Compliance_Status[Has Course booking],"")</f>
        <v>0</v>
      </c>
      <c r="P939" t="str">
        <f>_xlfn.XLOOKUP(Data[[#This Row],[StatusKey]],Status_Key[Status_Key],Status_Key[Name],"")</f>
        <v>In Date</v>
      </c>
    </row>
    <row r="940" spans="1:16" x14ac:dyDescent="0.25">
      <c r="A940" s="1">
        <v>181</v>
      </c>
      <c r="B940" s="1" t="s">
        <v>228</v>
      </c>
      <c r="C940" s="1" t="s">
        <v>229</v>
      </c>
      <c r="D940" s="1" t="s">
        <v>230</v>
      </c>
      <c r="E940" s="1" t="s">
        <v>106</v>
      </c>
      <c r="F940" s="1" t="s">
        <v>65</v>
      </c>
      <c r="G940" s="1" t="s">
        <v>16</v>
      </c>
      <c r="H940" s="1" t="s">
        <v>164</v>
      </c>
      <c r="I940" s="1" t="s">
        <v>60</v>
      </c>
      <c r="J940" s="1" t="s">
        <v>67</v>
      </c>
      <c r="K940" s="1" t="s">
        <v>105</v>
      </c>
      <c r="L940" s="3">
        <v>47244</v>
      </c>
      <c r="M940" s="3">
        <v>45418</v>
      </c>
      <c r="N940">
        <f>_xlfn.XLOOKUP(Data[[#This Row],[Status]],Compliance_Status[Status from OPMS],Compliance_Status[Status_Key],"")</f>
        <v>4</v>
      </c>
      <c r="O940">
        <f>_xlfn.XLOOKUP(Data[[#This Row],[Status]],Compliance_Status[Status from OPMS],Compliance_Status[Has Course booking],"")</f>
        <v>0</v>
      </c>
      <c r="P940" t="str">
        <f>_xlfn.XLOOKUP(Data[[#This Row],[StatusKey]],Status_Key[Status_Key],Status_Key[Name],"")</f>
        <v>In Date</v>
      </c>
    </row>
    <row r="941" spans="1:16" x14ac:dyDescent="0.25">
      <c r="A941" s="1">
        <v>181</v>
      </c>
      <c r="B941" s="1" t="s">
        <v>228</v>
      </c>
      <c r="C941" s="1" t="s">
        <v>229</v>
      </c>
      <c r="D941" s="1" t="s">
        <v>230</v>
      </c>
      <c r="E941" s="1" t="s">
        <v>107</v>
      </c>
      <c r="F941" s="1" t="s">
        <v>65</v>
      </c>
      <c r="G941" s="1" t="s">
        <v>16</v>
      </c>
      <c r="H941" s="1" t="s">
        <v>164</v>
      </c>
      <c r="I941" s="1" t="s">
        <v>60</v>
      </c>
      <c r="J941" s="1" t="s">
        <v>67</v>
      </c>
      <c r="K941" s="1" t="s">
        <v>105</v>
      </c>
      <c r="L941" s="3">
        <v>47136</v>
      </c>
      <c r="M941" s="3">
        <v>46041</v>
      </c>
      <c r="N941">
        <f>_xlfn.XLOOKUP(Data[[#This Row],[Status]],Compliance_Status[Status from OPMS],Compliance_Status[Status_Key],"")</f>
        <v>4</v>
      </c>
      <c r="O941">
        <f>_xlfn.XLOOKUP(Data[[#This Row],[Status]],Compliance_Status[Status from OPMS],Compliance_Status[Has Course booking],"")</f>
        <v>0</v>
      </c>
      <c r="P941" t="str">
        <f>_xlfn.XLOOKUP(Data[[#This Row],[StatusKey]],Status_Key[Status_Key],Status_Key[Name],"")</f>
        <v>In Date</v>
      </c>
    </row>
    <row r="942" spans="1:16" x14ac:dyDescent="0.25">
      <c r="A942" s="1">
        <v>181</v>
      </c>
      <c r="B942" s="1" t="s">
        <v>228</v>
      </c>
      <c r="C942" s="1" t="s">
        <v>229</v>
      </c>
      <c r="D942" s="1" t="s">
        <v>230</v>
      </c>
      <c r="E942" s="1" t="s">
        <v>108</v>
      </c>
      <c r="F942" s="1" t="s">
        <v>65</v>
      </c>
      <c r="G942" s="1" t="s">
        <v>16</v>
      </c>
      <c r="H942" s="1" t="s">
        <v>164</v>
      </c>
      <c r="I942" s="1" t="s">
        <v>60</v>
      </c>
      <c r="J942" s="1" t="s">
        <v>67</v>
      </c>
      <c r="K942" s="1" t="s">
        <v>105</v>
      </c>
      <c r="L942" s="3">
        <v>47342</v>
      </c>
      <c r="M942" s="3">
        <v>46246</v>
      </c>
      <c r="N942">
        <f>_xlfn.XLOOKUP(Data[[#This Row],[Status]],Compliance_Status[Status from OPMS],Compliance_Status[Status_Key],"")</f>
        <v>4</v>
      </c>
      <c r="O942">
        <f>_xlfn.XLOOKUP(Data[[#This Row],[Status]],Compliance_Status[Status from OPMS],Compliance_Status[Has Course booking],"")</f>
        <v>0</v>
      </c>
      <c r="P942" t="str">
        <f>_xlfn.XLOOKUP(Data[[#This Row],[StatusKey]],Status_Key[Status_Key],Status_Key[Name],"")</f>
        <v>In Date</v>
      </c>
    </row>
    <row r="943" spans="1:16" x14ac:dyDescent="0.25">
      <c r="A943" s="1">
        <v>181</v>
      </c>
      <c r="B943" s="1" t="s">
        <v>228</v>
      </c>
      <c r="C943" s="1" t="s">
        <v>229</v>
      </c>
      <c r="D943" s="1" t="s">
        <v>230</v>
      </c>
      <c r="E943" s="1" t="s">
        <v>109</v>
      </c>
      <c r="F943" s="1" t="s">
        <v>65</v>
      </c>
      <c r="G943" s="1" t="s">
        <v>16</v>
      </c>
      <c r="H943" s="1" t="s">
        <v>164</v>
      </c>
      <c r="I943" s="1" t="s">
        <v>60</v>
      </c>
      <c r="J943" s="1" t="s">
        <v>67</v>
      </c>
      <c r="K943" s="1" t="s">
        <v>105</v>
      </c>
      <c r="L943" s="3">
        <v>46770</v>
      </c>
      <c r="M943" s="3">
        <v>46040</v>
      </c>
      <c r="N943">
        <f>_xlfn.XLOOKUP(Data[[#This Row],[Status]],Compliance_Status[Status from OPMS],Compliance_Status[Status_Key],"")</f>
        <v>4</v>
      </c>
      <c r="O943">
        <f>_xlfn.XLOOKUP(Data[[#This Row],[Status]],Compliance_Status[Status from OPMS],Compliance_Status[Has Course booking],"")</f>
        <v>0</v>
      </c>
      <c r="P943" t="str">
        <f>_xlfn.XLOOKUP(Data[[#This Row],[StatusKey]],Status_Key[Status_Key],Status_Key[Name],"")</f>
        <v>In Date</v>
      </c>
    </row>
    <row r="944" spans="1:16" x14ac:dyDescent="0.25">
      <c r="A944" s="1">
        <v>181</v>
      </c>
      <c r="B944" s="1" t="s">
        <v>228</v>
      </c>
      <c r="C944" s="1" t="s">
        <v>229</v>
      </c>
      <c r="D944" s="1" t="s">
        <v>230</v>
      </c>
      <c r="E944" s="1" t="s">
        <v>110</v>
      </c>
      <c r="F944" s="1" t="s">
        <v>65</v>
      </c>
      <c r="G944" s="1" t="s">
        <v>16</v>
      </c>
      <c r="H944" s="1" t="s">
        <v>164</v>
      </c>
      <c r="I944" s="1" t="s">
        <v>60</v>
      </c>
      <c r="J944" s="1" t="s">
        <v>67</v>
      </c>
      <c r="K944" s="1" t="s">
        <v>105</v>
      </c>
      <c r="L944" s="3" t="s">
        <v>79</v>
      </c>
      <c r="M944" s="3">
        <v>45418</v>
      </c>
      <c r="N944">
        <f>_xlfn.XLOOKUP(Data[[#This Row],[Status]],Compliance_Status[Status from OPMS],Compliance_Status[Status_Key],"")</f>
        <v>4</v>
      </c>
      <c r="O944">
        <f>_xlfn.XLOOKUP(Data[[#This Row],[Status]],Compliance_Status[Status from OPMS],Compliance_Status[Has Course booking],"")</f>
        <v>0</v>
      </c>
      <c r="P944" t="str">
        <f>_xlfn.XLOOKUP(Data[[#This Row],[StatusKey]],Status_Key[Status_Key],Status_Key[Name],"")</f>
        <v>In Date</v>
      </c>
    </row>
    <row r="945" spans="1:16" x14ac:dyDescent="0.25">
      <c r="A945" s="1">
        <v>181</v>
      </c>
      <c r="B945" s="1" t="s">
        <v>228</v>
      </c>
      <c r="C945" s="1" t="s">
        <v>229</v>
      </c>
      <c r="D945" s="1" t="s">
        <v>230</v>
      </c>
      <c r="E945" s="1" t="s">
        <v>111</v>
      </c>
      <c r="F945" s="1" t="s">
        <v>65</v>
      </c>
      <c r="G945" s="1" t="s">
        <v>16</v>
      </c>
      <c r="H945" s="1" t="s">
        <v>164</v>
      </c>
      <c r="I945" s="1" t="s">
        <v>60</v>
      </c>
      <c r="J945" s="1" t="s">
        <v>67</v>
      </c>
      <c r="K945" s="1" t="s">
        <v>105</v>
      </c>
      <c r="L945" s="3">
        <v>46772</v>
      </c>
      <c r="M945" s="3">
        <v>46042</v>
      </c>
      <c r="N945">
        <f>_xlfn.XLOOKUP(Data[[#This Row],[Status]],Compliance_Status[Status from OPMS],Compliance_Status[Status_Key],"")</f>
        <v>4</v>
      </c>
      <c r="O945">
        <f>_xlfn.XLOOKUP(Data[[#This Row],[Status]],Compliance_Status[Status from OPMS],Compliance_Status[Has Course booking],"")</f>
        <v>0</v>
      </c>
      <c r="P945" t="str">
        <f>_xlfn.XLOOKUP(Data[[#This Row],[StatusKey]],Status_Key[Status_Key],Status_Key[Name],"")</f>
        <v>In Date</v>
      </c>
    </row>
    <row r="946" spans="1:16" x14ac:dyDescent="0.25">
      <c r="A946" s="1">
        <v>181</v>
      </c>
      <c r="B946" s="1" t="s">
        <v>228</v>
      </c>
      <c r="C946" s="1" t="s">
        <v>229</v>
      </c>
      <c r="D946" s="1" t="s">
        <v>230</v>
      </c>
      <c r="E946" s="1" t="s">
        <v>112</v>
      </c>
      <c r="F946" s="1" t="s">
        <v>65</v>
      </c>
      <c r="G946" s="1" t="s">
        <v>16</v>
      </c>
      <c r="H946" s="1" t="s">
        <v>164</v>
      </c>
      <c r="I946" s="1" t="s">
        <v>60</v>
      </c>
      <c r="J946" s="1" t="s">
        <v>67</v>
      </c>
      <c r="K946" s="1" t="s">
        <v>105</v>
      </c>
      <c r="L946" s="3">
        <v>46591</v>
      </c>
      <c r="M946" s="3">
        <v>45861</v>
      </c>
      <c r="N946">
        <f>_xlfn.XLOOKUP(Data[[#This Row],[Status]],Compliance_Status[Status from OPMS],Compliance_Status[Status_Key],"")</f>
        <v>4</v>
      </c>
      <c r="O946">
        <f>_xlfn.XLOOKUP(Data[[#This Row],[Status]],Compliance_Status[Status from OPMS],Compliance_Status[Has Course booking],"")</f>
        <v>0</v>
      </c>
      <c r="P946" t="str">
        <f>_xlfn.XLOOKUP(Data[[#This Row],[StatusKey]],Status_Key[Status_Key],Status_Key[Name],"")</f>
        <v>In Date</v>
      </c>
    </row>
    <row r="947" spans="1:16" x14ac:dyDescent="0.25">
      <c r="A947" s="1">
        <v>181</v>
      </c>
      <c r="B947" s="1" t="s">
        <v>228</v>
      </c>
      <c r="C947" s="1" t="s">
        <v>229</v>
      </c>
      <c r="D947" s="1" t="s">
        <v>230</v>
      </c>
      <c r="E947" s="1" t="s">
        <v>113</v>
      </c>
      <c r="F947" s="1" t="s">
        <v>65</v>
      </c>
      <c r="G947" s="1" t="s">
        <v>16</v>
      </c>
      <c r="H947" s="1" t="s">
        <v>164</v>
      </c>
      <c r="I947" s="1" t="s">
        <v>60</v>
      </c>
      <c r="J947" s="1" t="s">
        <v>67</v>
      </c>
      <c r="K947" s="1" t="s">
        <v>105</v>
      </c>
      <c r="L947" s="3">
        <v>46756</v>
      </c>
      <c r="M947" s="3">
        <v>46026</v>
      </c>
      <c r="N947">
        <f>_xlfn.XLOOKUP(Data[[#This Row],[Status]],Compliance_Status[Status from OPMS],Compliance_Status[Status_Key],"")</f>
        <v>4</v>
      </c>
      <c r="O947">
        <f>_xlfn.XLOOKUP(Data[[#This Row],[Status]],Compliance_Status[Status from OPMS],Compliance_Status[Has Course booking],"")</f>
        <v>0</v>
      </c>
      <c r="P947" t="str">
        <f>_xlfn.XLOOKUP(Data[[#This Row],[StatusKey]],Status_Key[Status_Key],Status_Key[Name],"")</f>
        <v>In Date</v>
      </c>
    </row>
    <row r="948" spans="1:16" x14ac:dyDescent="0.25">
      <c r="A948" s="1">
        <v>179</v>
      </c>
      <c r="B948" s="1" t="s">
        <v>231</v>
      </c>
      <c r="C948" s="1" t="s">
        <v>232</v>
      </c>
      <c r="D948" s="1" t="s">
        <v>233</v>
      </c>
      <c r="E948" s="1" t="s">
        <v>163</v>
      </c>
      <c r="F948" s="1" t="s">
        <v>65</v>
      </c>
      <c r="G948" s="1" t="s">
        <v>16</v>
      </c>
      <c r="H948" s="1" t="s">
        <v>164</v>
      </c>
      <c r="I948" s="1" t="s">
        <v>60</v>
      </c>
      <c r="J948" s="1"/>
      <c r="K948" s="1" t="s">
        <v>68</v>
      </c>
      <c r="L948" s="3">
        <v>47650</v>
      </c>
      <c r="M948" s="3">
        <v>45825</v>
      </c>
      <c r="N948">
        <f>_xlfn.XLOOKUP(Data[[#This Row],[Status]],Compliance_Status[Status from OPMS],Compliance_Status[Status_Key],"")</f>
        <v>4</v>
      </c>
      <c r="O948">
        <f>_xlfn.XLOOKUP(Data[[#This Row],[Status]],Compliance_Status[Status from OPMS],Compliance_Status[Has Course booking],"")</f>
        <v>0</v>
      </c>
      <c r="P948" t="str">
        <f>_xlfn.XLOOKUP(Data[[#This Row],[StatusKey]],Status_Key[Status_Key],Status_Key[Name],"")</f>
        <v>In Date</v>
      </c>
    </row>
    <row r="949" spans="1:16" x14ac:dyDescent="0.25">
      <c r="A949" s="1">
        <v>179</v>
      </c>
      <c r="B949" s="1" t="s">
        <v>231</v>
      </c>
      <c r="C949" s="1" t="s">
        <v>232</v>
      </c>
      <c r="D949" s="1" t="s">
        <v>233</v>
      </c>
      <c r="E949" s="1" t="s">
        <v>131</v>
      </c>
      <c r="F949" s="1" t="s">
        <v>72</v>
      </c>
      <c r="G949" s="1" t="s">
        <v>16</v>
      </c>
      <c r="H949" s="1" t="s">
        <v>164</v>
      </c>
      <c r="I949" s="1" t="s">
        <v>60</v>
      </c>
      <c r="J949" s="1" t="s">
        <v>67</v>
      </c>
      <c r="K949" s="1" t="s">
        <v>68</v>
      </c>
      <c r="L949" s="3">
        <v>46606</v>
      </c>
      <c r="M949" s="3">
        <v>44781</v>
      </c>
      <c r="N949">
        <f>_xlfn.XLOOKUP(Data[[#This Row],[Status]],Compliance_Status[Status from OPMS],Compliance_Status[Status_Key],"")</f>
        <v>4</v>
      </c>
      <c r="O949">
        <f>_xlfn.XLOOKUP(Data[[#This Row],[Status]],Compliance_Status[Status from OPMS],Compliance_Status[Has Course booking],"")</f>
        <v>0</v>
      </c>
      <c r="P949" t="str">
        <f>_xlfn.XLOOKUP(Data[[#This Row],[StatusKey]],Status_Key[Status_Key],Status_Key[Name],"")</f>
        <v>In Date</v>
      </c>
    </row>
    <row r="950" spans="1:16" x14ac:dyDescent="0.25">
      <c r="A950" s="1">
        <v>179</v>
      </c>
      <c r="B950" s="1" t="s">
        <v>231</v>
      </c>
      <c r="C950" s="1" t="s">
        <v>232</v>
      </c>
      <c r="D950" s="1" t="s">
        <v>233</v>
      </c>
      <c r="E950" s="1" t="s">
        <v>71</v>
      </c>
      <c r="F950" s="1" t="s">
        <v>72</v>
      </c>
      <c r="G950" s="1" t="s">
        <v>18</v>
      </c>
      <c r="H950" s="1" t="s">
        <v>164</v>
      </c>
      <c r="I950" s="1" t="s">
        <v>60</v>
      </c>
      <c r="J950" s="1"/>
      <c r="K950" s="1" t="s">
        <v>68</v>
      </c>
      <c r="L950" s="3"/>
      <c r="M950" s="3"/>
      <c r="N950">
        <f>_xlfn.XLOOKUP(Data[[#This Row],[Status]],Compliance_Status[Status from OPMS],Compliance_Status[Status_Key],"")</f>
        <v>2</v>
      </c>
      <c r="O950">
        <f>_xlfn.XLOOKUP(Data[[#This Row],[Status]],Compliance_Status[Status from OPMS],Compliance_Status[Has Course booking],"")</f>
        <v>0</v>
      </c>
      <c r="P950" t="str">
        <f>_xlfn.XLOOKUP(Data[[#This Row],[StatusKey]],Status_Key[Status_Key],Status_Key[Name],"")</f>
        <v>Outstanding</v>
      </c>
    </row>
    <row r="951" spans="1:16" x14ac:dyDescent="0.25">
      <c r="A951" s="1">
        <v>179</v>
      </c>
      <c r="B951" s="1" t="s">
        <v>231</v>
      </c>
      <c r="C951" s="1" t="s">
        <v>232</v>
      </c>
      <c r="D951" s="1" t="s">
        <v>233</v>
      </c>
      <c r="E951" s="1" t="s">
        <v>73</v>
      </c>
      <c r="F951" s="1" t="s">
        <v>65</v>
      </c>
      <c r="G951" s="1" t="s">
        <v>16</v>
      </c>
      <c r="H951" s="1" t="s">
        <v>164</v>
      </c>
      <c r="I951" s="1" t="s">
        <v>60</v>
      </c>
      <c r="J951" s="1" t="s">
        <v>67</v>
      </c>
      <c r="K951" s="1" t="s">
        <v>68</v>
      </c>
      <c r="L951" s="3">
        <v>46788</v>
      </c>
      <c r="M951" s="3">
        <v>46058</v>
      </c>
      <c r="N951">
        <f>_xlfn.XLOOKUP(Data[[#This Row],[Status]],Compliance_Status[Status from OPMS],Compliance_Status[Status_Key],"")</f>
        <v>4</v>
      </c>
      <c r="O951">
        <f>_xlfn.XLOOKUP(Data[[#This Row],[Status]],Compliance_Status[Status from OPMS],Compliance_Status[Has Course booking],"")</f>
        <v>0</v>
      </c>
      <c r="P951" t="str">
        <f>_xlfn.XLOOKUP(Data[[#This Row],[StatusKey]],Status_Key[Status_Key],Status_Key[Name],"")</f>
        <v>In Date</v>
      </c>
    </row>
    <row r="952" spans="1:16" x14ac:dyDescent="0.25">
      <c r="A952" s="1">
        <v>179</v>
      </c>
      <c r="B952" s="1" t="s">
        <v>231</v>
      </c>
      <c r="C952" s="1" t="s">
        <v>232</v>
      </c>
      <c r="D952" s="1" t="s">
        <v>233</v>
      </c>
      <c r="E952" s="1" t="s">
        <v>74</v>
      </c>
      <c r="F952" s="1" t="s">
        <v>65</v>
      </c>
      <c r="G952" s="1" t="s">
        <v>16</v>
      </c>
      <c r="H952" s="1" t="s">
        <v>164</v>
      </c>
      <c r="I952" s="1" t="s">
        <v>60</v>
      </c>
      <c r="J952" s="1" t="s">
        <v>67</v>
      </c>
      <c r="K952" s="1" t="s">
        <v>68</v>
      </c>
      <c r="L952" s="3">
        <v>46993</v>
      </c>
      <c r="M952" s="3">
        <v>45897</v>
      </c>
      <c r="N952">
        <f>_xlfn.XLOOKUP(Data[[#This Row],[Status]],Compliance_Status[Status from OPMS],Compliance_Status[Status_Key],"")</f>
        <v>4</v>
      </c>
      <c r="O952">
        <f>_xlfn.XLOOKUP(Data[[#This Row],[Status]],Compliance_Status[Status from OPMS],Compliance_Status[Has Course booking],"")</f>
        <v>0</v>
      </c>
      <c r="P952" t="str">
        <f>_xlfn.XLOOKUP(Data[[#This Row],[StatusKey]],Status_Key[Status_Key],Status_Key[Name],"")</f>
        <v>In Date</v>
      </c>
    </row>
    <row r="953" spans="1:16" x14ac:dyDescent="0.25">
      <c r="A953" s="1">
        <v>179</v>
      </c>
      <c r="B953" s="1" t="s">
        <v>231</v>
      </c>
      <c r="C953" s="1" t="s">
        <v>232</v>
      </c>
      <c r="D953" s="1" t="s">
        <v>233</v>
      </c>
      <c r="E953" s="1" t="s">
        <v>75</v>
      </c>
      <c r="F953" s="1" t="s">
        <v>72</v>
      </c>
      <c r="G953" s="1" t="s">
        <v>18</v>
      </c>
      <c r="H953" s="1" t="s">
        <v>164</v>
      </c>
      <c r="I953" s="1" t="s">
        <v>60</v>
      </c>
      <c r="J953" s="1"/>
      <c r="K953" s="1" t="s">
        <v>68</v>
      </c>
      <c r="L953" s="3"/>
      <c r="M953" s="3"/>
      <c r="N953">
        <f>_xlfn.XLOOKUP(Data[[#This Row],[Status]],Compliance_Status[Status from OPMS],Compliance_Status[Status_Key],"")</f>
        <v>2</v>
      </c>
      <c r="O953">
        <f>_xlfn.XLOOKUP(Data[[#This Row],[Status]],Compliance_Status[Status from OPMS],Compliance_Status[Has Course booking],"")</f>
        <v>0</v>
      </c>
      <c r="P953" t="str">
        <f>_xlfn.XLOOKUP(Data[[#This Row],[StatusKey]],Status_Key[Status_Key],Status_Key[Name],"")</f>
        <v>Outstanding</v>
      </c>
    </row>
    <row r="954" spans="1:16" x14ac:dyDescent="0.25">
      <c r="A954" s="1">
        <v>179</v>
      </c>
      <c r="B954" s="1" t="s">
        <v>231</v>
      </c>
      <c r="C954" s="1" t="s">
        <v>232</v>
      </c>
      <c r="D954" s="1" t="s">
        <v>233</v>
      </c>
      <c r="E954" s="1" t="s">
        <v>165</v>
      </c>
      <c r="F954" s="1" t="s">
        <v>72</v>
      </c>
      <c r="G954" s="1" t="s">
        <v>18</v>
      </c>
      <c r="H954" s="1" t="s">
        <v>164</v>
      </c>
      <c r="I954" s="1" t="s">
        <v>60</v>
      </c>
      <c r="J954" s="1"/>
      <c r="K954" s="1" t="s">
        <v>68</v>
      </c>
      <c r="L954" s="3"/>
      <c r="M954" s="3"/>
      <c r="N954">
        <f>_xlfn.XLOOKUP(Data[[#This Row],[Status]],Compliance_Status[Status from OPMS],Compliance_Status[Status_Key],"")</f>
        <v>2</v>
      </c>
      <c r="O954">
        <f>_xlfn.XLOOKUP(Data[[#This Row],[Status]],Compliance_Status[Status from OPMS],Compliance_Status[Has Course booking],"")</f>
        <v>0</v>
      </c>
      <c r="P954" t="str">
        <f>_xlfn.XLOOKUP(Data[[#This Row],[StatusKey]],Status_Key[Status_Key],Status_Key[Name],"")</f>
        <v>Outstanding</v>
      </c>
    </row>
    <row r="955" spans="1:16" x14ac:dyDescent="0.25">
      <c r="A955" s="1">
        <v>179</v>
      </c>
      <c r="B955" s="1" t="s">
        <v>231</v>
      </c>
      <c r="C955" s="1" t="s">
        <v>232</v>
      </c>
      <c r="D955" s="1" t="s">
        <v>233</v>
      </c>
      <c r="E955" s="1" t="s">
        <v>76</v>
      </c>
      <c r="F955" s="1" t="s">
        <v>65</v>
      </c>
      <c r="G955" s="1" t="s">
        <v>16</v>
      </c>
      <c r="H955" s="1" t="s">
        <v>164</v>
      </c>
      <c r="I955" s="1" t="s">
        <v>60</v>
      </c>
      <c r="J955" s="1" t="s">
        <v>67</v>
      </c>
      <c r="K955" s="1" t="s">
        <v>77</v>
      </c>
      <c r="L955" s="3">
        <v>47087</v>
      </c>
      <c r="M955" s="3">
        <v>45231</v>
      </c>
      <c r="N955">
        <f>_xlfn.XLOOKUP(Data[[#This Row],[Status]],Compliance_Status[Status from OPMS],Compliance_Status[Status_Key],"")</f>
        <v>4</v>
      </c>
      <c r="O955">
        <f>_xlfn.XLOOKUP(Data[[#This Row],[Status]],Compliance_Status[Status from OPMS],Compliance_Status[Has Course booking],"")</f>
        <v>0</v>
      </c>
      <c r="P955" t="str">
        <f>_xlfn.XLOOKUP(Data[[#This Row],[StatusKey]],Status_Key[Status_Key],Status_Key[Name],"")</f>
        <v>In Date</v>
      </c>
    </row>
    <row r="956" spans="1:16" x14ac:dyDescent="0.25">
      <c r="A956" s="1">
        <v>179</v>
      </c>
      <c r="B956" s="1" t="s">
        <v>231</v>
      </c>
      <c r="C956" s="1" t="s">
        <v>232</v>
      </c>
      <c r="D956" s="1" t="s">
        <v>233</v>
      </c>
      <c r="E956" s="1" t="s">
        <v>80</v>
      </c>
      <c r="F956" s="1" t="s">
        <v>65</v>
      </c>
      <c r="G956" s="1" t="s">
        <v>16</v>
      </c>
      <c r="H956" s="1" t="s">
        <v>164</v>
      </c>
      <c r="I956" s="1" t="s">
        <v>60</v>
      </c>
      <c r="J956" s="1" t="s">
        <v>67</v>
      </c>
      <c r="K956" s="1" t="s">
        <v>77</v>
      </c>
      <c r="L956" s="3" t="s">
        <v>79</v>
      </c>
      <c r="M956" s="3">
        <v>45779</v>
      </c>
      <c r="N956">
        <f>_xlfn.XLOOKUP(Data[[#This Row],[Status]],Compliance_Status[Status from OPMS],Compliance_Status[Status_Key],"")</f>
        <v>4</v>
      </c>
      <c r="O956">
        <f>_xlfn.XLOOKUP(Data[[#This Row],[Status]],Compliance_Status[Status from OPMS],Compliance_Status[Has Course booking],"")</f>
        <v>0</v>
      </c>
      <c r="P956" t="str">
        <f>_xlfn.XLOOKUP(Data[[#This Row],[StatusKey]],Status_Key[Status_Key],Status_Key[Name],"")</f>
        <v>In Date</v>
      </c>
    </row>
    <row r="957" spans="1:16" x14ac:dyDescent="0.25">
      <c r="A957" s="1">
        <v>179</v>
      </c>
      <c r="B957" s="1" t="s">
        <v>231</v>
      </c>
      <c r="C957" s="1" t="s">
        <v>232</v>
      </c>
      <c r="D957" s="1" t="s">
        <v>233</v>
      </c>
      <c r="E957" s="1" t="s">
        <v>84</v>
      </c>
      <c r="F957" s="1" t="s">
        <v>65</v>
      </c>
      <c r="G957" s="1" t="s">
        <v>16</v>
      </c>
      <c r="H957" s="1" t="s">
        <v>164</v>
      </c>
      <c r="I957" s="1" t="s">
        <v>60</v>
      </c>
      <c r="J957" s="1" t="s">
        <v>67</v>
      </c>
      <c r="K957" s="1" t="s">
        <v>83</v>
      </c>
      <c r="L957" s="3">
        <v>46719</v>
      </c>
      <c r="M957" s="3">
        <v>45989</v>
      </c>
      <c r="N957">
        <f>_xlfn.XLOOKUP(Data[[#This Row],[Status]],Compliance_Status[Status from OPMS],Compliance_Status[Status_Key],"")</f>
        <v>4</v>
      </c>
      <c r="O957">
        <f>_xlfn.XLOOKUP(Data[[#This Row],[Status]],Compliance_Status[Status from OPMS],Compliance_Status[Has Course booking],"")</f>
        <v>0</v>
      </c>
      <c r="P957" t="str">
        <f>_xlfn.XLOOKUP(Data[[#This Row],[StatusKey]],Status_Key[Status_Key],Status_Key[Name],"")</f>
        <v>In Date</v>
      </c>
    </row>
    <row r="958" spans="1:16" x14ac:dyDescent="0.25">
      <c r="A958" s="1">
        <v>179</v>
      </c>
      <c r="B958" s="1" t="s">
        <v>231</v>
      </c>
      <c r="C958" s="1" t="s">
        <v>232</v>
      </c>
      <c r="D958" s="1" t="s">
        <v>233</v>
      </c>
      <c r="E958" s="1" t="s">
        <v>93</v>
      </c>
      <c r="F958" s="1" t="s">
        <v>65</v>
      </c>
      <c r="G958" s="1" t="s">
        <v>16</v>
      </c>
      <c r="H958" s="1" t="s">
        <v>164</v>
      </c>
      <c r="I958" s="1" t="s">
        <v>60</v>
      </c>
      <c r="J958" s="1" t="s">
        <v>67</v>
      </c>
      <c r="K958" s="1" t="s">
        <v>94</v>
      </c>
      <c r="L958" s="3">
        <v>46651</v>
      </c>
      <c r="M958" s="3">
        <v>45921</v>
      </c>
      <c r="N958">
        <f>_xlfn.XLOOKUP(Data[[#This Row],[Status]],Compliance_Status[Status from OPMS],Compliance_Status[Status_Key],"")</f>
        <v>4</v>
      </c>
      <c r="O958">
        <f>_xlfn.XLOOKUP(Data[[#This Row],[Status]],Compliance_Status[Status from OPMS],Compliance_Status[Has Course booking],"")</f>
        <v>0</v>
      </c>
      <c r="P958" t="str">
        <f>_xlfn.XLOOKUP(Data[[#This Row],[StatusKey]],Status_Key[Status_Key],Status_Key[Name],"")</f>
        <v>In Date</v>
      </c>
    </row>
    <row r="959" spans="1:16" x14ac:dyDescent="0.25">
      <c r="A959" s="1">
        <v>179</v>
      </c>
      <c r="B959" s="1" t="s">
        <v>231</v>
      </c>
      <c r="C959" s="1" t="s">
        <v>232</v>
      </c>
      <c r="D959" s="1" t="s">
        <v>233</v>
      </c>
      <c r="E959" s="1" t="s">
        <v>95</v>
      </c>
      <c r="F959" s="1" t="s">
        <v>65</v>
      </c>
      <c r="G959" s="1" t="s">
        <v>16</v>
      </c>
      <c r="H959" s="1" t="s">
        <v>164</v>
      </c>
      <c r="I959" s="1" t="s">
        <v>60</v>
      </c>
      <c r="J959" s="1" t="s">
        <v>67</v>
      </c>
      <c r="K959" s="1" t="s">
        <v>94</v>
      </c>
      <c r="L959" s="3">
        <v>46651</v>
      </c>
      <c r="M959" s="3">
        <v>45921</v>
      </c>
      <c r="N959">
        <f>_xlfn.XLOOKUP(Data[[#This Row],[Status]],Compliance_Status[Status from OPMS],Compliance_Status[Status_Key],"")</f>
        <v>4</v>
      </c>
      <c r="O959">
        <f>_xlfn.XLOOKUP(Data[[#This Row],[Status]],Compliance_Status[Status from OPMS],Compliance_Status[Has Course booking],"")</f>
        <v>0</v>
      </c>
      <c r="P959" t="str">
        <f>_xlfn.XLOOKUP(Data[[#This Row],[StatusKey]],Status_Key[Status_Key],Status_Key[Name],"")</f>
        <v>In Date</v>
      </c>
    </row>
    <row r="960" spans="1:16" x14ac:dyDescent="0.25">
      <c r="A960" s="1">
        <v>179</v>
      </c>
      <c r="B960" s="1" t="s">
        <v>231</v>
      </c>
      <c r="C960" s="1" t="s">
        <v>232</v>
      </c>
      <c r="D960" s="1" t="s">
        <v>233</v>
      </c>
      <c r="E960" s="1" t="s">
        <v>156</v>
      </c>
      <c r="F960" s="1" t="s">
        <v>65</v>
      </c>
      <c r="G960" s="1" t="s">
        <v>16</v>
      </c>
      <c r="H960" s="1" t="s">
        <v>164</v>
      </c>
      <c r="I960" s="1" t="s">
        <v>60</v>
      </c>
      <c r="J960" s="1"/>
      <c r="K960" s="1" t="s">
        <v>125</v>
      </c>
      <c r="L960" s="3">
        <v>47296</v>
      </c>
      <c r="M960" s="3">
        <v>45470</v>
      </c>
      <c r="N960">
        <f>_xlfn.XLOOKUP(Data[[#This Row],[Status]],Compliance_Status[Status from OPMS],Compliance_Status[Status_Key],"")</f>
        <v>4</v>
      </c>
      <c r="O960">
        <f>_xlfn.XLOOKUP(Data[[#This Row],[Status]],Compliance_Status[Status from OPMS],Compliance_Status[Has Course booking],"")</f>
        <v>0</v>
      </c>
      <c r="P960" t="str">
        <f>_xlfn.XLOOKUP(Data[[#This Row],[StatusKey]],Status_Key[Status_Key],Status_Key[Name],"")</f>
        <v>In Date</v>
      </c>
    </row>
    <row r="961" spans="1:16" x14ac:dyDescent="0.25">
      <c r="A961" s="1">
        <v>179</v>
      </c>
      <c r="B961" s="1" t="s">
        <v>231</v>
      </c>
      <c r="C961" s="1" t="s">
        <v>232</v>
      </c>
      <c r="D961" s="1" t="s">
        <v>233</v>
      </c>
      <c r="E961" s="1" t="s">
        <v>124</v>
      </c>
      <c r="F961" s="1" t="s">
        <v>72</v>
      </c>
      <c r="G961" s="1" t="s">
        <v>16</v>
      </c>
      <c r="H961" s="1" t="s">
        <v>164</v>
      </c>
      <c r="I961" s="1" t="s">
        <v>60</v>
      </c>
      <c r="J961" s="1" t="s">
        <v>67</v>
      </c>
      <c r="K961" s="1" t="s">
        <v>125</v>
      </c>
      <c r="L961" s="3">
        <v>46934</v>
      </c>
      <c r="M961" s="3">
        <v>45394</v>
      </c>
      <c r="N961">
        <f>_xlfn.XLOOKUP(Data[[#This Row],[Status]],Compliance_Status[Status from OPMS],Compliance_Status[Status_Key],"")</f>
        <v>4</v>
      </c>
      <c r="O961">
        <f>_xlfn.XLOOKUP(Data[[#This Row],[Status]],Compliance_Status[Status from OPMS],Compliance_Status[Has Course booking],"")</f>
        <v>0</v>
      </c>
      <c r="P961" t="str">
        <f>_xlfn.XLOOKUP(Data[[#This Row],[StatusKey]],Status_Key[Status_Key],Status_Key[Name],"")</f>
        <v>In Date</v>
      </c>
    </row>
    <row r="962" spans="1:16" x14ac:dyDescent="0.25">
      <c r="A962" s="1">
        <v>179</v>
      </c>
      <c r="B962" s="1" t="s">
        <v>231</v>
      </c>
      <c r="C962" s="1" t="s">
        <v>232</v>
      </c>
      <c r="D962" s="1" t="s">
        <v>233</v>
      </c>
      <c r="E962" s="1" t="s">
        <v>97</v>
      </c>
      <c r="F962" s="1" t="s">
        <v>65</v>
      </c>
      <c r="G962" s="1" t="s">
        <v>16</v>
      </c>
      <c r="H962" s="1" t="s">
        <v>164</v>
      </c>
      <c r="I962" s="1" t="s">
        <v>60</v>
      </c>
      <c r="J962" s="1" t="s">
        <v>67</v>
      </c>
      <c r="K962" s="1" t="s">
        <v>98</v>
      </c>
      <c r="L962" s="3">
        <v>47231</v>
      </c>
      <c r="M962" s="3">
        <v>45405</v>
      </c>
      <c r="N962">
        <f>_xlfn.XLOOKUP(Data[[#This Row],[Status]],Compliance_Status[Status from OPMS],Compliance_Status[Status_Key],"")</f>
        <v>4</v>
      </c>
      <c r="O962">
        <f>_xlfn.XLOOKUP(Data[[#This Row],[Status]],Compliance_Status[Status from OPMS],Compliance_Status[Has Course booking],"")</f>
        <v>0</v>
      </c>
      <c r="P962" t="str">
        <f>_xlfn.XLOOKUP(Data[[#This Row],[StatusKey]],Status_Key[Status_Key],Status_Key[Name],"")</f>
        <v>In Date</v>
      </c>
    </row>
    <row r="963" spans="1:16" x14ac:dyDescent="0.25">
      <c r="A963" s="1">
        <v>179</v>
      </c>
      <c r="B963" s="1" t="s">
        <v>231</v>
      </c>
      <c r="C963" s="1" t="s">
        <v>232</v>
      </c>
      <c r="D963" s="1" t="s">
        <v>233</v>
      </c>
      <c r="E963" s="1" t="s">
        <v>100</v>
      </c>
      <c r="F963" s="1" t="s">
        <v>72</v>
      </c>
      <c r="G963" s="1" t="s">
        <v>18</v>
      </c>
      <c r="H963" s="1" t="s">
        <v>164</v>
      </c>
      <c r="I963" s="1" t="s">
        <v>60</v>
      </c>
      <c r="J963" s="1"/>
      <c r="K963" s="1" t="s">
        <v>98</v>
      </c>
      <c r="L963" s="3"/>
      <c r="M963" s="3"/>
      <c r="N963">
        <f>_xlfn.XLOOKUP(Data[[#This Row],[Status]],Compliance_Status[Status from OPMS],Compliance_Status[Status_Key],"")</f>
        <v>2</v>
      </c>
      <c r="O963">
        <f>_xlfn.XLOOKUP(Data[[#This Row],[Status]],Compliance_Status[Status from OPMS],Compliance_Status[Has Course booking],"")</f>
        <v>0</v>
      </c>
      <c r="P963" t="str">
        <f>_xlfn.XLOOKUP(Data[[#This Row],[StatusKey]],Status_Key[Status_Key],Status_Key[Name],"")</f>
        <v>Outstanding</v>
      </c>
    </row>
    <row r="964" spans="1:16" x14ac:dyDescent="0.25">
      <c r="A964" s="1">
        <v>179</v>
      </c>
      <c r="B964" s="1" t="s">
        <v>231</v>
      </c>
      <c r="C964" s="1" t="s">
        <v>232</v>
      </c>
      <c r="D964" s="1" t="s">
        <v>233</v>
      </c>
      <c r="E964" s="1" t="s">
        <v>101</v>
      </c>
      <c r="F964" s="1" t="s">
        <v>65</v>
      </c>
      <c r="G964" s="1" t="s">
        <v>16</v>
      </c>
      <c r="H964" s="1" t="s">
        <v>164</v>
      </c>
      <c r="I964" s="1" t="s">
        <v>60</v>
      </c>
      <c r="J964" s="1" t="s">
        <v>67</v>
      </c>
      <c r="K964" s="1" t="s">
        <v>102</v>
      </c>
      <c r="L964" s="3" t="s">
        <v>79</v>
      </c>
      <c r="M964" s="3">
        <v>45405</v>
      </c>
      <c r="N964">
        <f>_xlfn.XLOOKUP(Data[[#This Row],[Status]],Compliance_Status[Status from OPMS],Compliance_Status[Status_Key],"")</f>
        <v>4</v>
      </c>
      <c r="O964">
        <f>_xlfn.XLOOKUP(Data[[#This Row],[Status]],Compliance_Status[Status from OPMS],Compliance_Status[Has Course booking],"")</f>
        <v>0</v>
      </c>
      <c r="P964" t="str">
        <f>_xlfn.XLOOKUP(Data[[#This Row],[StatusKey]],Status_Key[Status_Key],Status_Key[Name],"")</f>
        <v>In Date</v>
      </c>
    </row>
    <row r="965" spans="1:16" x14ac:dyDescent="0.25">
      <c r="A965" s="1">
        <v>179</v>
      </c>
      <c r="B965" s="1" t="s">
        <v>231</v>
      </c>
      <c r="C965" s="1" t="s">
        <v>232</v>
      </c>
      <c r="D965" s="1" t="s">
        <v>233</v>
      </c>
      <c r="E965" s="1" t="s">
        <v>103</v>
      </c>
      <c r="F965" s="1" t="s">
        <v>65</v>
      </c>
      <c r="G965" s="1" t="s">
        <v>16</v>
      </c>
      <c r="H965" s="1" t="s">
        <v>164</v>
      </c>
      <c r="I965" s="1" t="s">
        <v>60</v>
      </c>
      <c r="J965" s="1" t="s">
        <v>67</v>
      </c>
      <c r="K965" s="1" t="s">
        <v>102</v>
      </c>
      <c r="L965" s="3">
        <v>46723</v>
      </c>
      <c r="M965" s="3">
        <v>45993</v>
      </c>
      <c r="N965">
        <f>_xlfn.XLOOKUP(Data[[#This Row],[Status]],Compliance_Status[Status from OPMS],Compliance_Status[Status_Key],"")</f>
        <v>4</v>
      </c>
      <c r="O965">
        <f>_xlfn.XLOOKUP(Data[[#This Row],[Status]],Compliance_Status[Status from OPMS],Compliance_Status[Has Course booking],"")</f>
        <v>0</v>
      </c>
      <c r="P965" t="str">
        <f>_xlfn.XLOOKUP(Data[[#This Row],[StatusKey]],Status_Key[Status_Key],Status_Key[Name],"")</f>
        <v>In Date</v>
      </c>
    </row>
    <row r="966" spans="1:16" x14ac:dyDescent="0.25">
      <c r="A966" s="1">
        <v>179</v>
      </c>
      <c r="B966" s="1" t="s">
        <v>231</v>
      </c>
      <c r="C966" s="1" t="s">
        <v>232</v>
      </c>
      <c r="D966" s="1" t="s">
        <v>233</v>
      </c>
      <c r="E966" s="1" t="s">
        <v>104</v>
      </c>
      <c r="F966" s="1" t="s">
        <v>65</v>
      </c>
      <c r="G966" s="1" t="s">
        <v>16</v>
      </c>
      <c r="H966" s="1" t="s">
        <v>164</v>
      </c>
      <c r="I966" s="1" t="s">
        <v>60</v>
      </c>
      <c r="J966" s="1" t="s">
        <v>67</v>
      </c>
      <c r="K966" s="1" t="s">
        <v>105</v>
      </c>
      <c r="L966" s="3">
        <v>46793</v>
      </c>
      <c r="M966" s="3">
        <v>46063</v>
      </c>
      <c r="N966">
        <f>_xlfn.XLOOKUP(Data[[#This Row],[Status]],Compliance_Status[Status from OPMS],Compliance_Status[Status_Key],"")</f>
        <v>4</v>
      </c>
      <c r="O966">
        <f>_xlfn.XLOOKUP(Data[[#This Row],[Status]],Compliance_Status[Status from OPMS],Compliance_Status[Has Course booking],"")</f>
        <v>0</v>
      </c>
      <c r="P966" t="str">
        <f>_xlfn.XLOOKUP(Data[[#This Row],[StatusKey]],Status_Key[Status_Key],Status_Key[Name],"")</f>
        <v>In Date</v>
      </c>
    </row>
    <row r="967" spans="1:16" x14ac:dyDescent="0.25">
      <c r="A967" s="1">
        <v>179</v>
      </c>
      <c r="B967" s="1" t="s">
        <v>231</v>
      </c>
      <c r="C967" s="1" t="s">
        <v>232</v>
      </c>
      <c r="D967" s="1" t="s">
        <v>233</v>
      </c>
      <c r="E967" s="1" t="s">
        <v>106</v>
      </c>
      <c r="F967" s="1" t="s">
        <v>65</v>
      </c>
      <c r="G967" s="1" t="s">
        <v>16</v>
      </c>
      <c r="H967" s="1" t="s">
        <v>164</v>
      </c>
      <c r="I967" s="1" t="s">
        <v>60</v>
      </c>
      <c r="J967" s="1" t="s">
        <v>67</v>
      </c>
      <c r="K967" s="1" t="s">
        <v>105</v>
      </c>
      <c r="L967" s="3">
        <v>47230</v>
      </c>
      <c r="M967" s="3">
        <v>45404</v>
      </c>
      <c r="N967">
        <f>_xlfn.XLOOKUP(Data[[#This Row],[Status]],Compliance_Status[Status from OPMS],Compliance_Status[Status_Key],"")</f>
        <v>4</v>
      </c>
      <c r="O967">
        <f>_xlfn.XLOOKUP(Data[[#This Row],[Status]],Compliance_Status[Status from OPMS],Compliance_Status[Has Course booking],"")</f>
        <v>0</v>
      </c>
      <c r="P967" t="str">
        <f>_xlfn.XLOOKUP(Data[[#This Row],[StatusKey]],Status_Key[Status_Key],Status_Key[Name],"")</f>
        <v>In Date</v>
      </c>
    </row>
    <row r="968" spans="1:16" x14ac:dyDescent="0.25">
      <c r="A968" s="1">
        <v>179</v>
      </c>
      <c r="B968" s="1" t="s">
        <v>231</v>
      </c>
      <c r="C968" s="1" t="s">
        <v>232</v>
      </c>
      <c r="D968" s="1" t="s">
        <v>233</v>
      </c>
      <c r="E968" s="1" t="s">
        <v>107</v>
      </c>
      <c r="F968" s="1" t="s">
        <v>65</v>
      </c>
      <c r="G968" s="1" t="s">
        <v>16</v>
      </c>
      <c r="H968" s="1" t="s">
        <v>164</v>
      </c>
      <c r="I968" s="1" t="s">
        <v>60</v>
      </c>
      <c r="J968" s="1" t="s">
        <v>67</v>
      </c>
      <c r="K968" s="1" t="s">
        <v>105</v>
      </c>
      <c r="L968" s="3">
        <v>46500</v>
      </c>
      <c r="M968" s="3">
        <v>45405</v>
      </c>
      <c r="N968">
        <f>_xlfn.XLOOKUP(Data[[#This Row],[Status]],Compliance_Status[Status from OPMS],Compliance_Status[Status_Key],"")</f>
        <v>4</v>
      </c>
      <c r="O968">
        <f>_xlfn.XLOOKUP(Data[[#This Row],[Status]],Compliance_Status[Status from OPMS],Compliance_Status[Has Course booking],"")</f>
        <v>0</v>
      </c>
      <c r="P968" t="str">
        <f>_xlfn.XLOOKUP(Data[[#This Row],[StatusKey]],Status_Key[Status_Key],Status_Key[Name],"")</f>
        <v>In Date</v>
      </c>
    </row>
    <row r="969" spans="1:16" x14ac:dyDescent="0.25">
      <c r="A969" s="1">
        <v>179</v>
      </c>
      <c r="B969" s="1" t="s">
        <v>231</v>
      </c>
      <c r="C969" s="1" t="s">
        <v>232</v>
      </c>
      <c r="D969" s="1" t="s">
        <v>233</v>
      </c>
      <c r="E969" s="1" t="s">
        <v>108</v>
      </c>
      <c r="F969" s="1" t="s">
        <v>65</v>
      </c>
      <c r="G969" s="1" t="s">
        <v>24</v>
      </c>
      <c r="H969" s="1" t="s">
        <v>164</v>
      </c>
      <c r="I969" s="1" t="s">
        <v>60</v>
      </c>
      <c r="J969" s="1" t="s">
        <v>67</v>
      </c>
      <c r="K969" s="1" t="s">
        <v>105</v>
      </c>
      <c r="L969" s="3">
        <v>46308</v>
      </c>
      <c r="M969" s="3">
        <v>45991</v>
      </c>
      <c r="N969">
        <f>_xlfn.XLOOKUP(Data[[#This Row],[Status]],Compliance_Status[Status from OPMS],Compliance_Status[Status_Key],"")</f>
        <v>3</v>
      </c>
      <c r="O969">
        <f>_xlfn.XLOOKUP(Data[[#This Row],[Status]],Compliance_Status[Status from OPMS],Compliance_Status[Has Course booking],"")</f>
        <v>0</v>
      </c>
      <c r="P969" t="str">
        <f>_xlfn.XLOOKUP(Data[[#This Row],[StatusKey]],Status_Key[Status_Key],Status_Key[Name],"")</f>
        <v>About to expire</v>
      </c>
    </row>
    <row r="970" spans="1:16" x14ac:dyDescent="0.25">
      <c r="A970" s="1">
        <v>179</v>
      </c>
      <c r="B970" s="1" t="s">
        <v>231</v>
      </c>
      <c r="C970" s="1" t="s">
        <v>232</v>
      </c>
      <c r="D970" s="1" t="s">
        <v>233</v>
      </c>
      <c r="E970" s="1" t="s">
        <v>109</v>
      </c>
      <c r="F970" s="1" t="s">
        <v>65</v>
      </c>
      <c r="G970" s="1" t="s">
        <v>16</v>
      </c>
      <c r="H970" s="1" t="s">
        <v>164</v>
      </c>
      <c r="I970" s="1" t="s">
        <v>60</v>
      </c>
      <c r="J970" s="1" t="s">
        <v>67</v>
      </c>
      <c r="K970" s="1" t="s">
        <v>105</v>
      </c>
      <c r="L970" s="3">
        <v>46793</v>
      </c>
      <c r="M970" s="3">
        <v>46063</v>
      </c>
      <c r="N970">
        <f>_xlfn.XLOOKUP(Data[[#This Row],[Status]],Compliance_Status[Status from OPMS],Compliance_Status[Status_Key],"")</f>
        <v>4</v>
      </c>
      <c r="O970">
        <f>_xlfn.XLOOKUP(Data[[#This Row],[Status]],Compliance_Status[Status from OPMS],Compliance_Status[Has Course booking],"")</f>
        <v>0</v>
      </c>
      <c r="P970" t="str">
        <f>_xlfn.XLOOKUP(Data[[#This Row],[StatusKey]],Status_Key[Status_Key],Status_Key[Name],"")</f>
        <v>In Date</v>
      </c>
    </row>
    <row r="971" spans="1:16" x14ac:dyDescent="0.25">
      <c r="A971" s="1">
        <v>179</v>
      </c>
      <c r="B971" s="1" t="s">
        <v>231</v>
      </c>
      <c r="C971" s="1" t="s">
        <v>232</v>
      </c>
      <c r="D971" s="1" t="s">
        <v>233</v>
      </c>
      <c r="E971" s="1" t="s">
        <v>110</v>
      </c>
      <c r="F971" s="1" t="s">
        <v>65</v>
      </c>
      <c r="G971" s="1" t="s">
        <v>16</v>
      </c>
      <c r="H971" s="1" t="s">
        <v>164</v>
      </c>
      <c r="I971" s="1" t="s">
        <v>60</v>
      </c>
      <c r="J971" s="1" t="s">
        <v>67</v>
      </c>
      <c r="K971" s="1" t="s">
        <v>105</v>
      </c>
      <c r="L971" s="3" t="s">
        <v>79</v>
      </c>
      <c r="M971" s="3">
        <v>45419</v>
      </c>
      <c r="N971">
        <f>_xlfn.XLOOKUP(Data[[#This Row],[Status]],Compliance_Status[Status from OPMS],Compliance_Status[Status_Key],"")</f>
        <v>4</v>
      </c>
      <c r="O971">
        <f>_xlfn.XLOOKUP(Data[[#This Row],[Status]],Compliance_Status[Status from OPMS],Compliance_Status[Has Course booking],"")</f>
        <v>0</v>
      </c>
      <c r="P971" t="str">
        <f>_xlfn.XLOOKUP(Data[[#This Row],[StatusKey]],Status_Key[Status_Key],Status_Key[Name],"")</f>
        <v>In Date</v>
      </c>
    </row>
    <row r="972" spans="1:16" x14ac:dyDescent="0.25">
      <c r="A972" s="1">
        <v>179</v>
      </c>
      <c r="B972" s="1" t="s">
        <v>231</v>
      </c>
      <c r="C972" s="1" t="s">
        <v>232</v>
      </c>
      <c r="D972" s="1" t="s">
        <v>233</v>
      </c>
      <c r="E972" s="1" t="s">
        <v>111</v>
      </c>
      <c r="F972" s="1" t="s">
        <v>65</v>
      </c>
      <c r="G972" s="1" t="s">
        <v>16</v>
      </c>
      <c r="H972" s="1" t="s">
        <v>164</v>
      </c>
      <c r="I972" s="1" t="s">
        <v>60</v>
      </c>
      <c r="J972" s="1" t="s">
        <v>67</v>
      </c>
      <c r="K972" s="1" t="s">
        <v>105</v>
      </c>
      <c r="L972" s="3">
        <v>46769</v>
      </c>
      <c r="M972" s="3">
        <v>46039</v>
      </c>
      <c r="N972">
        <f>_xlfn.XLOOKUP(Data[[#This Row],[Status]],Compliance_Status[Status from OPMS],Compliance_Status[Status_Key],"")</f>
        <v>4</v>
      </c>
      <c r="O972">
        <f>_xlfn.XLOOKUP(Data[[#This Row],[Status]],Compliance_Status[Status from OPMS],Compliance_Status[Has Course booking],"")</f>
        <v>0</v>
      </c>
      <c r="P972" t="str">
        <f>_xlfn.XLOOKUP(Data[[#This Row],[StatusKey]],Status_Key[Status_Key],Status_Key[Name],"")</f>
        <v>In Date</v>
      </c>
    </row>
    <row r="973" spans="1:16" x14ac:dyDescent="0.25">
      <c r="A973" s="1">
        <v>179</v>
      </c>
      <c r="B973" s="1" t="s">
        <v>231</v>
      </c>
      <c r="C973" s="1" t="s">
        <v>232</v>
      </c>
      <c r="D973" s="1" t="s">
        <v>233</v>
      </c>
      <c r="E973" s="1" t="s">
        <v>112</v>
      </c>
      <c r="F973" s="1" t="s">
        <v>65</v>
      </c>
      <c r="G973" s="1" t="s">
        <v>16</v>
      </c>
      <c r="H973" s="1" t="s">
        <v>164</v>
      </c>
      <c r="I973" s="1" t="s">
        <v>60</v>
      </c>
      <c r="J973" s="1" t="s">
        <v>67</v>
      </c>
      <c r="K973" s="1" t="s">
        <v>105</v>
      </c>
      <c r="L973" s="3">
        <v>46769</v>
      </c>
      <c r="M973" s="3">
        <v>46039</v>
      </c>
      <c r="N973">
        <f>_xlfn.XLOOKUP(Data[[#This Row],[Status]],Compliance_Status[Status from OPMS],Compliance_Status[Status_Key],"")</f>
        <v>4</v>
      </c>
      <c r="O973">
        <f>_xlfn.XLOOKUP(Data[[#This Row],[Status]],Compliance_Status[Status from OPMS],Compliance_Status[Has Course booking],"")</f>
        <v>0</v>
      </c>
      <c r="P973" t="str">
        <f>_xlfn.XLOOKUP(Data[[#This Row],[StatusKey]],Status_Key[Status_Key],Status_Key[Name],"")</f>
        <v>In Date</v>
      </c>
    </row>
    <row r="974" spans="1:16" x14ac:dyDescent="0.25">
      <c r="A974" s="1">
        <v>179</v>
      </c>
      <c r="B974" s="1" t="s">
        <v>231</v>
      </c>
      <c r="C974" s="1" t="s">
        <v>232</v>
      </c>
      <c r="D974" s="1" t="s">
        <v>233</v>
      </c>
      <c r="E974" s="1" t="s">
        <v>113</v>
      </c>
      <c r="F974" s="1" t="s">
        <v>65</v>
      </c>
      <c r="G974" s="1" t="s">
        <v>16</v>
      </c>
      <c r="H974" s="1" t="s">
        <v>164</v>
      </c>
      <c r="I974" s="1" t="s">
        <v>60</v>
      </c>
      <c r="J974" s="1" t="s">
        <v>67</v>
      </c>
      <c r="K974" s="1" t="s">
        <v>105</v>
      </c>
      <c r="L974" s="3">
        <v>46769</v>
      </c>
      <c r="M974" s="3">
        <v>46039</v>
      </c>
      <c r="N974">
        <f>_xlfn.XLOOKUP(Data[[#This Row],[Status]],Compliance_Status[Status from OPMS],Compliance_Status[Status_Key],"")</f>
        <v>4</v>
      </c>
      <c r="O974">
        <f>_xlfn.XLOOKUP(Data[[#This Row],[Status]],Compliance_Status[Status from OPMS],Compliance_Status[Has Course booking],"")</f>
        <v>0</v>
      </c>
      <c r="P974" t="str">
        <f>_xlfn.XLOOKUP(Data[[#This Row],[StatusKey]],Status_Key[Status_Key],Status_Key[Name],"")</f>
        <v>In Date</v>
      </c>
    </row>
    <row r="975" spans="1:16" x14ac:dyDescent="0.25">
      <c r="A975" s="1">
        <v>183</v>
      </c>
      <c r="B975" s="1" t="s">
        <v>234</v>
      </c>
      <c r="C975" s="1" t="s">
        <v>235</v>
      </c>
      <c r="D975" s="1" t="s">
        <v>236</v>
      </c>
      <c r="E975" s="1" t="s">
        <v>184</v>
      </c>
      <c r="F975" s="1" t="s">
        <v>65</v>
      </c>
      <c r="G975" s="1" t="s">
        <v>16</v>
      </c>
      <c r="H975" s="1" t="s">
        <v>185</v>
      </c>
      <c r="I975" s="1" t="s">
        <v>60</v>
      </c>
      <c r="J975" s="1" t="s">
        <v>67</v>
      </c>
      <c r="K975" s="1" t="s">
        <v>68</v>
      </c>
      <c r="L975" s="3">
        <v>47896</v>
      </c>
      <c r="M975" s="3">
        <v>46041</v>
      </c>
      <c r="N975">
        <f>_xlfn.XLOOKUP(Data[[#This Row],[Status]],Compliance_Status[Status from OPMS],Compliance_Status[Status_Key],"")</f>
        <v>4</v>
      </c>
      <c r="O975">
        <f>_xlfn.XLOOKUP(Data[[#This Row],[Status]],Compliance_Status[Status from OPMS],Compliance_Status[Has Course booking],"")</f>
        <v>0</v>
      </c>
      <c r="P975" t="str">
        <f>_xlfn.XLOOKUP(Data[[#This Row],[StatusKey]],Status_Key[Status_Key],Status_Key[Name],"")</f>
        <v>In Date</v>
      </c>
    </row>
    <row r="976" spans="1:16" x14ac:dyDescent="0.25">
      <c r="A976" s="1">
        <v>183</v>
      </c>
      <c r="B976" s="1" t="s">
        <v>234</v>
      </c>
      <c r="C976" s="1" t="s">
        <v>235</v>
      </c>
      <c r="D976" s="1" t="s">
        <v>236</v>
      </c>
      <c r="E976" s="1" t="s">
        <v>131</v>
      </c>
      <c r="F976" s="1" t="s">
        <v>65</v>
      </c>
      <c r="G976" s="1" t="s">
        <v>16</v>
      </c>
      <c r="H976" s="1" t="s">
        <v>185</v>
      </c>
      <c r="I976" s="1" t="s">
        <v>60</v>
      </c>
      <c r="J976" s="1" t="s">
        <v>67</v>
      </c>
      <c r="K976" s="1" t="s">
        <v>68</v>
      </c>
      <c r="L976" s="3">
        <v>47896</v>
      </c>
      <c r="M976" s="3">
        <v>46041</v>
      </c>
      <c r="N976">
        <f>_xlfn.XLOOKUP(Data[[#This Row],[Status]],Compliance_Status[Status from OPMS],Compliance_Status[Status_Key],"")</f>
        <v>4</v>
      </c>
      <c r="O976">
        <f>_xlfn.XLOOKUP(Data[[#This Row],[Status]],Compliance_Status[Status from OPMS],Compliance_Status[Has Course booking],"")</f>
        <v>0</v>
      </c>
      <c r="P976" t="str">
        <f>_xlfn.XLOOKUP(Data[[#This Row],[StatusKey]],Status_Key[Status_Key],Status_Key[Name],"")</f>
        <v>In Date</v>
      </c>
    </row>
    <row r="977" spans="1:16" x14ac:dyDescent="0.25">
      <c r="A977" s="1">
        <v>183</v>
      </c>
      <c r="B977" s="1" t="s">
        <v>234</v>
      </c>
      <c r="C977" s="1" t="s">
        <v>235</v>
      </c>
      <c r="D977" s="1" t="s">
        <v>236</v>
      </c>
      <c r="E977" s="1" t="s">
        <v>71</v>
      </c>
      <c r="F977" s="1" t="s">
        <v>72</v>
      </c>
      <c r="G977" s="1" t="s">
        <v>18</v>
      </c>
      <c r="H977" s="1" t="s">
        <v>185</v>
      </c>
      <c r="I977" s="1" t="s">
        <v>60</v>
      </c>
      <c r="J977" s="1"/>
      <c r="K977" s="1" t="s">
        <v>68</v>
      </c>
      <c r="L977" s="3"/>
      <c r="M977" s="3"/>
      <c r="N977">
        <f>_xlfn.XLOOKUP(Data[[#This Row],[Status]],Compliance_Status[Status from OPMS],Compliance_Status[Status_Key],"")</f>
        <v>2</v>
      </c>
      <c r="O977">
        <f>_xlfn.XLOOKUP(Data[[#This Row],[Status]],Compliance_Status[Status from OPMS],Compliance_Status[Has Course booking],"")</f>
        <v>0</v>
      </c>
      <c r="P977" t="str">
        <f>_xlfn.XLOOKUP(Data[[#This Row],[StatusKey]],Status_Key[Status_Key],Status_Key[Name],"")</f>
        <v>Outstanding</v>
      </c>
    </row>
    <row r="978" spans="1:16" x14ac:dyDescent="0.25">
      <c r="A978" s="1">
        <v>183</v>
      </c>
      <c r="B978" s="1" t="s">
        <v>234</v>
      </c>
      <c r="C978" s="1" t="s">
        <v>235</v>
      </c>
      <c r="D978" s="1" t="s">
        <v>236</v>
      </c>
      <c r="E978" s="1" t="s">
        <v>73</v>
      </c>
      <c r="F978" s="1" t="s">
        <v>65</v>
      </c>
      <c r="G978" s="1" t="s">
        <v>16</v>
      </c>
      <c r="H978" s="1" t="s">
        <v>185</v>
      </c>
      <c r="I978" s="1" t="s">
        <v>60</v>
      </c>
      <c r="J978" s="1" t="s">
        <v>67</v>
      </c>
      <c r="K978" s="1" t="s">
        <v>68</v>
      </c>
      <c r="L978" s="3">
        <v>46345</v>
      </c>
      <c r="M978" s="3">
        <v>45615</v>
      </c>
      <c r="N978">
        <f>_xlfn.XLOOKUP(Data[[#This Row],[Status]],Compliance_Status[Status from OPMS],Compliance_Status[Status_Key],"")</f>
        <v>4</v>
      </c>
      <c r="O978">
        <f>_xlfn.XLOOKUP(Data[[#This Row],[Status]],Compliance_Status[Status from OPMS],Compliance_Status[Has Course booking],"")</f>
        <v>0</v>
      </c>
      <c r="P978" t="str">
        <f>_xlfn.XLOOKUP(Data[[#This Row],[StatusKey]],Status_Key[Status_Key],Status_Key[Name],"")</f>
        <v>In Date</v>
      </c>
    </row>
    <row r="979" spans="1:16" x14ac:dyDescent="0.25">
      <c r="A979" s="1">
        <v>183</v>
      </c>
      <c r="B979" s="1" t="s">
        <v>234</v>
      </c>
      <c r="C979" s="1" t="s">
        <v>235</v>
      </c>
      <c r="D979" s="1" t="s">
        <v>236</v>
      </c>
      <c r="E979" s="1" t="s">
        <v>74</v>
      </c>
      <c r="F979" s="1" t="s">
        <v>65</v>
      </c>
      <c r="G979" s="1" t="s">
        <v>16</v>
      </c>
      <c r="H979" s="1" t="s">
        <v>185</v>
      </c>
      <c r="I979" s="1" t="s">
        <v>60</v>
      </c>
      <c r="J979" s="1" t="s">
        <v>67</v>
      </c>
      <c r="K979" s="1" t="s">
        <v>68</v>
      </c>
      <c r="L979" s="3">
        <v>46385</v>
      </c>
      <c r="M979" s="3">
        <v>44937</v>
      </c>
      <c r="N979">
        <f>_xlfn.XLOOKUP(Data[[#This Row],[Status]],Compliance_Status[Status from OPMS],Compliance_Status[Status_Key],"")</f>
        <v>4</v>
      </c>
      <c r="O979">
        <f>_xlfn.XLOOKUP(Data[[#This Row],[Status]],Compliance_Status[Status from OPMS],Compliance_Status[Has Course booking],"")</f>
        <v>0</v>
      </c>
      <c r="P979" t="str">
        <f>_xlfn.XLOOKUP(Data[[#This Row],[StatusKey]],Status_Key[Status_Key],Status_Key[Name],"")</f>
        <v>In Date</v>
      </c>
    </row>
    <row r="980" spans="1:16" x14ac:dyDescent="0.25">
      <c r="A980" s="1">
        <v>183</v>
      </c>
      <c r="B980" s="1" t="s">
        <v>234</v>
      </c>
      <c r="C980" s="1" t="s">
        <v>235</v>
      </c>
      <c r="D980" s="1" t="s">
        <v>236</v>
      </c>
      <c r="E980" s="1" t="s">
        <v>75</v>
      </c>
      <c r="F980" s="1" t="s">
        <v>72</v>
      </c>
      <c r="G980" s="1" t="s">
        <v>18</v>
      </c>
      <c r="H980" s="1" t="s">
        <v>185</v>
      </c>
      <c r="I980" s="1" t="s">
        <v>60</v>
      </c>
      <c r="J980" s="1"/>
      <c r="K980" s="1" t="s">
        <v>68</v>
      </c>
      <c r="L980" s="3"/>
      <c r="M980" s="3"/>
      <c r="N980">
        <f>_xlfn.XLOOKUP(Data[[#This Row],[Status]],Compliance_Status[Status from OPMS],Compliance_Status[Status_Key],"")</f>
        <v>2</v>
      </c>
      <c r="O980">
        <f>_xlfn.XLOOKUP(Data[[#This Row],[Status]],Compliance_Status[Status from OPMS],Compliance_Status[Has Course booking],"")</f>
        <v>0</v>
      </c>
      <c r="P980" t="str">
        <f>_xlfn.XLOOKUP(Data[[#This Row],[StatusKey]],Status_Key[Status_Key],Status_Key[Name],"")</f>
        <v>Outstanding</v>
      </c>
    </row>
    <row r="981" spans="1:16" x14ac:dyDescent="0.25">
      <c r="A981" s="1">
        <v>183</v>
      </c>
      <c r="B981" s="1" t="s">
        <v>234</v>
      </c>
      <c r="C981" s="1" t="s">
        <v>235</v>
      </c>
      <c r="D981" s="1" t="s">
        <v>236</v>
      </c>
      <c r="E981" s="1" t="s">
        <v>76</v>
      </c>
      <c r="F981" s="1" t="s">
        <v>65</v>
      </c>
      <c r="G981" s="1" t="s">
        <v>16</v>
      </c>
      <c r="H981" s="1" t="s">
        <v>185</v>
      </c>
      <c r="I981" s="1" t="s">
        <v>60</v>
      </c>
      <c r="J981" s="1" t="s">
        <v>67</v>
      </c>
      <c r="K981" s="1" t="s">
        <v>77</v>
      </c>
      <c r="L981" s="3">
        <v>47299</v>
      </c>
      <c r="M981" s="3">
        <v>45838</v>
      </c>
      <c r="N981">
        <f>_xlfn.XLOOKUP(Data[[#This Row],[Status]],Compliance_Status[Status from OPMS],Compliance_Status[Status_Key],"")</f>
        <v>4</v>
      </c>
      <c r="O981">
        <f>_xlfn.XLOOKUP(Data[[#This Row],[Status]],Compliance_Status[Status from OPMS],Compliance_Status[Has Course booking],"")</f>
        <v>0</v>
      </c>
      <c r="P981" t="str">
        <f>_xlfn.XLOOKUP(Data[[#This Row],[StatusKey]],Status_Key[Status_Key],Status_Key[Name],"")</f>
        <v>In Date</v>
      </c>
    </row>
    <row r="982" spans="1:16" x14ac:dyDescent="0.25">
      <c r="A982" s="1">
        <v>183</v>
      </c>
      <c r="B982" s="1" t="s">
        <v>234</v>
      </c>
      <c r="C982" s="1" t="s">
        <v>235</v>
      </c>
      <c r="D982" s="1" t="s">
        <v>236</v>
      </c>
      <c r="E982" s="1" t="s">
        <v>80</v>
      </c>
      <c r="F982" s="1"/>
      <c r="G982" s="1" t="s">
        <v>16</v>
      </c>
      <c r="H982" s="1" t="s">
        <v>185</v>
      </c>
      <c r="I982" s="1" t="s">
        <v>60</v>
      </c>
      <c r="J982" s="1" t="s">
        <v>67</v>
      </c>
      <c r="K982" s="1" t="s">
        <v>77</v>
      </c>
      <c r="L982" s="3" t="s">
        <v>79</v>
      </c>
      <c r="M982" s="3">
        <v>45769</v>
      </c>
      <c r="N982">
        <f>_xlfn.XLOOKUP(Data[[#This Row],[Status]],Compliance_Status[Status from OPMS],Compliance_Status[Status_Key],"")</f>
        <v>4</v>
      </c>
      <c r="O982">
        <f>_xlfn.XLOOKUP(Data[[#This Row],[Status]],Compliance_Status[Status from OPMS],Compliance_Status[Has Course booking],"")</f>
        <v>0</v>
      </c>
      <c r="P982" t="str">
        <f>_xlfn.XLOOKUP(Data[[#This Row],[StatusKey]],Status_Key[Status_Key],Status_Key[Name],"")</f>
        <v>In Date</v>
      </c>
    </row>
    <row r="983" spans="1:16" x14ac:dyDescent="0.25">
      <c r="A983" s="1">
        <v>183</v>
      </c>
      <c r="B983" s="1" t="s">
        <v>234</v>
      </c>
      <c r="C983" s="1" t="s">
        <v>235</v>
      </c>
      <c r="D983" s="1" t="s">
        <v>236</v>
      </c>
      <c r="E983" s="1" t="s">
        <v>93</v>
      </c>
      <c r="F983" s="1"/>
      <c r="G983" s="1" t="s">
        <v>16</v>
      </c>
      <c r="H983" s="1" t="s">
        <v>185</v>
      </c>
      <c r="I983" s="1" t="s">
        <v>60</v>
      </c>
      <c r="J983" s="1" t="s">
        <v>67</v>
      </c>
      <c r="K983" s="1" t="s">
        <v>94</v>
      </c>
      <c r="L983" s="3">
        <v>46770</v>
      </c>
      <c r="M983" s="3">
        <v>46040</v>
      </c>
      <c r="N983">
        <f>_xlfn.XLOOKUP(Data[[#This Row],[Status]],Compliance_Status[Status from OPMS],Compliance_Status[Status_Key],"")</f>
        <v>4</v>
      </c>
      <c r="O983">
        <f>_xlfn.XLOOKUP(Data[[#This Row],[Status]],Compliance_Status[Status from OPMS],Compliance_Status[Has Course booking],"")</f>
        <v>0</v>
      </c>
      <c r="P983" t="str">
        <f>_xlfn.XLOOKUP(Data[[#This Row],[StatusKey]],Status_Key[Status_Key],Status_Key[Name],"")</f>
        <v>In Date</v>
      </c>
    </row>
    <row r="984" spans="1:16" x14ac:dyDescent="0.25">
      <c r="A984" s="1">
        <v>183</v>
      </c>
      <c r="B984" s="1" t="s">
        <v>234</v>
      </c>
      <c r="C984" s="1" t="s">
        <v>235</v>
      </c>
      <c r="D984" s="1" t="s">
        <v>236</v>
      </c>
      <c r="E984" s="1" t="s">
        <v>95</v>
      </c>
      <c r="F984" s="1"/>
      <c r="G984" s="1" t="s">
        <v>16</v>
      </c>
      <c r="H984" s="1" t="s">
        <v>185</v>
      </c>
      <c r="I984" s="1" t="s">
        <v>60</v>
      </c>
      <c r="J984" s="1" t="s">
        <v>67</v>
      </c>
      <c r="K984" s="1" t="s">
        <v>94</v>
      </c>
      <c r="L984" s="3">
        <v>46770</v>
      </c>
      <c r="M984" s="3">
        <v>46040</v>
      </c>
      <c r="N984">
        <f>_xlfn.XLOOKUP(Data[[#This Row],[Status]],Compliance_Status[Status from OPMS],Compliance_Status[Status_Key],"")</f>
        <v>4</v>
      </c>
      <c r="O984">
        <f>_xlfn.XLOOKUP(Data[[#This Row],[Status]],Compliance_Status[Status from OPMS],Compliance_Status[Has Course booking],"")</f>
        <v>0</v>
      </c>
      <c r="P984" t="str">
        <f>_xlfn.XLOOKUP(Data[[#This Row],[StatusKey]],Status_Key[Status_Key],Status_Key[Name],"")</f>
        <v>In Date</v>
      </c>
    </row>
    <row r="985" spans="1:16" x14ac:dyDescent="0.25">
      <c r="A985" s="1">
        <v>183</v>
      </c>
      <c r="B985" s="1" t="s">
        <v>234</v>
      </c>
      <c r="C985" s="1" t="s">
        <v>235</v>
      </c>
      <c r="D985" s="1" t="s">
        <v>236</v>
      </c>
      <c r="E985" s="1" t="s">
        <v>97</v>
      </c>
      <c r="F985" s="1" t="s">
        <v>65</v>
      </c>
      <c r="G985" s="1" t="s">
        <v>16</v>
      </c>
      <c r="H985" s="1" t="s">
        <v>185</v>
      </c>
      <c r="I985" s="1" t="s">
        <v>60</v>
      </c>
      <c r="J985" s="1" t="s">
        <v>67</v>
      </c>
      <c r="K985" s="1" t="s">
        <v>98</v>
      </c>
      <c r="L985" s="3">
        <v>47249</v>
      </c>
      <c r="M985" s="3">
        <v>45423</v>
      </c>
      <c r="N985">
        <f>_xlfn.XLOOKUP(Data[[#This Row],[Status]],Compliance_Status[Status from OPMS],Compliance_Status[Status_Key],"")</f>
        <v>4</v>
      </c>
      <c r="O985">
        <f>_xlfn.XLOOKUP(Data[[#This Row],[Status]],Compliance_Status[Status from OPMS],Compliance_Status[Has Course booking],"")</f>
        <v>0</v>
      </c>
      <c r="P985" t="str">
        <f>_xlfn.XLOOKUP(Data[[#This Row],[StatusKey]],Status_Key[Status_Key],Status_Key[Name],"")</f>
        <v>In Date</v>
      </c>
    </row>
    <row r="986" spans="1:16" x14ac:dyDescent="0.25">
      <c r="A986" s="1">
        <v>183</v>
      </c>
      <c r="B986" s="1" t="s">
        <v>234</v>
      </c>
      <c r="C986" s="1" t="s">
        <v>235</v>
      </c>
      <c r="D986" s="1" t="s">
        <v>236</v>
      </c>
      <c r="E986" s="1" t="s">
        <v>101</v>
      </c>
      <c r="F986" s="1" t="s">
        <v>65</v>
      </c>
      <c r="G986" s="1" t="s">
        <v>16</v>
      </c>
      <c r="H986" s="1" t="s">
        <v>185</v>
      </c>
      <c r="I986" s="1" t="s">
        <v>60</v>
      </c>
      <c r="J986" s="1" t="s">
        <v>67</v>
      </c>
      <c r="K986" s="1" t="s">
        <v>102</v>
      </c>
      <c r="L986" s="3" t="s">
        <v>79</v>
      </c>
      <c r="M986" s="3">
        <v>45401</v>
      </c>
      <c r="N986">
        <f>_xlfn.XLOOKUP(Data[[#This Row],[Status]],Compliance_Status[Status from OPMS],Compliance_Status[Status_Key],"")</f>
        <v>4</v>
      </c>
      <c r="O986">
        <f>_xlfn.XLOOKUP(Data[[#This Row],[Status]],Compliance_Status[Status from OPMS],Compliance_Status[Has Course booking],"")</f>
        <v>0</v>
      </c>
      <c r="P986" t="str">
        <f>_xlfn.XLOOKUP(Data[[#This Row],[StatusKey]],Status_Key[Status_Key],Status_Key[Name],"")</f>
        <v>In Date</v>
      </c>
    </row>
    <row r="987" spans="1:16" x14ac:dyDescent="0.25">
      <c r="A987" s="1">
        <v>183</v>
      </c>
      <c r="B987" s="1" t="s">
        <v>234</v>
      </c>
      <c r="C987" s="1" t="s">
        <v>235</v>
      </c>
      <c r="D987" s="1" t="s">
        <v>236</v>
      </c>
      <c r="E987" s="1" t="s">
        <v>103</v>
      </c>
      <c r="F987" s="1" t="s">
        <v>65</v>
      </c>
      <c r="G987" s="1" t="s">
        <v>16</v>
      </c>
      <c r="H987" s="1" t="s">
        <v>185</v>
      </c>
      <c r="I987" s="1" t="s">
        <v>60</v>
      </c>
      <c r="J987" s="1" t="s">
        <v>67</v>
      </c>
      <c r="K987" s="1" t="s">
        <v>102</v>
      </c>
      <c r="L987" s="3">
        <v>46476</v>
      </c>
      <c r="M987" s="3">
        <v>45746</v>
      </c>
      <c r="N987">
        <f>_xlfn.XLOOKUP(Data[[#This Row],[Status]],Compliance_Status[Status from OPMS],Compliance_Status[Status_Key],"")</f>
        <v>4</v>
      </c>
      <c r="O987">
        <f>_xlfn.XLOOKUP(Data[[#This Row],[Status]],Compliance_Status[Status from OPMS],Compliance_Status[Has Course booking],"")</f>
        <v>0</v>
      </c>
      <c r="P987" t="str">
        <f>_xlfn.XLOOKUP(Data[[#This Row],[StatusKey]],Status_Key[Status_Key],Status_Key[Name],"")</f>
        <v>In Date</v>
      </c>
    </row>
    <row r="988" spans="1:16" x14ac:dyDescent="0.25">
      <c r="A988" s="1">
        <v>183</v>
      </c>
      <c r="B988" s="1" t="s">
        <v>234</v>
      </c>
      <c r="C988" s="1" t="s">
        <v>235</v>
      </c>
      <c r="D988" s="1" t="s">
        <v>236</v>
      </c>
      <c r="E988" s="1" t="s">
        <v>104</v>
      </c>
      <c r="F988" s="1" t="s">
        <v>65</v>
      </c>
      <c r="G988" s="1" t="s">
        <v>16</v>
      </c>
      <c r="H988" s="1" t="s">
        <v>185</v>
      </c>
      <c r="I988" s="1" t="s">
        <v>60</v>
      </c>
      <c r="J988" s="1" t="s">
        <v>67</v>
      </c>
      <c r="K988" s="1" t="s">
        <v>105</v>
      </c>
      <c r="L988" s="3">
        <v>46769</v>
      </c>
      <c r="M988" s="3">
        <v>46039</v>
      </c>
      <c r="N988">
        <f>_xlfn.XLOOKUP(Data[[#This Row],[Status]],Compliance_Status[Status from OPMS],Compliance_Status[Status_Key],"")</f>
        <v>4</v>
      </c>
      <c r="O988">
        <f>_xlfn.XLOOKUP(Data[[#This Row],[Status]],Compliance_Status[Status from OPMS],Compliance_Status[Has Course booking],"")</f>
        <v>0</v>
      </c>
      <c r="P988" t="str">
        <f>_xlfn.XLOOKUP(Data[[#This Row],[StatusKey]],Status_Key[Status_Key],Status_Key[Name],"")</f>
        <v>In Date</v>
      </c>
    </row>
    <row r="989" spans="1:16" x14ac:dyDescent="0.25">
      <c r="A989" s="1">
        <v>183</v>
      </c>
      <c r="B989" s="1" t="s">
        <v>234</v>
      </c>
      <c r="C989" s="1" t="s">
        <v>235</v>
      </c>
      <c r="D989" s="1" t="s">
        <v>236</v>
      </c>
      <c r="E989" s="1" t="s">
        <v>106</v>
      </c>
      <c r="F989" s="1" t="s">
        <v>65</v>
      </c>
      <c r="G989" s="1" t="s">
        <v>16</v>
      </c>
      <c r="H989" s="1" t="s">
        <v>185</v>
      </c>
      <c r="I989" s="1" t="s">
        <v>60</v>
      </c>
      <c r="J989" s="1" t="s">
        <v>67</v>
      </c>
      <c r="K989" s="1" t="s">
        <v>105</v>
      </c>
      <c r="L989" s="3">
        <v>47248</v>
      </c>
      <c r="M989" s="3">
        <v>45422</v>
      </c>
      <c r="N989">
        <f>_xlfn.XLOOKUP(Data[[#This Row],[Status]],Compliance_Status[Status from OPMS],Compliance_Status[Status_Key],"")</f>
        <v>4</v>
      </c>
      <c r="O989">
        <f>_xlfn.XLOOKUP(Data[[#This Row],[Status]],Compliance_Status[Status from OPMS],Compliance_Status[Has Course booking],"")</f>
        <v>0</v>
      </c>
      <c r="P989" t="str">
        <f>_xlfn.XLOOKUP(Data[[#This Row],[StatusKey]],Status_Key[Status_Key],Status_Key[Name],"")</f>
        <v>In Date</v>
      </c>
    </row>
    <row r="990" spans="1:16" x14ac:dyDescent="0.25">
      <c r="A990" s="1">
        <v>183</v>
      </c>
      <c r="B990" s="1" t="s">
        <v>234</v>
      </c>
      <c r="C990" s="1" t="s">
        <v>235</v>
      </c>
      <c r="D990" s="1" t="s">
        <v>236</v>
      </c>
      <c r="E990" s="1" t="s">
        <v>107</v>
      </c>
      <c r="F990" s="1" t="s">
        <v>65</v>
      </c>
      <c r="G990" s="1" t="s">
        <v>16</v>
      </c>
      <c r="H990" s="1" t="s">
        <v>185</v>
      </c>
      <c r="I990" s="1" t="s">
        <v>60</v>
      </c>
      <c r="J990" s="1" t="s">
        <v>67</v>
      </c>
      <c r="K990" s="1" t="s">
        <v>105</v>
      </c>
      <c r="L990" s="3">
        <v>46518</v>
      </c>
      <c r="M990" s="3">
        <v>45423</v>
      </c>
      <c r="N990">
        <f>_xlfn.XLOOKUP(Data[[#This Row],[Status]],Compliance_Status[Status from OPMS],Compliance_Status[Status_Key],"")</f>
        <v>4</v>
      </c>
      <c r="O990">
        <f>_xlfn.XLOOKUP(Data[[#This Row],[Status]],Compliance_Status[Status from OPMS],Compliance_Status[Has Course booking],"")</f>
        <v>0</v>
      </c>
      <c r="P990" t="str">
        <f>_xlfn.XLOOKUP(Data[[#This Row],[StatusKey]],Status_Key[Status_Key],Status_Key[Name],"")</f>
        <v>In Date</v>
      </c>
    </row>
    <row r="991" spans="1:16" x14ac:dyDescent="0.25">
      <c r="A991" s="1">
        <v>183</v>
      </c>
      <c r="B991" s="1" t="s">
        <v>234</v>
      </c>
      <c r="C991" s="1" t="s">
        <v>235</v>
      </c>
      <c r="D991" s="1" t="s">
        <v>236</v>
      </c>
      <c r="E991" s="1" t="s">
        <v>108</v>
      </c>
      <c r="F991" s="1" t="s">
        <v>65</v>
      </c>
      <c r="G991" s="1" t="s">
        <v>16</v>
      </c>
      <c r="H991" s="1" t="s">
        <v>185</v>
      </c>
      <c r="I991" s="1" t="s">
        <v>60</v>
      </c>
      <c r="J991" s="1" t="s">
        <v>67</v>
      </c>
      <c r="K991" s="1" t="s">
        <v>105</v>
      </c>
      <c r="L991" s="3">
        <v>47343</v>
      </c>
      <c r="M991" s="3">
        <v>46247</v>
      </c>
      <c r="N991">
        <f>_xlfn.XLOOKUP(Data[[#This Row],[Status]],Compliance_Status[Status from OPMS],Compliance_Status[Status_Key],"")</f>
        <v>4</v>
      </c>
      <c r="O991">
        <f>_xlfn.XLOOKUP(Data[[#This Row],[Status]],Compliance_Status[Status from OPMS],Compliance_Status[Has Course booking],"")</f>
        <v>0</v>
      </c>
      <c r="P991" t="str">
        <f>_xlfn.XLOOKUP(Data[[#This Row],[StatusKey]],Status_Key[Status_Key],Status_Key[Name],"")</f>
        <v>In Date</v>
      </c>
    </row>
    <row r="992" spans="1:16" x14ac:dyDescent="0.25">
      <c r="A992" s="1">
        <v>183</v>
      </c>
      <c r="B992" s="1" t="s">
        <v>234</v>
      </c>
      <c r="C992" s="1" t="s">
        <v>235</v>
      </c>
      <c r="D992" s="1" t="s">
        <v>236</v>
      </c>
      <c r="E992" s="1" t="s">
        <v>109</v>
      </c>
      <c r="F992" s="1" t="s">
        <v>65</v>
      </c>
      <c r="G992" s="1" t="s">
        <v>16</v>
      </c>
      <c r="H992" s="1" t="s">
        <v>185</v>
      </c>
      <c r="I992" s="1" t="s">
        <v>60</v>
      </c>
      <c r="J992" s="1" t="s">
        <v>67</v>
      </c>
      <c r="K992" s="1" t="s">
        <v>105</v>
      </c>
      <c r="L992" s="3">
        <v>46769</v>
      </c>
      <c r="M992" s="3">
        <v>46039</v>
      </c>
      <c r="N992">
        <f>_xlfn.XLOOKUP(Data[[#This Row],[Status]],Compliance_Status[Status from OPMS],Compliance_Status[Status_Key],"")</f>
        <v>4</v>
      </c>
      <c r="O992">
        <f>_xlfn.XLOOKUP(Data[[#This Row],[Status]],Compliance_Status[Status from OPMS],Compliance_Status[Has Course booking],"")</f>
        <v>0</v>
      </c>
      <c r="P992" t="str">
        <f>_xlfn.XLOOKUP(Data[[#This Row],[StatusKey]],Status_Key[Status_Key],Status_Key[Name],"")</f>
        <v>In Date</v>
      </c>
    </row>
    <row r="993" spans="1:16" x14ac:dyDescent="0.25">
      <c r="A993" s="1">
        <v>183</v>
      </c>
      <c r="B993" s="1" t="s">
        <v>234</v>
      </c>
      <c r="C993" s="1" t="s">
        <v>235</v>
      </c>
      <c r="D993" s="1" t="s">
        <v>236</v>
      </c>
      <c r="E993" s="1" t="s">
        <v>110</v>
      </c>
      <c r="F993" s="1" t="s">
        <v>65</v>
      </c>
      <c r="G993" s="1" t="s">
        <v>16</v>
      </c>
      <c r="H993" s="1" t="s">
        <v>185</v>
      </c>
      <c r="I993" s="1" t="s">
        <v>60</v>
      </c>
      <c r="J993" s="1" t="s">
        <v>67</v>
      </c>
      <c r="K993" s="1" t="s">
        <v>105</v>
      </c>
      <c r="L993" s="3" t="s">
        <v>79</v>
      </c>
      <c r="M993" s="3">
        <v>45423</v>
      </c>
      <c r="N993">
        <f>_xlfn.XLOOKUP(Data[[#This Row],[Status]],Compliance_Status[Status from OPMS],Compliance_Status[Status_Key],"")</f>
        <v>4</v>
      </c>
      <c r="O993">
        <f>_xlfn.XLOOKUP(Data[[#This Row],[Status]],Compliance_Status[Status from OPMS],Compliance_Status[Has Course booking],"")</f>
        <v>0</v>
      </c>
      <c r="P993" t="str">
        <f>_xlfn.XLOOKUP(Data[[#This Row],[StatusKey]],Status_Key[Status_Key],Status_Key[Name],"")</f>
        <v>In Date</v>
      </c>
    </row>
    <row r="994" spans="1:16" x14ac:dyDescent="0.25">
      <c r="A994" s="1">
        <v>183</v>
      </c>
      <c r="B994" s="1" t="s">
        <v>234</v>
      </c>
      <c r="C994" s="1" t="s">
        <v>235</v>
      </c>
      <c r="D994" s="1" t="s">
        <v>236</v>
      </c>
      <c r="E994" s="1" t="s">
        <v>111</v>
      </c>
      <c r="F994" s="1" t="s">
        <v>65</v>
      </c>
      <c r="G994" s="1" t="s">
        <v>16</v>
      </c>
      <c r="H994" s="1" t="s">
        <v>185</v>
      </c>
      <c r="I994" s="1" t="s">
        <v>60</v>
      </c>
      <c r="J994" s="1" t="s">
        <v>67</v>
      </c>
      <c r="K994" s="1" t="s">
        <v>105</v>
      </c>
      <c r="L994" s="3">
        <v>46769</v>
      </c>
      <c r="M994" s="3">
        <v>46039</v>
      </c>
      <c r="N994">
        <f>_xlfn.XLOOKUP(Data[[#This Row],[Status]],Compliance_Status[Status from OPMS],Compliance_Status[Status_Key],"")</f>
        <v>4</v>
      </c>
      <c r="O994">
        <f>_xlfn.XLOOKUP(Data[[#This Row],[Status]],Compliance_Status[Status from OPMS],Compliance_Status[Has Course booking],"")</f>
        <v>0</v>
      </c>
      <c r="P994" t="str">
        <f>_xlfn.XLOOKUP(Data[[#This Row],[StatusKey]],Status_Key[Status_Key],Status_Key[Name],"")</f>
        <v>In Date</v>
      </c>
    </row>
    <row r="995" spans="1:16" x14ac:dyDescent="0.25">
      <c r="A995" s="1">
        <v>183</v>
      </c>
      <c r="B995" s="1" t="s">
        <v>234</v>
      </c>
      <c r="C995" s="1" t="s">
        <v>235</v>
      </c>
      <c r="D995" s="1" t="s">
        <v>236</v>
      </c>
      <c r="E995" s="1" t="s">
        <v>112</v>
      </c>
      <c r="F995" s="1" t="s">
        <v>65</v>
      </c>
      <c r="G995" s="1" t="s">
        <v>16</v>
      </c>
      <c r="H995" s="1" t="s">
        <v>185</v>
      </c>
      <c r="I995" s="1" t="s">
        <v>60</v>
      </c>
      <c r="J995" s="1" t="s">
        <v>67</v>
      </c>
      <c r="K995" s="1" t="s">
        <v>105</v>
      </c>
      <c r="L995" s="3">
        <v>46769</v>
      </c>
      <c r="M995" s="3">
        <v>46039</v>
      </c>
      <c r="N995">
        <f>_xlfn.XLOOKUP(Data[[#This Row],[Status]],Compliance_Status[Status from OPMS],Compliance_Status[Status_Key],"")</f>
        <v>4</v>
      </c>
      <c r="O995">
        <f>_xlfn.XLOOKUP(Data[[#This Row],[Status]],Compliance_Status[Status from OPMS],Compliance_Status[Has Course booking],"")</f>
        <v>0</v>
      </c>
      <c r="P995" t="str">
        <f>_xlfn.XLOOKUP(Data[[#This Row],[StatusKey]],Status_Key[Status_Key],Status_Key[Name],"")</f>
        <v>In Date</v>
      </c>
    </row>
    <row r="996" spans="1:16" x14ac:dyDescent="0.25">
      <c r="A996" s="1">
        <v>183</v>
      </c>
      <c r="B996" s="1" t="s">
        <v>234</v>
      </c>
      <c r="C996" s="1" t="s">
        <v>235</v>
      </c>
      <c r="D996" s="1" t="s">
        <v>236</v>
      </c>
      <c r="E996" s="1" t="s">
        <v>113</v>
      </c>
      <c r="F996" s="1" t="s">
        <v>65</v>
      </c>
      <c r="G996" s="1" t="s">
        <v>16</v>
      </c>
      <c r="H996" s="1" t="s">
        <v>185</v>
      </c>
      <c r="I996" s="1" t="s">
        <v>60</v>
      </c>
      <c r="J996" s="1" t="s">
        <v>67</v>
      </c>
      <c r="K996" s="1" t="s">
        <v>105</v>
      </c>
      <c r="L996" s="3">
        <v>46769</v>
      </c>
      <c r="M996" s="3">
        <v>46039</v>
      </c>
      <c r="N996">
        <f>_xlfn.XLOOKUP(Data[[#This Row],[Status]],Compliance_Status[Status from OPMS],Compliance_Status[Status_Key],"")</f>
        <v>4</v>
      </c>
      <c r="O996">
        <f>_xlfn.XLOOKUP(Data[[#This Row],[Status]],Compliance_Status[Status from OPMS],Compliance_Status[Has Course booking],"")</f>
        <v>0</v>
      </c>
      <c r="P996" t="str">
        <f>_xlfn.XLOOKUP(Data[[#This Row],[StatusKey]],Status_Key[Status_Key],Status_Key[Name],"")</f>
        <v>In Date</v>
      </c>
    </row>
    <row r="997" spans="1:16" x14ac:dyDescent="0.25">
      <c r="A997" s="1">
        <v>151</v>
      </c>
      <c r="B997" s="1" t="s">
        <v>237</v>
      </c>
      <c r="C997" s="1" t="s">
        <v>238</v>
      </c>
      <c r="D997" s="1" t="s">
        <v>239</v>
      </c>
      <c r="E997" s="1" t="s">
        <v>64</v>
      </c>
      <c r="F997" s="1" t="s">
        <v>65</v>
      </c>
      <c r="G997" s="1" t="s">
        <v>16</v>
      </c>
      <c r="H997" s="1" t="s">
        <v>66</v>
      </c>
      <c r="I997" s="1" t="s">
        <v>60</v>
      </c>
      <c r="J997" s="1" t="s">
        <v>67</v>
      </c>
      <c r="K997" s="1" t="s">
        <v>68</v>
      </c>
      <c r="L997" s="3">
        <v>46837</v>
      </c>
      <c r="M997" s="3">
        <v>45369</v>
      </c>
      <c r="N997">
        <f>_xlfn.XLOOKUP(Data[[#This Row],[Status]],Compliance_Status[Status from OPMS],Compliance_Status[Status_Key],"")</f>
        <v>4</v>
      </c>
      <c r="O997">
        <f>_xlfn.XLOOKUP(Data[[#This Row],[Status]],Compliance_Status[Status from OPMS],Compliance_Status[Has Course booking],"")</f>
        <v>0</v>
      </c>
      <c r="P997" t="str">
        <f>_xlfn.XLOOKUP(Data[[#This Row],[StatusKey]],Status_Key[Status_Key],Status_Key[Name],"")</f>
        <v>In Date</v>
      </c>
    </row>
    <row r="998" spans="1:16" x14ac:dyDescent="0.25">
      <c r="A998" s="1">
        <v>151</v>
      </c>
      <c r="B998" s="1" t="s">
        <v>237</v>
      </c>
      <c r="C998" s="1" t="s">
        <v>238</v>
      </c>
      <c r="D998" s="1" t="s">
        <v>239</v>
      </c>
      <c r="E998" s="1" t="s">
        <v>69</v>
      </c>
      <c r="F998" s="1" t="s">
        <v>65</v>
      </c>
      <c r="G998" s="1" t="s">
        <v>16</v>
      </c>
      <c r="H998" s="1" t="s">
        <v>66</v>
      </c>
      <c r="I998" s="1" t="s">
        <v>60</v>
      </c>
      <c r="J998" s="1"/>
      <c r="K998" s="1" t="s">
        <v>68</v>
      </c>
      <c r="L998" s="3">
        <v>46837</v>
      </c>
      <c r="M998" s="3">
        <v>45369</v>
      </c>
      <c r="N998">
        <f>_xlfn.XLOOKUP(Data[[#This Row],[Status]],Compliance_Status[Status from OPMS],Compliance_Status[Status_Key],"")</f>
        <v>4</v>
      </c>
      <c r="O998">
        <f>_xlfn.XLOOKUP(Data[[#This Row],[Status]],Compliance_Status[Status from OPMS],Compliance_Status[Has Course booking],"")</f>
        <v>0</v>
      </c>
      <c r="P998" t="str">
        <f>_xlfn.XLOOKUP(Data[[#This Row],[StatusKey]],Status_Key[Status_Key],Status_Key[Name],"")</f>
        <v>In Date</v>
      </c>
    </row>
    <row r="999" spans="1:16" x14ac:dyDescent="0.25">
      <c r="A999" s="1">
        <v>151</v>
      </c>
      <c r="B999" s="1" t="s">
        <v>237</v>
      </c>
      <c r="C999" s="1" t="s">
        <v>238</v>
      </c>
      <c r="D999" s="1" t="s">
        <v>239</v>
      </c>
      <c r="E999" s="1" t="s">
        <v>70</v>
      </c>
      <c r="F999" s="1" t="s">
        <v>65</v>
      </c>
      <c r="G999" s="1" t="s">
        <v>16</v>
      </c>
      <c r="H999" s="1" t="s">
        <v>66</v>
      </c>
      <c r="I999" s="1" t="s">
        <v>60</v>
      </c>
      <c r="J999" s="1" t="s">
        <v>67</v>
      </c>
      <c r="K999" s="1" t="s">
        <v>68</v>
      </c>
      <c r="L999" s="3">
        <v>46650</v>
      </c>
      <c r="M999" s="3">
        <v>44825</v>
      </c>
      <c r="N999">
        <f>_xlfn.XLOOKUP(Data[[#This Row],[Status]],Compliance_Status[Status from OPMS],Compliance_Status[Status_Key],"")</f>
        <v>4</v>
      </c>
      <c r="O999">
        <f>_xlfn.XLOOKUP(Data[[#This Row],[Status]],Compliance_Status[Status from OPMS],Compliance_Status[Has Course booking],"")</f>
        <v>0</v>
      </c>
      <c r="P999" t="str">
        <f>_xlfn.XLOOKUP(Data[[#This Row],[StatusKey]],Status_Key[Status_Key],Status_Key[Name],"")</f>
        <v>In Date</v>
      </c>
    </row>
    <row r="1000" spans="1:16" x14ac:dyDescent="0.25">
      <c r="A1000" s="1">
        <v>151</v>
      </c>
      <c r="B1000" s="1" t="s">
        <v>237</v>
      </c>
      <c r="C1000" s="1" t="s">
        <v>238</v>
      </c>
      <c r="D1000" s="1" t="s">
        <v>239</v>
      </c>
      <c r="E1000" s="1" t="s">
        <v>71</v>
      </c>
      <c r="F1000" s="1" t="s">
        <v>72</v>
      </c>
      <c r="G1000" s="1" t="s">
        <v>18</v>
      </c>
      <c r="H1000" s="1" t="s">
        <v>66</v>
      </c>
      <c r="I1000" s="1" t="s">
        <v>60</v>
      </c>
      <c r="J1000" s="1"/>
      <c r="K1000" s="1" t="s">
        <v>68</v>
      </c>
      <c r="L1000" s="3"/>
      <c r="M1000" s="3"/>
      <c r="N1000">
        <f>_xlfn.XLOOKUP(Data[[#This Row],[Status]],Compliance_Status[Status from OPMS],Compliance_Status[Status_Key],"")</f>
        <v>2</v>
      </c>
      <c r="O1000">
        <f>_xlfn.XLOOKUP(Data[[#This Row],[Status]],Compliance_Status[Status from OPMS],Compliance_Status[Has Course booking],"")</f>
        <v>0</v>
      </c>
      <c r="P1000" t="str">
        <f>_xlfn.XLOOKUP(Data[[#This Row],[StatusKey]],Status_Key[Status_Key],Status_Key[Name],"")</f>
        <v>Outstanding</v>
      </c>
    </row>
    <row r="1001" spans="1:16" x14ac:dyDescent="0.25">
      <c r="A1001" s="1">
        <v>151</v>
      </c>
      <c r="B1001" s="1" t="s">
        <v>237</v>
      </c>
      <c r="C1001" s="1" t="s">
        <v>238</v>
      </c>
      <c r="D1001" s="1" t="s">
        <v>239</v>
      </c>
      <c r="E1001" s="1" t="s">
        <v>73</v>
      </c>
      <c r="F1001" s="1" t="s">
        <v>65</v>
      </c>
      <c r="G1001" s="1" t="s">
        <v>16</v>
      </c>
      <c r="H1001" s="1" t="s">
        <v>66</v>
      </c>
      <c r="I1001" s="1" t="s">
        <v>60</v>
      </c>
      <c r="J1001" s="1" t="s">
        <v>67</v>
      </c>
      <c r="K1001" s="1" t="s">
        <v>68</v>
      </c>
      <c r="L1001" s="3">
        <v>46619</v>
      </c>
      <c r="M1001" s="3">
        <v>45889</v>
      </c>
      <c r="N1001">
        <f>_xlfn.XLOOKUP(Data[[#This Row],[Status]],Compliance_Status[Status from OPMS],Compliance_Status[Status_Key],"")</f>
        <v>4</v>
      </c>
      <c r="O1001">
        <f>_xlfn.XLOOKUP(Data[[#This Row],[Status]],Compliance_Status[Status from OPMS],Compliance_Status[Has Course booking],"")</f>
        <v>0</v>
      </c>
      <c r="P1001" t="str">
        <f>_xlfn.XLOOKUP(Data[[#This Row],[StatusKey]],Status_Key[Status_Key],Status_Key[Name],"")</f>
        <v>In Date</v>
      </c>
    </row>
    <row r="1002" spans="1:16" x14ac:dyDescent="0.25">
      <c r="A1002" s="1">
        <v>151</v>
      </c>
      <c r="B1002" s="1" t="s">
        <v>237</v>
      </c>
      <c r="C1002" s="1" t="s">
        <v>238</v>
      </c>
      <c r="D1002" s="1" t="s">
        <v>239</v>
      </c>
      <c r="E1002" s="1" t="s">
        <v>74</v>
      </c>
      <c r="F1002" s="1" t="s">
        <v>65</v>
      </c>
      <c r="G1002" s="1" t="s">
        <v>16</v>
      </c>
      <c r="H1002" s="1" t="s">
        <v>66</v>
      </c>
      <c r="I1002" s="1" t="s">
        <v>60</v>
      </c>
      <c r="J1002" s="1" t="s">
        <v>67</v>
      </c>
      <c r="K1002" s="1" t="s">
        <v>68</v>
      </c>
      <c r="L1002" s="3">
        <v>46385</v>
      </c>
      <c r="M1002" s="3">
        <v>45143</v>
      </c>
      <c r="N1002">
        <f>_xlfn.XLOOKUP(Data[[#This Row],[Status]],Compliance_Status[Status from OPMS],Compliance_Status[Status_Key],"")</f>
        <v>4</v>
      </c>
      <c r="O1002">
        <f>_xlfn.XLOOKUP(Data[[#This Row],[Status]],Compliance_Status[Status from OPMS],Compliance_Status[Has Course booking],"")</f>
        <v>0</v>
      </c>
      <c r="P1002" t="str">
        <f>_xlfn.XLOOKUP(Data[[#This Row],[StatusKey]],Status_Key[Status_Key],Status_Key[Name],"")</f>
        <v>In Date</v>
      </c>
    </row>
    <row r="1003" spans="1:16" x14ac:dyDescent="0.25">
      <c r="A1003" s="1">
        <v>151</v>
      </c>
      <c r="B1003" s="1" t="s">
        <v>237</v>
      </c>
      <c r="C1003" s="1" t="s">
        <v>238</v>
      </c>
      <c r="D1003" s="1" t="s">
        <v>239</v>
      </c>
      <c r="E1003" s="1" t="s">
        <v>75</v>
      </c>
      <c r="F1003" s="1" t="s">
        <v>72</v>
      </c>
      <c r="G1003" s="1" t="s">
        <v>18</v>
      </c>
      <c r="H1003" s="1" t="s">
        <v>66</v>
      </c>
      <c r="I1003" s="1" t="s">
        <v>60</v>
      </c>
      <c r="J1003" s="1"/>
      <c r="K1003" s="1" t="s">
        <v>68</v>
      </c>
      <c r="L1003" s="3"/>
      <c r="M1003" s="3"/>
      <c r="N1003">
        <f>_xlfn.XLOOKUP(Data[[#This Row],[Status]],Compliance_Status[Status from OPMS],Compliance_Status[Status_Key],"")</f>
        <v>2</v>
      </c>
      <c r="O1003">
        <f>_xlfn.XLOOKUP(Data[[#This Row],[Status]],Compliance_Status[Status from OPMS],Compliance_Status[Has Course booking],"")</f>
        <v>0</v>
      </c>
      <c r="P1003" t="str">
        <f>_xlfn.XLOOKUP(Data[[#This Row],[StatusKey]],Status_Key[Status_Key],Status_Key[Name],"")</f>
        <v>Outstanding</v>
      </c>
    </row>
    <row r="1004" spans="1:16" x14ac:dyDescent="0.25">
      <c r="A1004" s="1">
        <v>151</v>
      </c>
      <c r="B1004" s="1" t="s">
        <v>237</v>
      </c>
      <c r="C1004" s="1" t="s">
        <v>238</v>
      </c>
      <c r="D1004" s="1" t="s">
        <v>239</v>
      </c>
      <c r="E1004" s="1" t="s">
        <v>76</v>
      </c>
      <c r="F1004" s="1" t="s">
        <v>65</v>
      </c>
      <c r="G1004" s="1" t="s">
        <v>16</v>
      </c>
      <c r="H1004" s="1" t="s">
        <v>66</v>
      </c>
      <c r="I1004" s="1" t="s">
        <v>60</v>
      </c>
      <c r="J1004" s="1" t="s">
        <v>67</v>
      </c>
      <c r="K1004" s="1" t="s">
        <v>77</v>
      </c>
      <c r="L1004" s="3">
        <v>47299</v>
      </c>
      <c r="M1004" s="3">
        <v>45838</v>
      </c>
      <c r="N1004">
        <f>_xlfn.XLOOKUP(Data[[#This Row],[Status]],Compliance_Status[Status from OPMS],Compliance_Status[Status_Key],"")</f>
        <v>4</v>
      </c>
      <c r="O1004">
        <f>_xlfn.XLOOKUP(Data[[#This Row],[Status]],Compliance_Status[Status from OPMS],Compliance_Status[Has Course booking],"")</f>
        <v>0</v>
      </c>
      <c r="P1004" t="str">
        <f>_xlfn.XLOOKUP(Data[[#This Row],[StatusKey]],Status_Key[Status_Key],Status_Key[Name],"")</f>
        <v>In Date</v>
      </c>
    </row>
    <row r="1005" spans="1:16" x14ac:dyDescent="0.25">
      <c r="A1005" s="1">
        <v>151</v>
      </c>
      <c r="B1005" s="1" t="s">
        <v>237</v>
      </c>
      <c r="C1005" s="1" t="s">
        <v>238</v>
      </c>
      <c r="D1005" s="1" t="s">
        <v>239</v>
      </c>
      <c r="E1005" s="1" t="s">
        <v>78</v>
      </c>
      <c r="F1005" s="1" t="s">
        <v>65</v>
      </c>
      <c r="G1005" s="1" t="s">
        <v>16</v>
      </c>
      <c r="H1005" s="1" t="s">
        <v>66</v>
      </c>
      <c r="I1005" s="1" t="s">
        <v>60</v>
      </c>
      <c r="J1005" s="1" t="s">
        <v>67</v>
      </c>
      <c r="K1005" s="1" t="s">
        <v>77</v>
      </c>
      <c r="L1005" s="3" t="s">
        <v>79</v>
      </c>
      <c r="M1005" s="3">
        <v>46124</v>
      </c>
      <c r="N1005">
        <f>_xlfn.XLOOKUP(Data[[#This Row],[Status]],Compliance_Status[Status from OPMS],Compliance_Status[Status_Key],"")</f>
        <v>4</v>
      </c>
      <c r="O1005">
        <f>_xlfn.XLOOKUP(Data[[#This Row],[Status]],Compliance_Status[Status from OPMS],Compliance_Status[Has Course booking],"")</f>
        <v>0</v>
      </c>
      <c r="P1005" t="str">
        <f>_xlfn.XLOOKUP(Data[[#This Row],[StatusKey]],Status_Key[Status_Key],Status_Key[Name],"")</f>
        <v>In Date</v>
      </c>
    </row>
    <row r="1006" spans="1:16" x14ac:dyDescent="0.25">
      <c r="A1006" s="1">
        <v>151</v>
      </c>
      <c r="B1006" s="1" t="s">
        <v>237</v>
      </c>
      <c r="C1006" s="1" t="s">
        <v>238</v>
      </c>
      <c r="D1006" s="1" t="s">
        <v>239</v>
      </c>
      <c r="E1006" s="1" t="s">
        <v>80</v>
      </c>
      <c r="F1006" s="1" t="s">
        <v>65</v>
      </c>
      <c r="G1006" s="1" t="s">
        <v>16</v>
      </c>
      <c r="H1006" s="1" t="s">
        <v>66</v>
      </c>
      <c r="I1006" s="1" t="s">
        <v>60</v>
      </c>
      <c r="J1006" s="1" t="s">
        <v>67</v>
      </c>
      <c r="K1006" s="1" t="s">
        <v>77</v>
      </c>
      <c r="L1006" s="3" t="s">
        <v>79</v>
      </c>
      <c r="M1006" s="3">
        <v>46002</v>
      </c>
      <c r="N1006">
        <f>_xlfn.XLOOKUP(Data[[#This Row],[Status]],Compliance_Status[Status from OPMS],Compliance_Status[Status_Key],"")</f>
        <v>4</v>
      </c>
      <c r="O1006">
        <f>_xlfn.XLOOKUP(Data[[#This Row],[Status]],Compliance_Status[Status from OPMS],Compliance_Status[Has Course booking],"")</f>
        <v>0</v>
      </c>
      <c r="P1006" t="str">
        <f>_xlfn.XLOOKUP(Data[[#This Row],[StatusKey]],Status_Key[Status_Key],Status_Key[Name],"")</f>
        <v>In Date</v>
      </c>
    </row>
    <row r="1007" spans="1:16" x14ac:dyDescent="0.25">
      <c r="A1007" s="1">
        <v>151</v>
      </c>
      <c r="B1007" s="1" t="s">
        <v>237</v>
      </c>
      <c r="C1007" s="1" t="s">
        <v>238</v>
      </c>
      <c r="D1007" s="1" t="s">
        <v>239</v>
      </c>
      <c r="E1007" s="1" t="s">
        <v>81</v>
      </c>
      <c r="F1007" s="1" t="s">
        <v>65</v>
      </c>
      <c r="G1007" s="1" t="s">
        <v>16</v>
      </c>
      <c r="H1007" s="1" t="s">
        <v>66</v>
      </c>
      <c r="I1007" s="1" t="s">
        <v>60</v>
      </c>
      <c r="J1007" s="1" t="s">
        <v>67</v>
      </c>
      <c r="K1007" s="1" t="s">
        <v>77</v>
      </c>
      <c r="L1007" s="3">
        <v>46743</v>
      </c>
      <c r="M1007" s="3">
        <v>46013</v>
      </c>
      <c r="N1007">
        <f>_xlfn.XLOOKUP(Data[[#This Row],[Status]],Compliance_Status[Status from OPMS],Compliance_Status[Status_Key],"")</f>
        <v>4</v>
      </c>
      <c r="O1007">
        <f>_xlfn.XLOOKUP(Data[[#This Row],[Status]],Compliance_Status[Status from OPMS],Compliance_Status[Has Course booking],"")</f>
        <v>0</v>
      </c>
      <c r="P1007" t="str">
        <f>_xlfn.XLOOKUP(Data[[#This Row],[StatusKey]],Status_Key[Status_Key],Status_Key[Name],"")</f>
        <v>In Date</v>
      </c>
    </row>
    <row r="1008" spans="1:16" x14ac:dyDescent="0.25">
      <c r="A1008" s="1">
        <v>151</v>
      </c>
      <c r="B1008" s="1" t="s">
        <v>237</v>
      </c>
      <c r="C1008" s="1" t="s">
        <v>238</v>
      </c>
      <c r="D1008" s="1" t="s">
        <v>239</v>
      </c>
      <c r="E1008" s="1" t="s">
        <v>82</v>
      </c>
      <c r="F1008" s="1" t="s">
        <v>65</v>
      </c>
      <c r="G1008" s="1" t="s">
        <v>16</v>
      </c>
      <c r="H1008" s="1" t="s">
        <v>66</v>
      </c>
      <c r="I1008" s="1" t="s">
        <v>60</v>
      </c>
      <c r="J1008" s="1" t="s">
        <v>67</v>
      </c>
      <c r="K1008" s="1" t="s">
        <v>83</v>
      </c>
      <c r="L1008" s="3">
        <v>46743</v>
      </c>
      <c r="M1008" s="3">
        <v>46013</v>
      </c>
      <c r="N1008">
        <f>_xlfn.XLOOKUP(Data[[#This Row],[Status]],Compliance_Status[Status from OPMS],Compliance_Status[Status_Key],"")</f>
        <v>4</v>
      </c>
      <c r="O1008">
        <f>_xlfn.XLOOKUP(Data[[#This Row],[Status]],Compliance_Status[Status from OPMS],Compliance_Status[Has Course booking],"")</f>
        <v>0</v>
      </c>
      <c r="P1008" t="str">
        <f>_xlfn.XLOOKUP(Data[[#This Row],[StatusKey]],Status_Key[Status_Key],Status_Key[Name],"")</f>
        <v>In Date</v>
      </c>
    </row>
    <row r="1009" spans="1:16" x14ac:dyDescent="0.25">
      <c r="A1009" s="1">
        <v>151</v>
      </c>
      <c r="B1009" s="1" t="s">
        <v>237</v>
      </c>
      <c r="C1009" s="1" t="s">
        <v>238</v>
      </c>
      <c r="D1009" s="1" t="s">
        <v>239</v>
      </c>
      <c r="E1009" s="1" t="s">
        <v>84</v>
      </c>
      <c r="F1009" s="1" t="s">
        <v>65</v>
      </c>
      <c r="G1009" s="1" t="s">
        <v>16</v>
      </c>
      <c r="H1009" s="1" t="s">
        <v>66</v>
      </c>
      <c r="I1009" s="1" t="s">
        <v>60</v>
      </c>
      <c r="J1009" s="1" t="s">
        <v>67</v>
      </c>
      <c r="K1009" s="1" t="s">
        <v>83</v>
      </c>
      <c r="L1009" s="3">
        <v>46733</v>
      </c>
      <c r="M1009" s="3">
        <v>46003</v>
      </c>
      <c r="N1009">
        <f>_xlfn.XLOOKUP(Data[[#This Row],[Status]],Compliance_Status[Status from OPMS],Compliance_Status[Status_Key],"")</f>
        <v>4</v>
      </c>
      <c r="O1009">
        <f>_xlfn.XLOOKUP(Data[[#This Row],[Status]],Compliance_Status[Status from OPMS],Compliance_Status[Has Course booking],"")</f>
        <v>0</v>
      </c>
      <c r="P1009" t="str">
        <f>_xlfn.XLOOKUP(Data[[#This Row],[StatusKey]],Status_Key[Status_Key],Status_Key[Name],"")</f>
        <v>In Date</v>
      </c>
    </row>
    <row r="1010" spans="1:16" x14ac:dyDescent="0.25">
      <c r="A1010" s="1">
        <v>151</v>
      </c>
      <c r="B1010" s="1" t="s">
        <v>237</v>
      </c>
      <c r="C1010" s="1" t="s">
        <v>238</v>
      </c>
      <c r="D1010" s="1" t="s">
        <v>239</v>
      </c>
      <c r="E1010" s="1" t="s">
        <v>85</v>
      </c>
      <c r="F1010" s="1" t="s">
        <v>65</v>
      </c>
      <c r="G1010" s="1" t="s">
        <v>16</v>
      </c>
      <c r="H1010" s="1" t="s">
        <v>66</v>
      </c>
      <c r="I1010" s="1" t="s">
        <v>60</v>
      </c>
      <c r="J1010" s="1" t="s">
        <v>123</v>
      </c>
      <c r="K1010" s="1" t="s">
        <v>86</v>
      </c>
      <c r="L1010" s="3" t="s">
        <v>79</v>
      </c>
      <c r="M1010" s="3">
        <v>45425</v>
      </c>
      <c r="N1010">
        <f>_xlfn.XLOOKUP(Data[[#This Row],[Status]],Compliance_Status[Status from OPMS],Compliance_Status[Status_Key],"")</f>
        <v>4</v>
      </c>
      <c r="O1010">
        <f>_xlfn.XLOOKUP(Data[[#This Row],[Status]],Compliance_Status[Status from OPMS],Compliance_Status[Has Course booking],"")</f>
        <v>0</v>
      </c>
      <c r="P1010" t="str">
        <f>_xlfn.XLOOKUP(Data[[#This Row],[StatusKey]],Status_Key[Status_Key],Status_Key[Name],"")</f>
        <v>In Date</v>
      </c>
    </row>
    <row r="1011" spans="1:16" x14ac:dyDescent="0.25">
      <c r="A1011" s="1">
        <v>151</v>
      </c>
      <c r="B1011" s="1" t="s">
        <v>237</v>
      </c>
      <c r="C1011" s="1" t="s">
        <v>238</v>
      </c>
      <c r="D1011" s="1" t="s">
        <v>239</v>
      </c>
      <c r="E1011" s="1" t="s">
        <v>87</v>
      </c>
      <c r="F1011" s="1" t="s">
        <v>65</v>
      </c>
      <c r="G1011" s="1" t="s">
        <v>16</v>
      </c>
      <c r="H1011" s="1" t="s">
        <v>66</v>
      </c>
      <c r="I1011" s="1" t="s">
        <v>60</v>
      </c>
      <c r="J1011" s="1" t="s">
        <v>67</v>
      </c>
      <c r="K1011" s="1" t="s">
        <v>86</v>
      </c>
      <c r="L1011" s="3" t="s">
        <v>79</v>
      </c>
      <c r="M1011" s="3">
        <v>45345</v>
      </c>
      <c r="N1011">
        <f>_xlfn.XLOOKUP(Data[[#This Row],[Status]],Compliance_Status[Status from OPMS],Compliance_Status[Status_Key],"")</f>
        <v>4</v>
      </c>
      <c r="O1011">
        <f>_xlfn.XLOOKUP(Data[[#This Row],[Status]],Compliance_Status[Status from OPMS],Compliance_Status[Has Course booking],"")</f>
        <v>0</v>
      </c>
      <c r="P1011" t="str">
        <f>_xlfn.XLOOKUP(Data[[#This Row],[StatusKey]],Status_Key[Status_Key],Status_Key[Name],"")</f>
        <v>In Date</v>
      </c>
    </row>
    <row r="1012" spans="1:16" x14ac:dyDescent="0.25">
      <c r="A1012" s="1">
        <v>151</v>
      </c>
      <c r="B1012" s="1" t="s">
        <v>237</v>
      </c>
      <c r="C1012" s="1" t="s">
        <v>238</v>
      </c>
      <c r="D1012" s="1" t="s">
        <v>239</v>
      </c>
      <c r="E1012" s="1" t="s">
        <v>88</v>
      </c>
      <c r="F1012" s="1" t="s">
        <v>65</v>
      </c>
      <c r="G1012" s="1" t="s">
        <v>16</v>
      </c>
      <c r="H1012" s="1" t="s">
        <v>66</v>
      </c>
      <c r="I1012" s="1" t="s">
        <v>60</v>
      </c>
      <c r="J1012" s="1" t="s">
        <v>67</v>
      </c>
      <c r="K1012" s="1" t="s">
        <v>86</v>
      </c>
      <c r="L1012" s="3" t="s">
        <v>79</v>
      </c>
      <c r="M1012" s="3">
        <v>45352</v>
      </c>
      <c r="N1012">
        <f>_xlfn.XLOOKUP(Data[[#This Row],[Status]],Compliance_Status[Status from OPMS],Compliance_Status[Status_Key],"")</f>
        <v>4</v>
      </c>
      <c r="O1012">
        <f>_xlfn.XLOOKUP(Data[[#This Row],[Status]],Compliance_Status[Status from OPMS],Compliance_Status[Has Course booking],"")</f>
        <v>0</v>
      </c>
      <c r="P1012" t="str">
        <f>_xlfn.XLOOKUP(Data[[#This Row],[StatusKey]],Status_Key[Status_Key],Status_Key[Name],"")</f>
        <v>In Date</v>
      </c>
    </row>
    <row r="1013" spans="1:16" x14ac:dyDescent="0.25">
      <c r="A1013" s="1">
        <v>151</v>
      </c>
      <c r="B1013" s="1" t="s">
        <v>237</v>
      </c>
      <c r="C1013" s="1" t="s">
        <v>238</v>
      </c>
      <c r="D1013" s="1" t="s">
        <v>239</v>
      </c>
      <c r="E1013" s="1" t="s">
        <v>89</v>
      </c>
      <c r="F1013" s="1" t="s">
        <v>65</v>
      </c>
      <c r="G1013" s="1" t="s">
        <v>16</v>
      </c>
      <c r="H1013" s="1" t="s">
        <v>66</v>
      </c>
      <c r="I1013" s="1" t="s">
        <v>60</v>
      </c>
      <c r="J1013" s="1" t="s">
        <v>67</v>
      </c>
      <c r="K1013" s="1" t="s">
        <v>86</v>
      </c>
      <c r="L1013" s="3" t="s">
        <v>79</v>
      </c>
      <c r="M1013" s="3">
        <v>45493</v>
      </c>
      <c r="N1013">
        <f>_xlfn.XLOOKUP(Data[[#This Row],[Status]],Compliance_Status[Status from OPMS],Compliance_Status[Status_Key],"")</f>
        <v>4</v>
      </c>
      <c r="O1013">
        <f>_xlfn.XLOOKUP(Data[[#This Row],[Status]],Compliance_Status[Status from OPMS],Compliance_Status[Has Course booking],"")</f>
        <v>0</v>
      </c>
      <c r="P1013" t="str">
        <f>_xlfn.XLOOKUP(Data[[#This Row],[StatusKey]],Status_Key[Status_Key],Status_Key[Name],"")</f>
        <v>In Date</v>
      </c>
    </row>
    <row r="1014" spans="1:16" x14ac:dyDescent="0.25">
      <c r="A1014" s="1">
        <v>151</v>
      </c>
      <c r="B1014" s="1" t="s">
        <v>237</v>
      </c>
      <c r="C1014" s="1" t="s">
        <v>238</v>
      </c>
      <c r="D1014" s="1" t="s">
        <v>239</v>
      </c>
      <c r="E1014" s="1" t="s">
        <v>90</v>
      </c>
      <c r="F1014" s="1" t="s">
        <v>65</v>
      </c>
      <c r="G1014" s="1" t="s">
        <v>16</v>
      </c>
      <c r="H1014" s="1" t="s">
        <v>66</v>
      </c>
      <c r="I1014" s="1" t="s">
        <v>60</v>
      </c>
      <c r="J1014" s="1" t="s">
        <v>67</v>
      </c>
      <c r="K1014" s="1" t="s">
        <v>86</v>
      </c>
      <c r="L1014" s="3" t="s">
        <v>79</v>
      </c>
      <c r="M1014" s="3">
        <v>45493</v>
      </c>
      <c r="N1014">
        <f>_xlfn.XLOOKUP(Data[[#This Row],[Status]],Compliance_Status[Status from OPMS],Compliance_Status[Status_Key],"")</f>
        <v>4</v>
      </c>
      <c r="O1014">
        <f>_xlfn.XLOOKUP(Data[[#This Row],[Status]],Compliance_Status[Status from OPMS],Compliance_Status[Has Course booking],"")</f>
        <v>0</v>
      </c>
      <c r="P1014" t="str">
        <f>_xlfn.XLOOKUP(Data[[#This Row],[StatusKey]],Status_Key[Status_Key],Status_Key[Name],"")</f>
        <v>In Date</v>
      </c>
    </row>
    <row r="1015" spans="1:16" x14ac:dyDescent="0.25">
      <c r="A1015" s="1">
        <v>151</v>
      </c>
      <c r="B1015" s="1" t="s">
        <v>237</v>
      </c>
      <c r="C1015" s="1" t="s">
        <v>238</v>
      </c>
      <c r="D1015" s="1" t="s">
        <v>239</v>
      </c>
      <c r="E1015" s="1" t="s">
        <v>91</v>
      </c>
      <c r="F1015" s="1" t="s">
        <v>65</v>
      </c>
      <c r="G1015" s="1" t="s">
        <v>16</v>
      </c>
      <c r="H1015" s="1" t="s">
        <v>66</v>
      </c>
      <c r="I1015" s="1" t="s">
        <v>60</v>
      </c>
      <c r="J1015" s="1" t="s">
        <v>67</v>
      </c>
      <c r="K1015" s="1" t="s">
        <v>86</v>
      </c>
      <c r="L1015" s="3" t="s">
        <v>79</v>
      </c>
      <c r="M1015" s="3">
        <v>46160</v>
      </c>
      <c r="N1015">
        <f>_xlfn.XLOOKUP(Data[[#This Row],[Status]],Compliance_Status[Status from OPMS],Compliance_Status[Status_Key],"")</f>
        <v>4</v>
      </c>
      <c r="O1015">
        <f>_xlfn.XLOOKUP(Data[[#This Row],[Status]],Compliance_Status[Status from OPMS],Compliance_Status[Has Course booking],"")</f>
        <v>0</v>
      </c>
      <c r="P1015" t="str">
        <f>_xlfn.XLOOKUP(Data[[#This Row],[StatusKey]],Status_Key[Status_Key],Status_Key[Name],"")</f>
        <v>In Date</v>
      </c>
    </row>
    <row r="1016" spans="1:16" x14ac:dyDescent="0.25">
      <c r="A1016" s="1">
        <v>151</v>
      </c>
      <c r="B1016" s="1" t="s">
        <v>237</v>
      </c>
      <c r="C1016" s="1" t="s">
        <v>238</v>
      </c>
      <c r="D1016" s="1" t="s">
        <v>239</v>
      </c>
      <c r="E1016" s="1" t="s">
        <v>92</v>
      </c>
      <c r="F1016" s="1" t="s">
        <v>65</v>
      </c>
      <c r="G1016" s="1" t="s">
        <v>16</v>
      </c>
      <c r="H1016" s="1" t="s">
        <v>66</v>
      </c>
      <c r="I1016" s="1" t="s">
        <v>60</v>
      </c>
      <c r="J1016" s="1" t="s">
        <v>67</v>
      </c>
      <c r="K1016" s="1" t="s">
        <v>86</v>
      </c>
      <c r="L1016" s="3">
        <v>46930</v>
      </c>
      <c r="M1016" s="3">
        <v>46199</v>
      </c>
      <c r="N1016">
        <f>_xlfn.XLOOKUP(Data[[#This Row],[Status]],Compliance_Status[Status from OPMS],Compliance_Status[Status_Key],"")</f>
        <v>4</v>
      </c>
      <c r="O1016">
        <f>_xlfn.XLOOKUP(Data[[#This Row],[Status]],Compliance_Status[Status from OPMS],Compliance_Status[Has Course booking],"")</f>
        <v>0</v>
      </c>
      <c r="P1016" t="str">
        <f>_xlfn.XLOOKUP(Data[[#This Row],[StatusKey]],Status_Key[Status_Key],Status_Key[Name],"")</f>
        <v>In Date</v>
      </c>
    </row>
    <row r="1017" spans="1:16" x14ac:dyDescent="0.25">
      <c r="A1017" s="1">
        <v>151</v>
      </c>
      <c r="B1017" s="1" t="s">
        <v>237</v>
      </c>
      <c r="C1017" s="1" t="s">
        <v>238</v>
      </c>
      <c r="D1017" s="1" t="s">
        <v>239</v>
      </c>
      <c r="E1017" s="1" t="s">
        <v>93</v>
      </c>
      <c r="F1017" s="1" t="s">
        <v>65</v>
      </c>
      <c r="G1017" s="1" t="s">
        <v>16</v>
      </c>
      <c r="H1017" s="1" t="s">
        <v>66</v>
      </c>
      <c r="I1017" s="1" t="s">
        <v>60</v>
      </c>
      <c r="J1017" s="1" t="s">
        <v>67</v>
      </c>
      <c r="K1017" s="1" t="s">
        <v>94</v>
      </c>
      <c r="L1017" s="3">
        <v>46721</v>
      </c>
      <c r="M1017" s="3">
        <v>45991</v>
      </c>
      <c r="N1017">
        <f>_xlfn.XLOOKUP(Data[[#This Row],[Status]],Compliance_Status[Status from OPMS],Compliance_Status[Status_Key],"")</f>
        <v>4</v>
      </c>
      <c r="O1017">
        <f>_xlfn.XLOOKUP(Data[[#This Row],[Status]],Compliance_Status[Status from OPMS],Compliance_Status[Has Course booking],"")</f>
        <v>0</v>
      </c>
      <c r="P1017" t="str">
        <f>_xlfn.XLOOKUP(Data[[#This Row],[StatusKey]],Status_Key[Status_Key],Status_Key[Name],"")</f>
        <v>In Date</v>
      </c>
    </row>
    <row r="1018" spans="1:16" x14ac:dyDescent="0.25">
      <c r="A1018" s="1">
        <v>151</v>
      </c>
      <c r="B1018" s="1" t="s">
        <v>237</v>
      </c>
      <c r="C1018" s="1" t="s">
        <v>238</v>
      </c>
      <c r="D1018" s="1" t="s">
        <v>239</v>
      </c>
      <c r="E1018" s="1" t="s">
        <v>95</v>
      </c>
      <c r="F1018" s="1" t="s">
        <v>65</v>
      </c>
      <c r="G1018" s="1" t="s">
        <v>16</v>
      </c>
      <c r="H1018" s="1" t="s">
        <v>66</v>
      </c>
      <c r="I1018" s="1" t="s">
        <v>60</v>
      </c>
      <c r="J1018" s="1" t="s">
        <v>67</v>
      </c>
      <c r="K1018" s="1" t="s">
        <v>94</v>
      </c>
      <c r="L1018" s="3">
        <v>46721</v>
      </c>
      <c r="M1018" s="3">
        <v>45991</v>
      </c>
      <c r="N1018">
        <f>_xlfn.XLOOKUP(Data[[#This Row],[Status]],Compliance_Status[Status from OPMS],Compliance_Status[Status_Key],"")</f>
        <v>4</v>
      </c>
      <c r="O1018">
        <f>_xlfn.XLOOKUP(Data[[#This Row],[Status]],Compliance_Status[Status from OPMS],Compliance_Status[Has Course booking],"")</f>
        <v>0</v>
      </c>
      <c r="P1018" t="str">
        <f>_xlfn.XLOOKUP(Data[[#This Row],[StatusKey]],Status_Key[Status_Key],Status_Key[Name],"")</f>
        <v>In Date</v>
      </c>
    </row>
    <row r="1019" spans="1:16" x14ac:dyDescent="0.25">
      <c r="A1019" s="1">
        <v>151</v>
      </c>
      <c r="B1019" s="1" t="s">
        <v>237</v>
      </c>
      <c r="C1019" s="1" t="s">
        <v>238</v>
      </c>
      <c r="D1019" s="1" t="s">
        <v>239</v>
      </c>
      <c r="E1019" s="1" t="s">
        <v>96</v>
      </c>
      <c r="F1019" s="1" t="s">
        <v>65</v>
      </c>
      <c r="G1019" s="1" t="s">
        <v>16</v>
      </c>
      <c r="H1019" s="1" t="s">
        <v>66</v>
      </c>
      <c r="I1019" s="1" t="s">
        <v>60</v>
      </c>
      <c r="J1019" s="1" t="s">
        <v>67</v>
      </c>
      <c r="K1019" s="1" t="s">
        <v>94</v>
      </c>
      <c r="L1019" s="3" t="s">
        <v>79</v>
      </c>
      <c r="M1019" s="3">
        <v>45730</v>
      </c>
      <c r="N1019">
        <f>_xlfn.XLOOKUP(Data[[#This Row],[Status]],Compliance_Status[Status from OPMS],Compliance_Status[Status_Key],"")</f>
        <v>4</v>
      </c>
      <c r="O1019">
        <f>_xlfn.XLOOKUP(Data[[#This Row],[Status]],Compliance_Status[Status from OPMS],Compliance_Status[Has Course booking],"")</f>
        <v>0</v>
      </c>
      <c r="P1019" t="str">
        <f>_xlfn.XLOOKUP(Data[[#This Row],[StatusKey]],Status_Key[Status_Key],Status_Key[Name],"")</f>
        <v>In Date</v>
      </c>
    </row>
    <row r="1020" spans="1:16" x14ac:dyDescent="0.25">
      <c r="A1020" s="1">
        <v>151</v>
      </c>
      <c r="B1020" s="1" t="s">
        <v>237</v>
      </c>
      <c r="C1020" s="1" t="s">
        <v>238</v>
      </c>
      <c r="D1020" s="1" t="s">
        <v>239</v>
      </c>
      <c r="E1020" s="1" t="s">
        <v>97</v>
      </c>
      <c r="F1020" s="1" t="s">
        <v>65</v>
      </c>
      <c r="G1020" s="1" t="s">
        <v>16</v>
      </c>
      <c r="H1020" s="1" t="s">
        <v>66</v>
      </c>
      <c r="I1020" s="1" t="s">
        <v>60</v>
      </c>
      <c r="J1020" s="1" t="s">
        <v>67</v>
      </c>
      <c r="K1020" s="1" t="s">
        <v>98</v>
      </c>
      <c r="L1020" s="3">
        <v>47251</v>
      </c>
      <c r="M1020" s="3">
        <v>45425</v>
      </c>
      <c r="N1020">
        <f>_xlfn.XLOOKUP(Data[[#This Row],[Status]],Compliance_Status[Status from OPMS],Compliance_Status[Status_Key],"")</f>
        <v>4</v>
      </c>
      <c r="O1020">
        <f>_xlfn.XLOOKUP(Data[[#This Row],[Status]],Compliance_Status[Status from OPMS],Compliance_Status[Has Course booking],"")</f>
        <v>0</v>
      </c>
      <c r="P1020" t="str">
        <f>_xlfn.XLOOKUP(Data[[#This Row],[StatusKey]],Status_Key[Status_Key],Status_Key[Name],"")</f>
        <v>In Date</v>
      </c>
    </row>
    <row r="1021" spans="1:16" x14ac:dyDescent="0.25">
      <c r="A1021" s="1">
        <v>151</v>
      </c>
      <c r="B1021" s="1" t="s">
        <v>237</v>
      </c>
      <c r="C1021" s="1" t="s">
        <v>238</v>
      </c>
      <c r="D1021" s="1" t="s">
        <v>239</v>
      </c>
      <c r="E1021" s="1" t="s">
        <v>99</v>
      </c>
      <c r="F1021" s="1" t="s">
        <v>65</v>
      </c>
      <c r="G1021" s="1" t="s">
        <v>16</v>
      </c>
      <c r="H1021" s="1" t="s">
        <v>66</v>
      </c>
      <c r="I1021" s="1" t="s">
        <v>60</v>
      </c>
      <c r="J1021" s="1" t="s">
        <v>67</v>
      </c>
      <c r="K1021" s="1" t="s">
        <v>98</v>
      </c>
      <c r="L1021" s="3">
        <v>47032</v>
      </c>
      <c r="M1021" s="3">
        <v>45937</v>
      </c>
      <c r="N1021">
        <f>_xlfn.XLOOKUP(Data[[#This Row],[Status]],Compliance_Status[Status from OPMS],Compliance_Status[Status_Key],"")</f>
        <v>4</v>
      </c>
      <c r="O1021">
        <f>_xlfn.XLOOKUP(Data[[#This Row],[Status]],Compliance_Status[Status from OPMS],Compliance_Status[Has Course booking],"")</f>
        <v>0</v>
      </c>
      <c r="P1021" t="str">
        <f>_xlfn.XLOOKUP(Data[[#This Row],[StatusKey]],Status_Key[Status_Key],Status_Key[Name],"")</f>
        <v>In Date</v>
      </c>
    </row>
    <row r="1022" spans="1:16" x14ac:dyDescent="0.25">
      <c r="A1022" s="1">
        <v>151</v>
      </c>
      <c r="B1022" s="1" t="s">
        <v>237</v>
      </c>
      <c r="C1022" s="1" t="s">
        <v>238</v>
      </c>
      <c r="D1022" s="1" t="s">
        <v>239</v>
      </c>
      <c r="E1022" s="1" t="s">
        <v>100</v>
      </c>
      <c r="F1022" s="1" t="s">
        <v>65</v>
      </c>
      <c r="G1022" s="1" t="s">
        <v>16</v>
      </c>
      <c r="H1022" s="1" t="s">
        <v>66</v>
      </c>
      <c r="I1022" s="1" t="s">
        <v>60</v>
      </c>
      <c r="J1022" s="1" t="s">
        <v>67</v>
      </c>
      <c r="K1022" s="1" t="s">
        <v>98</v>
      </c>
      <c r="L1022" s="3">
        <v>47032</v>
      </c>
      <c r="M1022" s="3">
        <v>45937</v>
      </c>
      <c r="N1022">
        <f>_xlfn.XLOOKUP(Data[[#This Row],[Status]],Compliance_Status[Status from OPMS],Compliance_Status[Status_Key],"")</f>
        <v>4</v>
      </c>
      <c r="O1022">
        <f>_xlfn.XLOOKUP(Data[[#This Row],[Status]],Compliance_Status[Status from OPMS],Compliance_Status[Has Course booking],"")</f>
        <v>0</v>
      </c>
      <c r="P1022" t="str">
        <f>_xlfn.XLOOKUP(Data[[#This Row],[StatusKey]],Status_Key[Status_Key],Status_Key[Name],"")</f>
        <v>In Date</v>
      </c>
    </row>
    <row r="1023" spans="1:16" x14ac:dyDescent="0.25">
      <c r="A1023" s="1">
        <v>151</v>
      </c>
      <c r="B1023" s="1" t="s">
        <v>237</v>
      </c>
      <c r="C1023" s="1" t="s">
        <v>238</v>
      </c>
      <c r="D1023" s="1" t="s">
        <v>239</v>
      </c>
      <c r="E1023" s="1" t="s">
        <v>101</v>
      </c>
      <c r="F1023" s="1" t="s">
        <v>65</v>
      </c>
      <c r="G1023" s="1" t="s">
        <v>16</v>
      </c>
      <c r="H1023" s="1" t="s">
        <v>66</v>
      </c>
      <c r="I1023" s="1" t="s">
        <v>60</v>
      </c>
      <c r="J1023" s="1" t="s">
        <v>67</v>
      </c>
      <c r="K1023" s="1" t="s">
        <v>102</v>
      </c>
      <c r="L1023" s="3" t="s">
        <v>79</v>
      </c>
      <c r="M1023" s="3">
        <v>45431</v>
      </c>
      <c r="N1023">
        <f>_xlfn.XLOOKUP(Data[[#This Row],[Status]],Compliance_Status[Status from OPMS],Compliance_Status[Status_Key],"")</f>
        <v>4</v>
      </c>
      <c r="O1023">
        <f>_xlfn.XLOOKUP(Data[[#This Row],[Status]],Compliance_Status[Status from OPMS],Compliance_Status[Has Course booking],"")</f>
        <v>0</v>
      </c>
      <c r="P1023" t="str">
        <f>_xlfn.XLOOKUP(Data[[#This Row],[StatusKey]],Status_Key[Status_Key],Status_Key[Name],"")</f>
        <v>In Date</v>
      </c>
    </row>
    <row r="1024" spans="1:16" x14ac:dyDescent="0.25">
      <c r="A1024" s="1">
        <v>151</v>
      </c>
      <c r="B1024" s="1" t="s">
        <v>237</v>
      </c>
      <c r="C1024" s="1" t="s">
        <v>238</v>
      </c>
      <c r="D1024" s="1" t="s">
        <v>239</v>
      </c>
      <c r="E1024" s="1" t="s">
        <v>103</v>
      </c>
      <c r="F1024" s="1" t="s">
        <v>65</v>
      </c>
      <c r="G1024" s="1" t="s">
        <v>16</v>
      </c>
      <c r="H1024" s="1" t="s">
        <v>66</v>
      </c>
      <c r="I1024" s="1" t="s">
        <v>60</v>
      </c>
      <c r="J1024" s="1" t="s">
        <v>67</v>
      </c>
      <c r="K1024" s="1" t="s">
        <v>102</v>
      </c>
      <c r="L1024" s="3">
        <v>46731</v>
      </c>
      <c r="M1024" s="3">
        <v>46001</v>
      </c>
      <c r="N1024">
        <f>_xlfn.XLOOKUP(Data[[#This Row],[Status]],Compliance_Status[Status from OPMS],Compliance_Status[Status_Key],"")</f>
        <v>4</v>
      </c>
      <c r="O1024">
        <f>_xlfn.XLOOKUP(Data[[#This Row],[Status]],Compliance_Status[Status from OPMS],Compliance_Status[Has Course booking],"")</f>
        <v>0</v>
      </c>
      <c r="P1024" t="str">
        <f>_xlfn.XLOOKUP(Data[[#This Row],[StatusKey]],Status_Key[Status_Key],Status_Key[Name],"")</f>
        <v>In Date</v>
      </c>
    </row>
    <row r="1025" spans="1:16" x14ac:dyDescent="0.25">
      <c r="A1025" s="1">
        <v>151</v>
      </c>
      <c r="B1025" s="1" t="s">
        <v>237</v>
      </c>
      <c r="C1025" s="1" t="s">
        <v>238</v>
      </c>
      <c r="D1025" s="1" t="s">
        <v>239</v>
      </c>
      <c r="E1025" s="1" t="s">
        <v>104</v>
      </c>
      <c r="F1025" s="1" t="s">
        <v>65</v>
      </c>
      <c r="G1025" s="1" t="s">
        <v>16</v>
      </c>
      <c r="H1025" s="1" t="s">
        <v>66</v>
      </c>
      <c r="I1025" s="1" t="s">
        <v>60</v>
      </c>
      <c r="J1025" s="1" t="s">
        <v>67</v>
      </c>
      <c r="K1025" s="1" t="s">
        <v>105</v>
      </c>
      <c r="L1025" s="3">
        <v>46721</v>
      </c>
      <c r="M1025" s="3">
        <v>45991</v>
      </c>
      <c r="N1025">
        <f>_xlfn.XLOOKUP(Data[[#This Row],[Status]],Compliance_Status[Status from OPMS],Compliance_Status[Status_Key],"")</f>
        <v>4</v>
      </c>
      <c r="O1025">
        <f>_xlfn.XLOOKUP(Data[[#This Row],[Status]],Compliance_Status[Status from OPMS],Compliance_Status[Has Course booking],"")</f>
        <v>0</v>
      </c>
      <c r="P1025" t="str">
        <f>_xlfn.XLOOKUP(Data[[#This Row],[StatusKey]],Status_Key[Status_Key],Status_Key[Name],"")</f>
        <v>In Date</v>
      </c>
    </row>
    <row r="1026" spans="1:16" x14ac:dyDescent="0.25">
      <c r="A1026" s="1">
        <v>151</v>
      </c>
      <c r="B1026" s="1" t="s">
        <v>237</v>
      </c>
      <c r="C1026" s="1" t="s">
        <v>238</v>
      </c>
      <c r="D1026" s="1" t="s">
        <v>239</v>
      </c>
      <c r="E1026" s="1" t="s">
        <v>106</v>
      </c>
      <c r="F1026" s="1" t="s">
        <v>65</v>
      </c>
      <c r="G1026" s="1" t="s">
        <v>16</v>
      </c>
      <c r="H1026" s="1" t="s">
        <v>66</v>
      </c>
      <c r="I1026" s="1" t="s">
        <v>60</v>
      </c>
      <c r="J1026" s="1" t="s">
        <v>67</v>
      </c>
      <c r="K1026" s="1" t="s">
        <v>105</v>
      </c>
      <c r="L1026" s="3">
        <v>47251</v>
      </c>
      <c r="M1026" s="3">
        <v>45425</v>
      </c>
      <c r="N1026">
        <f>_xlfn.XLOOKUP(Data[[#This Row],[Status]],Compliance_Status[Status from OPMS],Compliance_Status[Status_Key],"")</f>
        <v>4</v>
      </c>
      <c r="O1026">
        <f>_xlfn.XLOOKUP(Data[[#This Row],[Status]],Compliance_Status[Status from OPMS],Compliance_Status[Has Course booking],"")</f>
        <v>0</v>
      </c>
      <c r="P1026" t="str">
        <f>_xlfn.XLOOKUP(Data[[#This Row],[StatusKey]],Status_Key[Status_Key],Status_Key[Name],"")</f>
        <v>In Date</v>
      </c>
    </row>
    <row r="1027" spans="1:16" x14ac:dyDescent="0.25">
      <c r="A1027" s="1">
        <v>151</v>
      </c>
      <c r="B1027" s="1" t="s">
        <v>237</v>
      </c>
      <c r="C1027" s="1" t="s">
        <v>238</v>
      </c>
      <c r="D1027" s="1" t="s">
        <v>239</v>
      </c>
      <c r="E1027" s="1" t="s">
        <v>107</v>
      </c>
      <c r="F1027" s="1" t="s">
        <v>65</v>
      </c>
      <c r="G1027" s="1" t="s">
        <v>16</v>
      </c>
      <c r="H1027" s="1" t="s">
        <v>66</v>
      </c>
      <c r="I1027" s="1" t="s">
        <v>60</v>
      </c>
      <c r="J1027" s="1" t="s">
        <v>67</v>
      </c>
      <c r="K1027" s="1" t="s">
        <v>105</v>
      </c>
      <c r="L1027" s="3">
        <v>46520</v>
      </c>
      <c r="M1027" s="3">
        <v>45425</v>
      </c>
      <c r="N1027">
        <f>_xlfn.XLOOKUP(Data[[#This Row],[Status]],Compliance_Status[Status from OPMS],Compliance_Status[Status_Key],"")</f>
        <v>4</v>
      </c>
      <c r="O1027">
        <f>_xlfn.XLOOKUP(Data[[#This Row],[Status]],Compliance_Status[Status from OPMS],Compliance_Status[Has Course booking],"")</f>
        <v>0</v>
      </c>
      <c r="P1027" t="str">
        <f>_xlfn.XLOOKUP(Data[[#This Row],[StatusKey]],Status_Key[Status_Key],Status_Key[Name],"")</f>
        <v>In Date</v>
      </c>
    </row>
    <row r="1028" spans="1:16" x14ac:dyDescent="0.25">
      <c r="A1028" s="1">
        <v>151</v>
      </c>
      <c r="B1028" s="1" t="s">
        <v>237</v>
      </c>
      <c r="C1028" s="1" t="s">
        <v>238</v>
      </c>
      <c r="D1028" s="1" t="s">
        <v>239</v>
      </c>
      <c r="E1028" s="1" t="s">
        <v>108</v>
      </c>
      <c r="F1028" s="1" t="s">
        <v>65</v>
      </c>
      <c r="G1028" s="1" t="s">
        <v>24</v>
      </c>
      <c r="H1028" s="1" t="s">
        <v>66</v>
      </c>
      <c r="I1028" s="1" t="s">
        <v>60</v>
      </c>
      <c r="J1028" s="1" t="s">
        <v>67</v>
      </c>
      <c r="K1028" s="1" t="s">
        <v>105</v>
      </c>
      <c r="L1028" s="3">
        <v>46260</v>
      </c>
      <c r="M1028" s="3">
        <v>45530</v>
      </c>
      <c r="N1028">
        <f>_xlfn.XLOOKUP(Data[[#This Row],[Status]],Compliance_Status[Status from OPMS],Compliance_Status[Status_Key],"")</f>
        <v>3</v>
      </c>
      <c r="O1028">
        <f>_xlfn.XLOOKUP(Data[[#This Row],[Status]],Compliance_Status[Status from OPMS],Compliance_Status[Has Course booking],"")</f>
        <v>0</v>
      </c>
      <c r="P1028" t="str">
        <f>_xlfn.XLOOKUP(Data[[#This Row],[StatusKey]],Status_Key[Status_Key],Status_Key[Name],"")</f>
        <v>About to expire</v>
      </c>
    </row>
    <row r="1029" spans="1:16" x14ac:dyDescent="0.25">
      <c r="A1029" s="1">
        <v>151</v>
      </c>
      <c r="B1029" s="1" t="s">
        <v>237</v>
      </c>
      <c r="C1029" s="1" t="s">
        <v>238</v>
      </c>
      <c r="D1029" s="1" t="s">
        <v>239</v>
      </c>
      <c r="E1029" s="1" t="s">
        <v>109</v>
      </c>
      <c r="F1029" s="1" t="s">
        <v>65</v>
      </c>
      <c r="G1029" s="1" t="s">
        <v>16</v>
      </c>
      <c r="H1029" s="1" t="s">
        <v>66</v>
      </c>
      <c r="I1029" s="1" t="s">
        <v>60</v>
      </c>
      <c r="J1029" s="1" t="s">
        <v>67</v>
      </c>
      <c r="K1029" s="1" t="s">
        <v>105</v>
      </c>
      <c r="L1029" s="3">
        <v>46721</v>
      </c>
      <c r="M1029" s="3">
        <v>45991</v>
      </c>
      <c r="N1029">
        <f>_xlfn.XLOOKUP(Data[[#This Row],[Status]],Compliance_Status[Status from OPMS],Compliance_Status[Status_Key],"")</f>
        <v>4</v>
      </c>
      <c r="O1029">
        <f>_xlfn.XLOOKUP(Data[[#This Row],[Status]],Compliance_Status[Status from OPMS],Compliance_Status[Has Course booking],"")</f>
        <v>0</v>
      </c>
      <c r="P1029" t="str">
        <f>_xlfn.XLOOKUP(Data[[#This Row],[StatusKey]],Status_Key[Status_Key],Status_Key[Name],"")</f>
        <v>In Date</v>
      </c>
    </row>
    <row r="1030" spans="1:16" x14ac:dyDescent="0.25">
      <c r="A1030" s="1">
        <v>151</v>
      </c>
      <c r="B1030" s="1" t="s">
        <v>237</v>
      </c>
      <c r="C1030" s="1" t="s">
        <v>238</v>
      </c>
      <c r="D1030" s="1" t="s">
        <v>239</v>
      </c>
      <c r="E1030" s="1" t="s">
        <v>110</v>
      </c>
      <c r="F1030" s="1" t="s">
        <v>65</v>
      </c>
      <c r="G1030" s="1" t="s">
        <v>16</v>
      </c>
      <c r="H1030" s="1" t="s">
        <v>66</v>
      </c>
      <c r="I1030" s="1" t="s">
        <v>60</v>
      </c>
      <c r="J1030" s="1" t="s">
        <v>67</v>
      </c>
      <c r="K1030" s="1" t="s">
        <v>105</v>
      </c>
      <c r="L1030" s="3" t="s">
        <v>79</v>
      </c>
      <c r="M1030" s="3">
        <v>45425</v>
      </c>
      <c r="N1030">
        <f>_xlfn.XLOOKUP(Data[[#This Row],[Status]],Compliance_Status[Status from OPMS],Compliance_Status[Status_Key],"")</f>
        <v>4</v>
      </c>
      <c r="O1030">
        <f>_xlfn.XLOOKUP(Data[[#This Row],[Status]],Compliance_Status[Status from OPMS],Compliance_Status[Has Course booking],"")</f>
        <v>0</v>
      </c>
      <c r="P1030" t="str">
        <f>_xlfn.XLOOKUP(Data[[#This Row],[StatusKey]],Status_Key[Status_Key],Status_Key[Name],"")</f>
        <v>In Date</v>
      </c>
    </row>
    <row r="1031" spans="1:16" x14ac:dyDescent="0.25">
      <c r="A1031" s="1">
        <v>151</v>
      </c>
      <c r="B1031" s="1" t="s">
        <v>237</v>
      </c>
      <c r="C1031" s="1" t="s">
        <v>238</v>
      </c>
      <c r="D1031" s="1" t="s">
        <v>239</v>
      </c>
      <c r="E1031" s="1" t="s">
        <v>111</v>
      </c>
      <c r="F1031" s="1" t="s">
        <v>65</v>
      </c>
      <c r="G1031" s="1" t="s">
        <v>16</v>
      </c>
      <c r="H1031" s="1" t="s">
        <v>66</v>
      </c>
      <c r="I1031" s="1" t="s">
        <v>60</v>
      </c>
      <c r="J1031" s="1" t="s">
        <v>67</v>
      </c>
      <c r="K1031" s="1" t="s">
        <v>105</v>
      </c>
      <c r="L1031" s="3">
        <v>46721</v>
      </c>
      <c r="M1031" s="3">
        <v>45991</v>
      </c>
      <c r="N1031">
        <f>_xlfn.XLOOKUP(Data[[#This Row],[Status]],Compliance_Status[Status from OPMS],Compliance_Status[Status_Key],"")</f>
        <v>4</v>
      </c>
      <c r="O1031">
        <f>_xlfn.XLOOKUP(Data[[#This Row],[Status]],Compliance_Status[Status from OPMS],Compliance_Status[Has Course booking],"")</f>
        <v>0</v>
      </c>
      <c r="P1031" t="str">
        <f>_xlfn.XLOOKUP(Data[[#This Row],[StatusKey]],Status_Key[Status_Key],Status_Key[Name],"")</f>
        <v>In Date</v>
      </c>
    </row>
    <row r="1032" spans="1:16" x14ac:dyDescent="0.25">
      <c r="A1032" s="1">
        <v>151</v>
      </c>
      <c r="B1032" s="1" t="s">
        <v>237</v>
      </c>
      <c r="C1032" s="1" t="s">
        <v>238</v>
      </c>
      <c r="D1032" s="1" t="s">
        <v>239</v>
      </c>
      <c r="E1032" s="1" t="s">
        <v>112</v>
      </c>
      <c r="F1032" s="1" t="s">
        <v>65</v>
      </c>
      <c r="G1032" s="1" t="s">
        <v>16</v>
      </c>
      <c r="H1032" s="1" t="s">
        <v>66</v>
      </c>
      <c r="I1032" s="1" t="s">
        <v>60</v>
      </c>
      <c r="J1032" s="1" t="s">
        <v>67</v>
      </c>
      <c r="K1032" s="1" t="s">
        <v>105</v>
      </c>
      <c r="L1032" s="3">
        <v>46783</v>
      </c>
      <c r="M1032" s="3">
        <v>46053</v>
      </c>
      <c r="N1032">
        <f>_xlfn.XLOOKUP(Data[[#This Row],[Status]],Compliance_Status[Status from OPMS],Compliance_Status[Status_Key],"")</f>
        <v>4</v>
      </c>
      <c r="O1032">
        <f>_xlfn.XLOOKUP(Data[[#This Row],[Status]],Compliance_Status[Status from OPMS],Compliance_Status[Has Course booking],"")</f>
        <v>0</v>
      </c>
      <c r="P1032" t="str">
        <f>_xlfn.XLOOKUP(Data[[#This Row],[StatusKey]],Status_Key[Status_Key],Status_Key[Name],"")</f>
        <v>In Date</v>
      </c>
    </row>
    <row r="1033" spans="1:16" x14ac:dyDescent="0.25">
      <c r="A1033" s="1">
        <v>151</v>
      </c>
      <c r="B1033" s="1" t="s">
        <v>237</v>
      </c>
      <c r="C1033" s="1" t="s">
        <v>238</v>
      </c>
      <c r="D1033" s="1" t="s">
        <v>239</v>
      </c>
      <c r="E1033" s="1" t="s">
        <v>113</v>
      </c>
      <c r="F1033" s="1" t="s">
        <v>65</v>
      </c>
      <c r="G1033" s="1" t="s">
        <v>16</v>
      </c>
      <c r="H1033" s="1" t="s">
        <v>66</v>
      </c>
      <c r="I1033" s="1" t="s">
        <v>60</v>
      </c>
      <c r="J1033" s="1" t="s">
        <v>67</v>
      </c>
      <c r="K1033" s="1" t="s">
        <v>105</v>
      </c>
      <c r="L1033" s="3">
        <v>46743</v>
      </c>
      <c r="M1033" s="3">
        <v>46013</v>
      </c>
      <c r="N1033">
        <f>_xlfn.XLOOKUP(Data[[#This Row],[Status]],Compliance_Status[Status from OPMS],Compliance_Status[Status_Key],"")</f>
        <v>4</v>
      </c>
      <c r="O1033">
        <f>_xlfn.XLOOKUP(Data[[#This Row],[Status]],Compliance_Status[Status from OPMS],Compliance_Status[Has Course booking],"")</f>
        <v>0</v>
      </c>
      <c r="P1033" t="str">
        <f>_xlfn.XLOOKUP(Data[[#This Row],[StatusKey]],Status_Key[Status_Key],Status_Key[Name],"")</f>
        <v>In Date</v>
      </c>
    </row>
    <row r="1034" spans="1:16" x14ac:dyDescent="0.25">
      <c r="A1034" s="1">
        <v>246</v>
      </c>
      <c r="B1034" s="1" t="s">
        <v>240</v>
      </c>
      <c r="C1034" s="1" t="s">
        <v>241</v>
      </c>
      <c r="D1034" s="1" t="s">
        <v>242</v>
      </c>
      <c r="E1034" s="1" t="s">
        <v>121</v>
      </c>
      <c r="F1034" s="1" t="s">
        <v>65</v>
      </c>
      <c r="G1034" s="1" t="s">
        <v>16</v>
      </c>
      <c r="H1034" s="1" t="s">
        <v>120</v>
      </c>
      <c r="I1034" s="1" t="s">
        <v>60</v>
      </c>
      <c r="J1034" s="1" t="s">
        <v>67</v>
      </c>
      <c r="K1034" s="1" t="s">
        <v>68</v>
      </c>
      <c r="L1034" s="3">
        <v>47254</v>
      </c>
      <c r="M1034" s="3">
        <v>45751</v>
      </c>
      <c r="N1034">
        <f>_xlfn.XLOOKUP(Data[[#This Row],[Status]],Compliance_Status[Status from OPMS],Compliance_Status[Status_Key],"")</f>
        <v>4</v>
      </c>
      <c r="O1034">
        <f>_xlfn.XLOOKUP(Data[[#This Row],[Status]],Compliance_Status[Status from OPMS],Compliance_Status[Has Course booking],"")</f>
        <v>0</v>
      </c>
      <c r="P1034" t="str">
        <f>_xlfn.XLOOKUP(Data[[#This Row],[StatusKey]],Status_Key[Status_Key],Status_Key[Name],"")</f>
        <v>In Date</v>
      </c>
    </row>
    <row r="1035" spans="1:16" x14ac:dyDescent="0.25">
      <c r="A1035" s="1">
        <v>246</v>
      </c>
      <c r="B1035" s="1" t="s">
        <v>240</v>
      </c>
      <c r="C1035" s="1" t="s">
        <v>241</v>
      </c>
      <c r="D1035" s="1" t="s">
        <v>242</v>
      </c>
      <c r="E1035" s="1" t="s">
        <v>69</v>
      </c>
      <c r="F1035" s="1" t="s">
        <v>65</v>
      </c>
      <c r="G1035" s="1" t="s">
        <v>16</v>
      </c>
      <c r="H1035" s="1" t="s">
        <v>120</v>
      </c>
      <c r="I1035" s="1" t="s">
        <v>60</v>
      </c>
      <c r="J1035" s="1"/>
      <c r="K1035" s="1" t="s">
        <v>68</v>
      </c>
      <c r="L1035" s="3">
        <v>47254</v>
      </c>
      <c r="M1035" s="3">
        <v>45751</v>
      </c>
      <c r="N1035">
        <f>_xlfn.XLOOKUP(Data[[#This Row],[Status]],Compliance_Status[Status from OPMS],Compliance_Status[Status_Key],"")</f>
        <v>4</v>
      </c>
      <c r="O1035">
        <f>_xlfn.XLOOKUP(Data[[#This Row],[Status]],Compliance_Status[Status from OPMS],Compliance_Status[Has Course booking],"")</f>
        <v>0</v>
      </c>
      <c r="P1035" t="str">
        <f>_xlfn.XLOOKUP(Data[[#This Row],[StatusKey]],Status_Key[Status_Key],Status_Key[Name],"")</f>
        <v>In Date</v>
      </c>
    </row>
    <row r="1036" spans="1:16" x14ac:dyDescent="0.25">
      <c r="A1036" s="1">
        <v>246</v>
      </c>
      <c r="B1036" s="1" t="s">
        <v>240</v>
      </c>
      <c r="C1036" s="1" t="s">
        <v>241</v>
      </c>
      <c r="D1036" s="1" t="s">
        <v>242</v>
      </c>
      <c r="E1036" s="1" t="s">
        <v>70</v>
      </c>
      <c r="F1036" s="1" t="s">
        <v>65</v>
      </c>
      <c r="G1036" s="1" t="s">
        <v>25</v>
      </c>
      <c r="H1036" s="1" t="s">
        <v>120</v>
      </c>
      <c r="I1036" s="1" t="s">
        <v>60</v>
      </c>
      <c r="J1036" s="1" t="s">
        <v>67</v>
      </c>
      <c r="K1036" s="1" t="s">
        <v>68</v>
      </c>
      <c r="L1036" s="3">
        <v>46166</v>
      </c>
      <c r="M1036" s="3">
        <v>44363</v>
      </c>
      <c r="N1036">
        <f>_xlfn.XLOOKUP(Data[[#This Row],[Status]],Compliance_Status[Status from OPMS],Compliance_Status[Status_Key],"")</f>
        <v>1</v>
      </c>
      <c r="O1036">
        <f>_xlfn.XLOOKUP(Data[[#This Row],[Status]],Compliance_Status[Status from OPMS],Compliance_Status[Has Course booking],"")</f>
        <v>0</v>
      </c>
      <c r="P1036" t="str">
        <f>_xlfn.XLOOKUP(Data[[#This Row],[StatusKey]],Status_Key[Status_Key],Status_Key[Name],"")</f>
        <v>Expired</v>
      </c>
    </row>
    <row r="1037" spans="1:16" x14ac:dyDescent="0.25">
      <c r="A1037" s="1">
        <v>246</v>
      </c>
      <c r="B1037" s="1" t="s">
        <v>240</v>
      </c>
      <c r="C1037" s="1" t="s">
        <v>241</v>
      </c>
      <c r="D1037" s="1" t="s">
        <v>242</v>
      </c>
      <c r="E1037" s="1" t="s">
        <v>71</v>
      </c>
      <c r="F1037" s="1" t="s">
        <v>72</v>
      </c>
      <c r="G1037" s="1" t="s">
        <v>18</v>
      </c>
      <c r="H1037" s="1" t="s">
        <v>120</v>
      </c>
      <c r="I1037" s="1" t="s">
        <v>60</v>
      </c>
      <c r="J1037" s="1"/>
      <c r="K1037" s="1" t="s">
        <v>68</v>
      </c>
      <c r="L1037" s="3"/>
      <c r="M1037" s="3"/>
      <c r="N1037">
        <f>_xlfn.XLOOKUP(Data[[#This Row],[Status]],Compliance_Status[Status from OPMS],Compliance_Status[Status_Key],"")</f>
        <v>2</v>
      </c>
      <c r="O1037">
        <f>_xlfn.XLOOKUP(Data[[#This Row],[Status]],Compliance_Status[Status from OPMS],Compliance_Status[Has Course booking],"")</f>
        <v>0</v>
      </c>
      <c r="P1037" t="str">
        <f>_xlfn.XLOOKUP(Data[[#This Row],[StatusKey]],Status_Key[Status_Key],Status_Key[Name],"")</f>
        <v>Outstanding</v>
      </c>
    </row>
    <row r="1038" spans="1:16" x14ac:dyDescent="0.25">
      <c r="A1038" s="1">
        <v>246</v>
      </c>
      <c r="B1038" s="1" t="s">
        <v>240</v>
      </c>
      <c r="C1038" s="1" t="s">
        <v>241</v>
      </c>
      <c r="D1038" s="1" t="s">
        <v>242</v>
      </c>
      <c r="E1038" s="1" t="s">
        <v>73</v>
      </c>
      <c r="F1038" s="1" t="s">
        <v>65</v>
      </c>
      <c r="G1038" s="1" t="s">
        <v>25</v>
      </c>
      <c r="H1038" s="1" t="s">
        <v>120</v>
      </c>
      <c r="I1038" s="1" t="s">
        <v>60</v>
      </c>
      <c r="J1038" s="1" t="s">
        <v>67</v>
      </c>
      <c r="K1038" s="1" t="s">
        <v>68</v>
      </c>
      <c r="L1038" s="3">
        <v>46208</v>
      </c>
      <c r="M1038" s="3">
        <v>45478</v>
      </c>
      <c r="N1038">
        <f>_xlfn.XLOOKUP(Data[[#This Row],[Status]],Compliance_Status[Status from OPMS],Compliance_Status[Status_Key],"")</f>
        <v>1</v>
      </c>
      <c r="O1038">
        <f>_xlfn.XLOOKUP(Data[[#This Row],[Status]],Compliance_Status[Status from OPMS],Compliance_Status[Has Course booking],"")</f>
        <v>0</v>
      </c>
      <c r="P1038" t="str">
        <f>_xlfn.XLOOKUP(Data[[#This Row],[StatusKey]],Status_Key[Status_Key],Status_Key[Name],"")</f>
        <v>Expired</v>
      </c>
    </row>
    <row r="1039" spans="1:16" x14ac:dyDescent="0.25">
      <c r="A1039" s="1">
        <v>246</v>
      </c>
      <c r="B1039" s="1" t="s">
        <v>240</v>
      </c>
      <c r="C1039" s="1" t="s">
        <v>241</v>
      </c>
      <c r="D1039" s="1" t="s">
        <v>242</v>
      </c>
      <c r="E1039" s="1" t="s">
        <v>74</v>
      </c>
      <c r="F1039" s="1" t="s">
        <v>65</v>
      </c>
      <c r="G1039" s="1" t="s">
        <v>16</v>
      </c>
      <c r="H1039" s="1" t="s">
        <v>120</v>
      </c>
      <c r="I1039" s="1" t="s">
        <v>60</v>
      </c>
      <c r="J1039" s="1" t="s">
        <v>67</v>
      </c>
      <c r="K1039" s="1" t="s">
        <v>68</v>
      </c>
      <c r="L1039" s="3">
        <v>46418</v>
      </c>
      <c r="M1039" s="3">
        <v>45322</v>
      </c>
      <c r="N1039">
        <f>_xlfn.XLOOKUP(Data[[#This Row],[Status]],Compliance_Status[Status from OPMS],Compliance_Status[Status_Key],"")</f>
        <v>4</v>
      </c>
      <c r="O1039">
        <f>_xlfn.XLOOKUP(Data[[#This Row],[Status]],Compliance_Status[Status from OPMS],Compliance_Status[Has Course booking],"")</f>
        <v>0</v>
      </c>
      <c r="P1039" t="str">
        <f>_xlfn.XLOOKUP(Data[[#This Row],[StatusKey]],Status_Key[Status_Key],Status_Key[Name],"")</f>
        <v>In Date</v>
      </c>
    </row>
    <row r="1040" spans="1:16" x14ac:dyDescent="0.25">
      <c r="A1040" s="1">
        <v>246</v>
      </c>
      <c r="B1040" s="1" t="s">
        <v>240</v>
      </c>
      <c r="C1040" s="1" t="s">
        <v>241</v>
      </c>
      <c r="D1040" s="1" t="s">
        <v>242</v>
      </c>
      <c r="E1040" s="1" t="s">
        <v>75</v>
      </c>
      <c r="F1040" s="1" t="s">
        <v>72</v>
      </c>
      <c r="G1040" s="1" t="s">
        <v>18</v>
      </c>
      <c r="H1040" s="1" t="s">
        <v>120</v>
      </c>
      <c r="I1040" s="1" t="s">
        <v>60</v>
      </c>
      <c r="J1040" s="1"/>
      <c r="K1040" s="1" t="s">
        <v>68</v>
      </c>
      <c r="L1040" s="3"/>
      <c r="M1040" s="3"/>
      <c r="N1040">
        <f>_xlfn.XLOOKUP(Data[[#This Row],[Status]],Compliance_Status[Status from OPMS],Compliance_Status[Status_Key],"")</f>
        <v>2</v>
      </c>
      <c r="O1040">
        <f>_xlfn.XLOOKUP(Data[[#This Row],[Status]],Compliance_Status[Status from OPMS],Compliance_Status[Has Course booking],"")</f>
        <v>0</v>
      </c>
      <c r="P1040" t="str">
        <f>_xlfn.XLOOKUP(Data[[#This Row],[StatusKey]],Status_Key[Status_Key],Status_Key[Name],"")</f>
        <v>Outstanding</v>
      </c>
    </row>
    <row r="1041" spans="1:16" x14ac:dyDescent="0.25">
      <c r="A1041" s="1">
        <v>246</v>
      </c>
      <c r="B1041" s="1" t="s">
        <v>240</v>
      </c>
      <c r="C1041" s="1" t="s">
        <v>241</v>
      </c>
      <c r="D1041" s="1" t="s">
        <v>242</v>
      </c>
      <c r="E1041" s="1" t="s">
        <v>76</v>
      </c>
      <c r="F1041" s="1" t="s">
        <v>65</v>
      </c>
      <c r="G1041" s="1" t="s">
        <v>16</v>
      </c>
      <c r="H1041" s="1" t="s">
        <v>120</v>
      </c>
      <c r="I1041" s="1" t="s">
        <v>60</v>
      </c>
      <c r="J1041" s="1" t="s">
        <v>67</v>
      </c>
      <c r="K1041" s="1" t="s">
        <v>77</v>
      </c>
      <c r="L1041" s="3">
        <v>47208</v>
      </c>
      <c r="M1041" s="3">
        <v>45747</v>
      </c>
      <c r="N1041">
        <f>_xlfn.XLOOKUP(Data[[#This Row],[Status]],Compliance_Status[Status from OPMS],Compliance_Status[Status_Key],"")</f>
        <v>4</v>
      </c>
      <c r="O1041">
        <f>_xlfn.XLOOKUP(Data[[#This Row],[Status]],Compliance_Status[Status from OPMS],Compliance_Status[Has Course booking],"")</f>
        <v>0</v>
      </c>
      <c r="P1041" t="str">
        <f>_xlfn.XLOOKUP(Data[[#This Row],[StatusKey]],Status_Key[Status_Key],Status_Key[Name],"")</f>
        <v>In Date</v>
      </c>
    </row>
    <row r="1042" spans="1:16" x14ac:dyDescent="0.25">
      <c r="A1042" s="1">
        <v>246</v>
      </c>
      <c r="B1042" s="1" t="s">
        <v>240</v>
      </c>
      <c r="C1042" s="1" t="s">
        <v>241</v>
      </c>
      <c r="D1042" s="1" t="s">
        <v>242</v>
      </c>
      <c r="E1042" s="1" t="s">
        <v>78</v>
      </c>
      <c r="F1042" s="1" t="s">
        <v>65</v>
      </c>
      <c r="G1042" s="1" t="s">
        <v>16</v>
      </c>
      <c r="H1042" s="1" t="s">
        <v>120</v>
      </c>
      <c r="I1042" s="1" t="s">
        <v>60</v>
      </c>
      <c r="J1042" s="1" t="s">
        <v>67</v>
      </c>
      <c r="K1042" s="1" t="s">
        <v>77</v>
      </c>
      <c r="L1042" s="3" t="s">
        <v>79</v>
      </c>
      <c r="M1042" s="3">
        <v>46080</v>
      </c>
      <c r="N1042">
        <f>_xlfn.XLOOKUP(Data[[#This Row],[Status]],Compliance_Status[Status from OPMS],Compliance_Status[Status_Key],"")</f>
        <v>4</v>
      </c>
      <c r="O1042">
        <f>_xlfn.XLOOKUP(Data[[#This Row],[Status]],Compliance_Status[Status from OPMS],Compliance_Status[Has Course booking],"")</f>
        <v>0</v>
      </c>
      <c r="P1042" t="str">
        <f>_xlfn.XLOOKUP(Data[[#This Row],[StatusKey]],Status_Key[Status_Key],Status_Key[Name],"")</f>
        <v>In Date</v>
      </c>
    </row>
    <row r="1043" spans="1:16" x14ac:dyDescent="0.25">
      <c r="A1043" s="1">
        <v>246</v>
      </c>
      <c r="B1043" s="1" t="s">
        <v>240</v>
      </c>
      <c r="C1043" s="1" t="s">
        <v>241</v>
      </c>
      <c r="D1043" s="1" t="s">
        <v>242</v>
      </c>
      <c r="E1043" s="1" t="s">
        <v>80</v>
      </c>
      <c r="F1043" s="1" t="s">
        <v>65</v>
      </c>
      <c r="G1043" s="1" t="s">
        <v>16</v>
      </c>
      <c r="H1043" s="1" t="s">
        <v>120</v>
      </c>
      <c r="I1043" s="1" t="s">
        <v>60</v>
      </c>
      <c r="J1043" s="1" t="s">
        <v>67</v>
      </c>
      <c r="K1043" s="1" t="s">
        <v>77</v>
      </c>
      <c r="L1043" s="3" t="s">
        <v>79</v>
      </c>
      <c r="M1043" s="3">
        <v>46062</v>
      </c>
      <c r="N1043">
        <f>_xlfn.XLOOKUP(Data[[#This Row],[Status]],Compliance_Status[Status from OPMS],Compliance_Status[Status_Key],"")</f>
        <v>4</v>
      </c>
      <c r="O1043">
        <f>_xlfn.XLOOKUP(Data[[#This Row],[Status]],Compliance_Status[Status from OPMS],Compliance_Status[Has Course booking],"")</f>
        <v>0</v>
      </c>
      <c r="P1043" t="str">
        <f>_xlfn.XLOOKUP(Data[[#This Row],[StatusKey]],Status_Key[Status_Key],Status_Key[Name],"")</f>
        <v>In Date</v>
      </c>
    </row>
    <row r="1044" spans="1:16" x14ac:dyDescent="0.25">
      <c r="A1044" s="1">
        <v>246</v>
      </c>
      <c r="B1044" s="1" t="s">
        <v>240</v>
      </c>
      <c r="C1044" s="1" t="s">
        <v>241</v>
      </c>
      <c r="D1044" s="1" t="s">
        <v>242</v>
      </c>
      <c r="E1044" s="1" t="s">
        <v>81</v>
      </c>
      <c r="F1044" s="1" t="s">
        <v>65</v>
      </c>
      <c r="G1044" s="1" t="s">
        <v>16</v>
      </c>
      <c r="H1044" s="1" t="s">
        <v>120</v>
      </c>
      <c r="I1044" s="1" t="s">
        <v>60</v>
      </c>
      <c r="J1044" s="1" t="s">
        <v>67</v>
      </c>
      <c r="K1044" s="1" t="s">
        <v>77</v>
      </c>
      <c r="L1044" s="3">
        <v>46792</v>
      </c>
      <c r="M1044" s="3">
        <v>46062</v>
      </c>
      <c r="N1044">
        <f>_xlfn.XLOOKUP(Data[[#This Row],[Status]],Compliance_Status[Status from OPMS],Compliance_Status[Status_Key],"")</f>
        <v>4</v>
      </c>
      <c r="O1044">
        <f>_xlfn.XLOOKUP(Data[[#This Row],[Status]],Compliance_Status[Status from OPMS],Compliance_Status[Has Course booking],"")</f>
        <v>0</v>
      </c>
      <c r="P1044" t="str">
        <f>_xlfn.XLOOKUP(Data[[#This Row],[StatusKey]],Status_Key[Status_Key],Status_Key[Name],"")</f>
        <v>In Date</v>
      </c>
    </row>
    <row r="1045" spans="1:16" x14ac:dyDescent="0.25">
      <c r="A1045" s="1">
        <v>246</v>
      </c>
      <c r="B1045" s="1" t="s">
        <v>240</v>
      </c>
      <c r="C1045" s="1" t="s">
        <v>241</v>
      </c>
      <c r="D1045" s="1" t="s">
        <v>242</v>
      </c>
      <c r="E1045" s="1" t="s">
        <v>82</v>
      </c>
      <c r="F1045" s="1" t="s">
        <v>65</v>
      </c>
      <c r="G1045" s="1" t="s">
        <v>16</v>
      </c>
      <c r="H1045" s="1" t="s">
        <v>120</v>
      </c>
      <c r="I1045" s="1" t="s">
        <v>60</v>
      </c>
      <c r="J1045" s="1" t="s">
        <v>67</v>
      </c>
      <c r="K1045" s="1" t="s">
        <v>83</v>
      </c>
      <c r="L1045" s="3">
        <v>46792</v>
      </c>
      <c r="M1045" s="3">
        <v>46062</v>
      </c>
      <c r="N1045">
        <f>_xlfn.XLOOKUP(Data[[#This Row],[Status]],Compliance_Status[Status from OPMS],Compliance_Status[Status_Key],"")</f>
        <v>4</v>
      </c>
      <c r="O1045">
        <f>_xlfn.XLOOKUP(Data[[#This Row],[Status]],Compliance_Status[Status from OPMS],Compliance_Status[Has Course booking],"")</f>
        <v>0</v>
      </c>
      <c r="P1045" t="str">
        <f>_xlfn.XLOOKUP(Data[[#This Row],[StatusKey]],Status_Key[Status_Key],Status_Key[Name],"")</f>
        <v>In Date</v>
      </c>
    </row>
    <row r="1046" spans="1:16" x14ac:dyDescent="0.25">
      <c r="A1046" s="1">
        <v>246</v>
      </c>
      <c r="B1046" s="1" t="s">
        <v>240</v>
      </c>
      <c r="C1046" s="1" t="s">
        <v>241</v>
      </c>
      <c r="D1046" s="1" t="s">
        <v>242</v>
      </c>
      <c r="E1046" s="1" t="s">
        <v>84</v>
      </c>
      <c r="F1046" s="1" t="s">
        <v>65</v>
      </c>
      <c r="G1046" s="1" t="s">
        <v>16</v>
      </c>
      <c r="H1046" s="1" t="s">
        <v>120</v>
      </c>
      <c r="I1046" s="1" t="s">
        <v>60</v>
      </c>
      <c r="J1046" s="1" t="s">
        <v>67</v>
      </c>
      <c r="K1046" s="1" t="s">
        <v>83</v>
      </c>
      <c r="L1046" s="3">
        <v>46791</v>
      </c>
      <c r="M1046" s="3">
        <v>46061</v>
      </c>
      <c r="N1046">
        <f>_xlfn.XLOOKUP(Data[[#This Row],[Status]],Compliance_Status[Status from OPMS],Compliance_Status[Status_Key],"")</f>
        <v>4</v>
      </c>
      <c r="O1046">
        <f>_xlfn.XLOOKUP(Data[[#This Row],[Status]],Compliance_Status[Status from OPMS],Compliance_Status[Has Course booking],"")</f>
        <v>0</v>
      </c>
      <c r="P1046" t="str">
        <f>_xlfn.XLOOKUP(Data[[#This Row],[StatusKey]],Status_Key[Status_Key],Status_Key[Name],"")</f>
        <v>In Date</v>
      </c>
    </row>
    <row r="1047" spans="1:16" x14ac:dyDescent="0.25">
      <c r="A1047" s="1">
        <v>246</v>
      </c>
      <c r="B1047" s="1" t="s">
        <v>240</v>
      </c>
      <c r="C1047" s="1" t="s">
        <v>241</v>
      </c>
      <c r="D1047" s="1" t="s">
        <v>242</v>
      </c>
      <c r="E1047" s="1" t="s">
        <v>91</v>
      </c>
      <c r="F1047" s="1" t="s">
        <v>65</v>
      </c>
      <c r="G1047" s="1" t="s">
        <v>18</v>
      </c>
      <c r="H1047" s="1" t="s">
        <v>120</v>
      </c>
      <c r="I1047" s="1" t="s">
        <v>60</v>
      </c>
      <c r="J1047" s="1"/>
      <c r="K1047" s="1" t="s">
        <v>86</v>
      </c>
      <c r="L1047" s="3"/>
      <c r="M1047" s="3"/>
      <c r="N1047">
        <f>_xlfn.XLOOKUP(Data[[#This Row],[Status]],Compliance_Status[Status from OPMS],Compliance_Status[Status_Key],"")</f>
        <v>2</v>
      </c>
      <c r="O1047">
        <f>_xlfn.XLOOKUP(Data[[#This Row],[Status]],Compliance_Status[Status from OPMS],Compliance_Status[Has Course booking],"")</f>
        <v>0</v>
      </c>
      <c r="P1047" t="str">
        <f>_xlfn.XLOOKUP(Data[[#This Row],[StatusKey]],Status_Key[Status_Key],Status_Key[Name],"")</f>
        <v>Outstanding</v>
      </c>
    </row>
    <row r="1048" spans="1:16" x14ac:dyDescent="0.25">
      <c r="A1048" s="1">
        <v>246</v>
      </c>
      <c r="B1048" s="1" t="s">
        <v>240</v>
      </c>
      <c r="C1048" s="1" t="s">
        <v>241</v>
      </c>
      <c r="D1048" s="1" t="s">
        <v>242</v>
      </c>
      <c r="E1048" s="1" t="s">
        <v>93</v>
      </c>
      <c r="F1048" s="1" t="s">
        <v>65</v>
      </c>
      <c r="G1048" s="1" t="s">
        <v>16</v>
      </c>
      <c r="H1048" s="1" t="s">
        <v>120</v>
      </c>
      <c r="I1048" s="1" t="s">
        <v>60</v>
      </c>
      <c r="J1048" s="1" t="s">
        <v>67</v>
      </c>
      <c r="K1048" s="1" t="s">
        <v>94</v>
      </c>
      <c r="L1048" s="3">
        <v>46791</v>
      </c>
      <c r="M1048" s="3">
        <v>46061</v>
      </c>
      <c r="N1048">
        <f>_xlfn.XLOOKUP(Data[[#This Row],[Status]],Compliance_Status[Status from OPMS],Compliance_Status[Status_Key],"")</f>
        <v>4</v>
      </c>
      <c r="O1048">
        <f>_xlfn.XLOOKUP(Data[[#This Row],[Status]],Compliance_Status[Status from OPMS],Compliance_Status[Has Course booking],"")</f>
        <v>0</v>
      </c>
      <c r="P1048" t="str">
        <f>_xlfn.XLOOKUP(Data[[#This Row],[StatusKey]],Status_Key[Status_Key],Status_Key[Name],"")</f>
        <v>In Date</v>
      </c>
    </row>
    <row r="1049" spans="1:16" x14ac:dyDescent="0.25">
      <c r="A1049" s="1">
        <v>246</v>
      </c>
      <c r="B1049" s="1" t="s">
        <v>240</v>
      </c>
      <c r="C1049" s="1" t="s">
        <v>241</v>
      </c>
      <c r="D1049" s="1" t="s">
        <v>242</v>
      </c>
      <c r="E1049" s="1" t="s">
        <v>95</v>
      </c>
      <c r="F1049" s="1" t="s">
        <v>65</v>
      </c>
      <c r="G1049" s="1" t="s">
        <v>16</v>
      </c>
      <c r="H1049" s="1" t="s">
        <v>120</v>
      </c>
      <c r="I1049" s="1" t="s">
        <v>60</v>
      </c>
      <c r="J1049" s="1" t="s">
        <v>67</v>
      </c>
      <c r="K1049" s="1" t="s">
        <v>94</v>
      </c>
      <c r="L1049" s="3">
        <v>46791</v>
      </c>
      <c r="M1049" s="3">
        <v>46061</v>
      </c>
      <c r="N1049">
        <f>_xlfn.XLOOKUP(Data[[#This Row],[Status]],Compliance_Status[Status from OPMS],Compliance_Status[Status_Key],"")</f>
        <v>4</v>
      </c>
      <c r="O1049">
        <f>_xlfn.XLOOKUP(Data[[#This Row],[Status]],Compliance_Status[Status from OPMS],Compliance_Status[Has Course booking],"")</f>
        <v>0</v>
      </c>
      <c r="P1049" t="str">
        <f>_xlfn.XLOOKUP(Data[[#This Row],[StatusKey]],Status_Key[Status_Key],Status_Key[Name],"")</f>
        <v>In Date</v>
      </c>
    </row>
    <row r="1050" spans="1:16" x14ac:dyDescent="0.25">
      <c r="A1050" s="1">
        <v>246</v>
      </c>
      <c r="B1050" s="1" t="s">
        <v>240</v>
      </c>
      <c r="C1050" s="1" t="s">
        <v>241</v>
      </c>
      <c r="D1050" s="1" t="s">
        <v>242</v>
      </c>
      <c r="E1050" s="1" t="s">
        <v>96</v>
      </c>
      <c r="F1050" s="1" t="s">
        <v>65</v>
      </c>
      <c r="G1050" s="1" t="s">
        <v>16</v>
      </c>
      <c r="H1050" s="1" t="s">
        <v>120</v>
      </c>
      <c r="I1050" s="1" t="s">
        <v>60</v>
      </c>
      <c r="J1050" s="1" t="s">
        <v>67</v>
      </c>
      <c r="K1050" s="1" t="s">
        <v>94</v>
      </c>
      <c r="L1050" s="3" t="s">
        <v>79</v>
      </c>
      <c r="M1050" s="3">
        <v>45710</v>
      </c>
      <c r="N1050">
        <f>_xlfn.XLOOKUP(Data[[#This Row],[Status]],Compliance_Status[Status from OPMS],Compliance_Status[Status_Key],"")</f>
        <v>4</v>
      </c>
      <c r="O1050">
        <f>_xlfn.XLOOKUP(Data[[#This Row],[Status]],Compliance_Status[Status from OPMS],Compliance_Status[Has Course booking],"")</f>
        <v>0</v>
      </c>
      <c r="P1050" t="str">
        <f>_xlfn.XLOOKUP(Data[[#This Row],[StatusKey]],Status_Key[Status_Key],Status_Key[Name],"")</f>
        <v>In Date</v>
      </c>
    </row>
    <row r="1051" spans="1:16" x14ac:dyDescent="0.25">
      <c r="A1051" s="1">
        <v>246</v>
      </c>
      <c r="B1051" s="1" t="s">
        <v>240</v>
      </c>
      <c r="C1051" s="1" t="s">
        <v>241</v>
      </c>
      <c r="D1051" s="1" t="s">
        <v>242</v>
      </c>
      <c r="E1051" s="1" t="s">
        <v>124</v>
      </c>
      <c r="F1051" s="1" t="s">
        <v>72</v>
      </c>
      <c r="G1051" s="1" t="s">
        <v>18</v>
      </c>
      <c r="H1051" s="1" t="s">
        <v>120</v>
      </c>
      <c r="I1051" s="1" t="s">
        <v>60</v>
      </c>
      <c r="J1051" s="1"/>
      <c r="K1051" s="1" t="s">
        <v>125</v>
      </c>
      <c r="L1051" s="3"/>
      <c r="M1051" s="3"/>
      <c r="N1051">
        <f>_xlfn.XLOOKUP(Data[[#This Row],[Status]],Compliance_Status[Status from OPMS],Compliance_Status[Status_Key],"")</f>
        <v>2</v>
      </c>
      <c r="O1051">
        <f>_xlfn.XLOOKUP(Data[[#This Row],[Status]],Compliance_Status[Status from OPMS],Compliance_Status[Has Course booking],"")</f>
        <v>0</v>
      </c>
      <c r="P1051" t="str">
        <f>_xlfn.XLOOKUP(Data[[#This Row],[StatusKey]],Status_Key[Status_Key],Status_Key[Name],"")</f>
        <v>Outstanding</v>
      </c>
    </row>
    <row r="1052" spans="1:16" x14ac:dyDescent="0.25">
      <c r="A1052" s="1">
        <v>246</v>
      </c>
      <c r="B1052" s="1" t="s">
        <v>240</v>
      </c>
      <c r="C1052" s="1" t="s">
        <v>241</v>
      </c>
      <c r="D1052" s="1" t="s">
        <v>242</v>
      </c>
      <c r="E1052" s="1" t="s">
        <v>97</v>
      </c>
      <c r="F1052" s="1" t="s">
        <v>65</v>
      </c>
      <c r="G1052" s="1" t="s">
        <v>16</v>
      </c>
      <c r="H1052" s="1" t="s">
        <v>120</v>
      </c>
      <c r="I1052" s="1" t="s">
        <v>60</v>
      </c>
      <c r="J1052" s="1" t="s">
        <v>67</v>
      </c>
      <c r="K1052" s="1" t="s">
        <v>98</v>
      </c>
      <c r="L1052" s="3">
        <v>47887</v>
      </c>
      <c r="M1052" s="3">
        <v>46061</v>
      </c>
      <c r="N1052">
        <f>_xlfn.XLOOKUP(Data[[#This Row],[Status]],Compliance_Status[Status from OPMS],Compliance_Status[Status_Key],"")</f>
        <v>4</v>
      </c>
      <c r="O1052">
        <f>_xlfn.XLOOKUP(Data[[#This Row],[Status]],Compliance_Status[Status from OPMS],Compliance_Status[Has Course booking],"")</f>
        <v>0</v>
      </c>
      <c r="P1052" t="str">
        <f>_xlfn.XLOOKUP(Data[[#This Row],[StatusKey]],Status_Key[Status_Key],Status_Key[Name],"")</f>
        <v>In Date</v>
      </c>
    </row>
    <row r="1053" spans="1:16" x14ac:dyDescent="0.25">
      <c r="A1053" s="1">
        <v>246</v>
      </c>
      <c r="B1053" s="1" t="s">
        <v>240</v>
      </c>
      <c r="C1053" s="1" t="s">
        <v>241</v>
      </c>
      <c r="D1053" s="1" t="s">
        <v>242</v>
      </c>
      <c r="E1053" s="1" t="s">
        <v>101</v>
      </c>
      <c r="F1053" s="1" t="s">
        <v>65</v>
      </c>
      <c r="G1053" s="1" t="s">
        <v>18</v>
      </c>
      <c r="H1053" s="1" t="s">
        <v>120</v>
      </c>
      <c r="I1053" s="1" t="s">
        <v>60</v>
      </c>
      <c r="J1053" s="1"/>
      <c r="K1053" s="1" t="s">
        <v>102</v>
      </c>
      <c r="L1053" s="3"/>
      <c r="M1053" s="3"/>
      <c r="N1053">
        <f>_xlfn.XLOOKUP(Data[[#This Row],[Status]],Compliance_Status[Status from OPMS],Compliance_Status[Status_Key],"")</f>
        <v>2</v>
      </c>
      <c r="O1053">
        <f>_xlfn.XLOOKUP(Data[[#This Row],[Status]],Compliance_Status[Status from OPMS],Compliance_Status[Has Course booking],"")</f>
        <v>0</v>
      </c>
      <c r="P1053" t="str">
        <f>_xlfn.XLOOKUP(Data[[#This Row],[StatusKey]],Status_Key[Status_Key],Status_Key[Name],"")</f>
        <v>Outstanding</v>
      </c>
    </row>
    <row r="1054" spans="1:16" x14ac:dyDescent="0.25">
      <c r="A1054" s="1">
        <v>246</v>
      </c>
      <c r="B1054" s="1" t="s">
        <v>240</v>
      </c>
      <c r="C1054" s="1" t="s">
        <v>241</v>
      </c>
      <c r="D1054" s="1" t="s">
        <v>242</v>
      </c>
      <c r="E1054" s="1" t="s">
        <v>103</v>
      </c>
      <c r="F1054" s="1" t="s">
        <v>65</v>
      </c>
      <c r="G1054" s="1" t="s">
        <v>16</v>
      </c>
      <c r="H1054" s="1" t="s">
        <v>120</v>
      </c>
      <c r="I1054" s="1" t="s">
        <v>60</v>
      </c>
      <c r="J1054" s="1" t="s">
        <v>67</v>
      </c>
      <c r="K1054" s="1" t="s">
        <v>102</v>
      </c>
      <c r="L1054" s="3">
        <v>46791</v>
      </c>
      <c r="M1054" s="3">
        <v>46061</v>
      </c>
      <c r="N1054">
        <f>_xlfn.XLOOKUP(Data[[#This Row],[Status]],Compliance_Status[Status from OPMS],Compliance_Status[Status_Key],"")</f>
        <v>4</v>
      </c>
      <c r="O1054">
        <f>_xlfn.XLOOKUP(Data[[#This Row],[Status]],Compliance_Status[Status from OPMS],Compliance_Status[Has Course booking],"")</f>
        <v>0</v>
      </c>
      <c r="P1054" t="str">
        <f>_xlfn.XLOOKUP(Data[[#This Row],[StatusKey]],Status_Key[Status_Key],Status_Key[Name],"")</f>
        <v>In Date</v>
      </c>
    </row>
    <row r="1055" spans="1:16" x14ac:dyDescent="0.25">
      <c r="A1055" s="1">
        <v>246</v>
      </c>
      <c r="B1055" s="1" t="s">
        <v>240</v>
      </c>
      <c r="C1055" s="1" t="s">
        <v>241</v>
      </c>
      <c r="D1055" s="1" t="s">
        <v>242</v>
      </c>
      <c r="E1055" s="1" t="s">
        <v>104</v>
      </c>
      <c r="F1055" s="1" t="s">
        <v>65</v>
      </c>
      <c r="G1055" s="1" t="s">
        <v>16</v>
      </c>
      <c r="H1055" s="1" t="s">
        <v>120</v>
      </c>
      <c r="I1055" s="1" t="s">
        <v>60</v>
      </c>
      <c r="J1055" s="1" t="s">
        <v>67</v>
      </c>
      <c r="K1055" s="1" t="s">
        <v>105</v>
      </c>
      <c r="L1055" s="3">
        <v>46791</v>
      </c>
      <c r="M1055" s="3">
        <v>46061</v>
      </c>
      <c r="N1055">
        <f>_xlfn.XLOOKUP(Data[[#This Row],[Status]],Compliance_Status[Status from OPMS],Compliance_Status[Status_Key],"")</f>
        <v>4</v>
      </c>
      <c r="O1055">
        <f>_xlfn.XLOOKUP(Data[[#This Row],[Status]],Compliance_Status[Status from OPMS],Compliance_Status[Has Course booking],"")</f>
        <v>0</v>
      </c>
      <c r="P1055" t="str">
        <f>_xlfn.XLOOKUP(Data[[#This Row],[StatusKey]],Status_Key[Status_Key],Status_Key[Name],"")</f>
        <v>In Date</v>
      </c>
    </row>
    <row r="1056" spans="1:16" x14ac:dyDescent="0.25">
      <c r="A1056" s="1">
        <v>246</v>
      </c>
      <c r="B1056" s="1" t="s">
        <v>240</v>
      </c>
      <c r="C1056" s="1" t="s">
        <v>241</v>
      </c>
      <c r="D1056" s="1" t="s">
        <v>242</v>
      </c>
      <c r="E1056" s="1" t="s">
        <v>106</v>
      </c>
      <c r="F1056" s="1" t="s">
        <v>65</v>
      </c>
      <c r="G1056" s="1" t="s">
        <v>16</v>
      </c>
      <c r="H1056" s="1" t="s">
        <v>120</v>
      </c>
      <c r="I1056" s="1" t="s">
        <v>60</v>
      </c>
      <c r="J1056" s="1" t="s">
        <v>67</v>
      </c>
      <c r="K1056" s="1" t="s">
        <v>105</v>
      </c>
      <c r="L1056" s="3">
        <v>47887</v>
      </c>
      <c r="M1056" s="3">
        <v>46061</v>
      </c>
      <c r="N1056">
        <f>_xlfn.XLOOKUP(Data[[#This Row],[Status]],Compliance_Status[Status from OPMS],Compliance_Status[Status_Key],"")</f>
        <v>4</v>
      </c>
      <c r="O1056">
        <f>_xlfn.XLOOKUP(Data[[#This Row],[Status]],Compliance_Status[Status from OPMS],Compliance_Status[Has Course booking],"")</f>
        <v>0</v>
      </c>
      <c r="P1056" t="str">
        <f>_xlfn.XLOOKUP(Data[[#This Row],[StatusKey]],Status_Key[Status_Key],Status_Key[Name],"")</f>
        <v>In Date</v>
      </c>
    </row>
    <row r="1057" spans="1:16" x14ac:dyDescent="0.25">
      <c r="A1057" s="1">
        <v>246</v>
      </c>
      <c r="B1057" s="1" t="s">
        <v>240</v>
      </c>
      <c r="C1057" s="1" t="s">
        <v>241</v>
      </c>
      <c r="D1057" s="1" t="s">
        <v>242</v>
      </c>
      <c r="E1057" s="1" t="s">
        <v>107</v>
      </c>
      <c r="F1057" s="1" t="s">
        <v>65</v>
      </c>
      <c r="G1057" s="1" t="s">
        <v>16</v>
      </c>
      <c r="H1057" s="1" t="s">
        <v>120</v>
      </c>
      <c r="I1057" s="1" t="s">
        <v>60</v>
      </c>
      <c r="J1057" s="1" t="s">
        <v>67</v>
      </c>
      <c r="K1057" s="1" t="s">
        <v>105</v>
      </c>
      <c r="L1057" s="3">
        <v>47156</v>
      </c>
      <c r="M1057" s="3">
        <v>46061</v>
      </c>
      <c r="N1057">
        <f>_xlfn.XLOOKUP(Data[[#This Row],[Status]],Compliance_Status[Status from OPMS],Compliance_Status[Status_Key],"")</f>
        <v>4</v>
      </c>
      <c r="O1057">
        <f>_xlfn.XLOOKUP(Data[[#This Row],[Status]],Compliance_Status[Status from OPMS],Compliance_Status[Has Course booking],"")</f>
        <v>0</v>
      </c>
      <c r="P1057" t="str">
        <f>_xlfn.XLOOKUP(Data[[#This Row],[StatusKey]],Status_Key[Status_Key],Status_Key[Name],"")</f>
        <v>In Date</v>
      </c>
    </row>
    <row r="1058" spans="1:16" x14ac:dyDescent="0.25">
      <c r="A1058" s="1">
        <v>246</v>
      </c>
      <c r="B1058" s="1" t="s">
        <v>240</v>
      </c>
      <c r="C1058" s="1" t="s">
        <v>241</v>
      </c>
      <c r="D1058" s="1" t="s">
        <v>242</v>
      </c>
      <c r="E1058" s="1" t="s">
        <v>108</v>
      </c>
      <c r="F1058" s="1" t="s">
        <v>65</v>
      </c>
      <c r="G1058" s="1" t="s">
        <v>24</v>
      </c>
      <c r="H1058" s="1" t="s">
        <v>120</v>
      </c>
      <c r="I1058" s="1" t="s">
        <v>60</v>
      </c>
      <c r="J1058" s="1" t="s">
        <v>67</v>
      </c>
      <c r="K1058" s="1" t="s">
        <v>105</v>
      </c>
      <c r="L1058" s="3">
        <v>46308</v>
      </c>
      <c r="M1058" s="3">
        <v>46061</v>
      </c>
      <c r="N1058">
        <f>_xlfn.XLOOKUP(Data[[#This Row],[Status]],Compliance_Status[Status from OPMS],Compliance_Status[Status_Key],"")</f>
        <v>3</v>
      </c>
      <c r="O1058">
        <f>_xlfn.XLOOKUP(Data[[#This Row],[Status]],Compliance_Status[Status from OPMS],Compliance_Status[Has Course booking],"")</f>
        <v>0</v>
      </c>
      <c r="P1058" t="str">
        <f>_xlfn.XLOOKUP(Data[[#This Row],[StatusKey]],Status_Key[Status_Key],Status_Key[Name],"")</f>
        <v>About to expire</v>
      </c>
    </row>
    <row r="1059" spans="1:16" x14ac:dyDescent="0.25">
      <c r="A1059" s="1">
        <v>246</v>
      </c>
      <c r="B1059" s="1" t="s">
        <v>240</v>
      </c>
      <c r="C1059" s="1" t="s">
        <v>241</v>
      </c>
      <c r="D1059" s="1" t="s">
        <v>242</v>
      </c>
      <c r="E1059" s="1" t="s">
        <v>109</v>
      </c>
      <c r="F1059" s="1" t="s">
        <v>65</v>
      </c>
      <c r="G1059" s="1" t="s">
        <v>16</v>
      </c>
      <c r="H1059" s="1" t="s">
        <v>120</v>
      </c>
      <c r="I1059" s="1" t="s">
        <v>60</v>
      </c>
      <c r="J1059" s="1" t="s">
        <v>67</v>
      </c>
      <c r="K1059" s="1" t="s">
        <v>105</v>
      </c>
      <c r="L1059" s="3">
        <v>46791</v>
      </c>
      <c r="M1059" s="3">
        <v>46061</v>
      </c>
      <c r="N1059">
        <f>_xlfn.XLOOKUP(Data[[#This Row],[Status]],Compliance_Status[Status from OPMS],Compliance_Status[Status_Key],"")</f>
        <v>4</v>
      </c>
      <c r="O1059">
        <f>_xlfn.XLOOKUP(Data[[#This Row],[Status]],Compliance_Status[Status from OPMS],Compliance_Status[Has Course booking],"")</f>
        <v>0</v>
      </c>
      <c r="P1059" t="str">
        <f>_xlfn.XLOOKUP(Data[[#This Row],[StatusKey]],Status_Key[Status_Key],Status_Key[Name],"")</f>
        <v>In Date</v>
      </c>
    </row>
    <row r="1060" spans="1:16" x14ac:dyDescent="0.25">
      <c r="A1060" s="1">
        <v>246</v>
      </c>
      <c r="B1060" s="1" t="s">
        <v>240</v>
      </c>
      <c r="C1060" s="1" t="s">
        <v>241</v>
      </c>
      <c r="D1060" s="1" t="s">
        <v>242</v>
      </c>
      <c r="E1060" s="1" t="s">
        <v>110</v>
      </c>
      <c r="F1060" s="1" t="s">
        <v>65</v>
      </c>
      <c r="G1060" s="1" t="s">
        <v>16</v>
      </c>
      <c r="H1060" s="1" t="s">
        <v>120</v>
      </c>
      <c r="I1060" s="1" t="s">
        <v>60</v>
      </c>
      <c r="J1060" s="1" t="s">
        <v>67</v>
      </c>
      <c r="K1060" s="1" t="s">
        <v>105</v>
      </c>
      <c r="L1060" s="3" t="s">
        <v>79</v>
      </c>
      <c r="M1060" s="3">
        <v>46061</v>
      </c>
      <c r="N1060">
        <f>_xlfn.XLOOKUP(Data[[#This Row],[Status]],Compliance_Status[Status from OPMS],Compliance_Status[Status_Key],"")</f>
        <v>4</v>
      </c>
      <c r="O1060">
        <f>_xlfn.XLOOKUP(Data[[#This Row],[Status]],Compliance_Status[Status from OPMS],Compliance_Status[Has Course booking],"")</f>
        <v>0</v>
      </c>
      <c r="P1060" t="str">
        <f>_xlfn.XLOOKUP(Data[[#This Row],[StatusKey]],Status_Key[Status_Key],Status_Key[Name],"")</f>
        <v>In Date</v>
      </c>
    </row>
    <row r="1061" spans="1:16" x14ac:dyDescent="0.25">
      <c r="A1061" s="1">
        <v>246</v>
      </c>
      <c r="B1061" s="1" t="s">
        <v>240</v>
      </c>
      <c r="C1061" s="1" t="s">
        <v>241</v>
      </c>
      <c r="D1061" s="1" t="s">
        <v>242</v>
      </c>
      <c r="E1061" s="1" t="s">
        <v>111</v>
      </c>
      <c r="F1061" s="1" t="s">
        <v>65</v>
      </c>
      <c r="G1061" s="1" t="s">
        <v>16</v>
      </c>
      <c r="H1061" s="1" t="s">
        <v>120</v>
      </c>
      <c r="I1061" s="1" t="s">
        <v>60</v>
      </c>
      <c r="J1061" s="1" t="s">
        <v>67</v>
      </c>
      <c r="K1061" s="1" t="s">
        <v>105</v>
      </c>
      <c r="L1061" s="3">
        <v>46791</v>
      </c>
      <c r="M1061" s="3">
        <v>46061</v>
      </c>
      <c r="N1061">
        <f>_xlfn.XLOOKUP(Data[[#This Row],[Status]],Compliance_Status[Status from OPMS],Compliance_Status[Status_Key],"")</f>
        <v>4</v>
      </c>
      <c r="O1061">
        <f>_xlfn.XLOOKUP(Data[[#This Row],[Status]],Compliance_Status[Status from OPMS],Compliance_Status[Has Course booking],"")</f>
        <v>0</v>
      </c>
      <c r="P1061" t="str">
        <f>_xlfn.XLOOKUP(Data[[#This Row],[StatusKey]],Status_Key[Status_Key],Status_Key[Name],"")</f>
        <v>In Date</v>
      </c>
    </row>
    <row r="1062" spans="1:16" x14ac:dyDescent="0.25">
      <c r="A1062" s="1">
        <v>246</v>
      </c>
      <c r="B1062" s="1" t="s">
        <v>240</v>
      </c>
      <c r="C1062" s="1" t="s">
        <v>241</v>
      </c>
      <c r="D1062" s="1" t="s">
        <v>242</v>
      </c>
      <c r="E1062" s="1" t="s">
        <v>112</v>
      </c>
      <c r="F1062" s="1" t="s">
        <v>65</v>
      </c>
      <c r="G1062" s="1" t="s">
        <v>16</v>
      </c>
      <c r="H1062" s="1" t="s">
        <v>120</v>
      </c>
      <c r="I1062" s="1" t="s">
        <v>60</v>
      </c>
      <c r="J1062" s="1" t="s">
        <v>67</v>
      </c>
      <c r="K1062" s="1" t="s">
        <v>105</v>
      </c>
      <c r="L1062" s="3">
        <v>46791</v>
      </c>
      <c r="M1062" s="3">
        <v>46061</v>
      </c>
      <c r="N1062">
        <f>_xlfn.XLOOKUP(Data[[#This Row],[Status]],Compliance_Status[Status from OPMS],Compliance_Status[Status_Key],"")</f>
        <v>4</v>
      </c>
      <c r="O1062">
        <f>_xlfn.XLOOKUP(Data[[#This Row],[Status]],Compliance_Status[Status from OPMS],Compliance_Status[Has Course booking],"")</f>
        <v>0</v>
      </c>
      <c r="P1062" t="str">
        <f>_xlfn.XLOOKUP(Data[[#This Row],[StatusKey]],Status_Key[Status_Key],Status_Key[Name],"")</f>
        <v>In Date</v>
      </c>
    </row>
    <row r="1063" spans="1:16" x14ac:dyDescent="0.25">
      <c r="A1063" s="1">
        <v>246</v>
      </c>
      <c r="B1063" s="1" t="s">
        <v>240</v>
      </c>
      <c r="C1063" s="1" t="s">
        <v>241</v>
      </c>
      <c r="D1063" s="1" t="s">
        <v>242</v>
      </c>
      <c r="E1063" s="1" t="s">
        <v>113</v>
      </c>
      <c r="F1063" s="1" t="s">
        <v>65</v>
      </c>
      <c r="G1063" s="1" t="s">
        <v>16</v>
      </c>
      <c r="H1063" s="1" t="s">
        <v>120</v>
      </c>
      <c r="I1063" s="1" t="s">
        <v>60</v>
      </c>
      <c r="J1063" s="1" t="s">
        <v>67</v>
      </c>
      <c r="K1063" s="1" t="s">
        <v>105</v>
      </c>
      <c r="L1063" s="3">
        <v>46791</v>
      </c>
      <c r="M1063" s="3">
        <v>46061</v>
      </c>
      <c r="N1063">
        <f>_xlfn.XLOOKUP(Data[[#This Row],[Status]],Compliance_Status[Status from OPMS],Compliance_Status[Status_Key],"")</f>
        <v>4</v>
      </c>
      <c r="O1063">
        <f>_xlfn.XLOOKUP(Data[[#This Row],[Status]],Compliance_Status[Status from OPMS],Compliance_Status[Has Course booking],"")</f>
        <v>0</v>
      </c>
      <c r="P1063" t="str">
        <f>_xlfn.XLOOKUP(Data[[#This Row],[StatusKey]],Status_Key[Status_Key],Status_Key[Name],"")</f>
        <v>In Date</v>
      </c>
    </row>
    <row r="1064" spans="1:16" x14ac:dyDescent="0.25">
      <c r="A1064" s="1">
        <v>114</v>
      </c>
      <c r="B1064" s="1" t="s">
        <v>243</v>
      </c>
      <c r="C1064" s="1" t="s">
        <v>244</v>
      </c>
      <c r="D1064" s="1" t="s">
        <v>245</v>
      </c>
      <c r="E1064" s="1" t="s">
        <v>129</v>
      </c>
      <c r="F1064" s="1" t="s">
        <v>65</v>
      </c>
      <c r="G1064" s="1" t="s">
        <v>16</v>
      </c>
      <c r="H1064" s="1" t="s">
        <v>130</v>
      </c>
      <c r="I1064" s="1" t="s">
        <v>246</v>
      </c>
      <c r="J1064" s="1"/>
      <c r="K1064" s="1" t="s">
        <v>68</v>
      </c>
      <c r="L1064" s="3">
        <v>47737</v>
      </c>
      <c r="M1064" s="3">
        <v>45912</v>
      </c>
      <c r="N1064">
        <f>_xlfn.XLOOKUP(Data[[#This Row],[Status]],Compliance_Status[Status from OPMS],Compliance_Status[Status_Key],"")</f>
        <v>4</v>
      </c>
      <c r="O1064">
        <f>_xlfn.XLOOKUP(Data[[#This Row],[Status]],Compliance_Status[Status from OPMS],Compliance_Status[Has Course booking],"")</f>
        <v>0</v>
      </c>
      <c r="P1064" t="str">
        <f>_xlfn.XLOOKUP(Data[[#This Row],[StatusKey]],Status_Key[Status_Key],Status_Key[Name],"")</f>
        <v>In Date</v>
      </c>
    </row>
    <row r="1065" spans="1:16" x14ac:dyDescent="0.25">
      <c r="A1065" s="1">
        <v>114</v>
      </c>
      <c r="B1065" s="1" t="s">
        <v>243</v>
      </c>
      <c r="C1065" s="1" t="s">
        <v>244</v>
      </c>
      <c r="D1065" s="1" t="s">
        <v>245</v>
      </c>
      <c r="E1065" s="1" t="s">
        <v>131</v>
      </c>
      <c r="F1065" s="1" t="s">
        <v>65</v>
      </c>
      <c r="G1065" s="1" t="s">
        <v>16</v>
      </c>
      <c r="H1065" s="1" t="s">
        <v>130</v>
      </c>
      <c r="I1065" s="1" t="s">
        <v>246</v>
      </c>
      <c r="J1065" s="1" t="s">
        <v>67</v>
      </c>
      <c r="K1065" s="1" t="s">
        <v>68</v>
      </c>
      <c r="L1065" s="3">
        <v>47737</v>
      </c>
      <c r="M1065" s="3">
        <v>45912</v>
      </c>
      <c r="N1065">
        <f>_xlfn.XLOOKUP(Data[[#This Row],[Status]],Compliance_Status[Status from OPMS],Compliance_Status[Status_Key],"")</f>
        <v>4</v>
      </c>
      <c r="O1065">
        <f>_xlfn.XLOOKUP(Data[[#This Row],[Status]],Compliance_Status[Status from OPMS],Compliance_Status[Has Course booking],"")</f>
        <v>0</v>
      </c>
      <c r="P1065" t="str">
        <f>_xlfn.XLOOKUP(Data[[#This Row],[StatusKey]],Status_Key[Status_Key],Status_Key[Name],"")</f>
        <v>In Date</v>
      </c>
    </row>
    <row r="1066" spans="1:16" x14ac:dyDescent="0.25">
      <c r="A1066" s="1">
        <v>114</v>
      </c>
      <c r="B1066" s="1" t="s">
        <v>243</v>
      </c>
      <c r="C1066" s="1" t="s">
        <v>244</v>
      </c>
      <c r="D1066" s="1" t="s">
        <v>245</v>
      </c>
      <c r="E1066" s="1" t="s">
        <v>69</v>
      </c>
      <c r="F1066" s="1" t="s">
        <v>65</v>
      </c>
      <c r="G1066" s="1" t="s">
        <v>16</v>
      </c>
      <c r="H1066" s="1" t="s">
        <v>130</v>
      </c>
      <c r="I1066" s="1" t="s">
        <v>246</v>
      </c>
      <c r="J1066" s="1"/>
      <c r="K1066" s="1" t="s">
        <v>68</v>
      </c>
      <c r="L1066" s="3">
        <v>47737</v>
      </c>
      <c r="M1066" s="3">
        <v>45912</v>
      </c>
      <c r="N1066">
        <f>_xlfn.XLOOKUP(Data[[#This Row],[Status]],Compliance_Status[Status from OPMS],Compliance_Status[Status_Key],"")</f>
        <v>4</v>
      </c>
      <c r="O1066">
        <f>_xlfn.XLOOKUP(Data[[#This Row],[Status]],Compliance_Status[Status from OPMS],Compliance_Status[Has Course booking],"")</f>
        <v>0</v>
      </c>
      <c r="P1066" t="str">
        <f>_xlfn.XLOOKUP(Data[[#This Row],[StatusKey]],Status_Key[Status_Key],Status_Key[Name],"")</f>
        <v>In Date</v>
      </c>
    </row>
    <row r="1067" spans="1:16" x14ac:dyDescent="0.25">
      <c r="A1067" s="1">
        <v>114</v>
      </c>
      <c r="B1067" s="1" t="s">
        <v>243</v>
      </c>
      <c r="C1067" s="1" t="s">
        <v>244</v>
      </c>
      <c r="D1067" s="1" t="s">
        <v>245</v>
      </c>
      <c r="E1067" s="1" t="s">
        <v>70</v>
      </c>
      <c r="F1067" s="1" t="s">
        <v>65</v>
      </c>
      <c r="G1067" s="1" t="s">
        <v>16</v>
      </c>
      <c r="H1067" s="1" t="s">
        <v>130</v>
      </c>
      <c r="I1067" s="1" t="s">
        <v>246</v>
      </c>
      <c r="J1067" s="1" t="s">
        <v>67</v>
      </c>
      <c r="K1067" s="1" t="s">
        <v>68</v>
      </c>
      <c r="L1067" s="3">
        <v>46375</v>
      </c>
      <c r="M1067" s="3">
        <v>44549</v>
      </c>
      <c r="N1067">
        <f>_xlfn.XLOOKUP(Data[[#This Row],[Status]],Compliance_Status[Status from OPMS],Compliance_Status[Status_Key],"")</f>
        <v>4</v>
      </c>
      <c r="O1067">
        <f>_xlfn.XLOOKUP(Data[[#This Row],[Status]],Compliance_Status[Status from OPMS],Compliance_Status[Has Course booking],"")</f>
        <v>0</v>
      </c>
      <c r="P1067" t="str">
        <f>_xlfn.XLOOKUP(Data[[#This Row],[StatusKey]],Status_Key[Status_Key],Status_Key[Name],"")</f>
        <v>In Date</v>
      </c>
    </row>
    <row r="1068" spans="1:16" x14ac:dyDescent="0.25">
      <c r="A1068" s="1">
        <v>114</v>
      </c>
      <c r="B1068" s="1" t="s">
        <v>243</v>
      </c>
      <c r="C1068" s="1" t="s">
        <v>244</v>
      </c>
      <c r="D1068" s="1" t="s">
        <v>245</v>
      </c>
      <c r="E1068" s="1" t="s">
        <v>132</v>
      </c>
      <c r="F1068" s="1" t="s">
        <v>65</v>
      </c>
      <c r="G1068" s="1" t="s">
        <v>16</v>
      </c>
      <c r="H1068" s="1" t="s">
        <v>130</v>
      </c>
      <c r="I1068" s="1" t="s">
        <v>246</v>
      </c>
      <c r="J1068" s="1"/>
      <c r="K1068" s="1" t="s">
        <v>68</v>
      </c>
      <c r="L1068" s="3">
        <v>46375</v>
      </c>
      <c r="M1068" s="3">
        <v>44549</v>
      </c>
      <c r="N1068">
        <f>_xlfn.XLOOKUP(Data[[#This Row],[Status]],Compliance_Status[Status from OPMS],Compliance_Status[Status_Key],"")</f>
        <v>4</v>
      </c>
      <c r="O1068">
        <f>_xlfn.XLOOKUP(Data[[#This Row],[Status]],Compliance_Status[Status from OPMS],Compliance_Status[Has Course booking],"")</f>
        <v>0</v>
      </c>
      <c r="P1068" t="str">
        <f>_xlfn.XLOOKUP(Data[[#This Row],[StatusKey]],Status_Key[Status_Key],Status_Key[Name],"")</f>
        <v>In Date</v>
      </c>
    </row>
    <row r="1069" spans="1:16" x14ac:dyDescent="0.25">
      <c r="A1069" s="1">
        <v>114</v>
      </c>
      <c r="B1069" s="1" t="s">
        <v>243</v>
      </c>
      <c r="C1069" s="1" t="s">
        <v>244</v>
      </c>
      <c r="D1069" s="1" t="s">
        <v>245</v>
      </c>
      <c r="E1069" s="1" t="s">
        <v>71</v>
      </c>
      <c r="F1069" s="1" t="s">
        <v>72</v>
      </c>
      <c r="G1069" s="1" t="s">
        <v>18</v>
      </c>
      <c r="H1069" s="1" t="s">
        <v>130</v>
      </c>
      <c r="I1069" s="1" t="s">
        <v>246</v>
      </c>
      <c r="J1069" s="1"/>
      <c r="K1069" s="1" t="s">
        <v>68</v>
      </c>
      <c r="L1069" s="3"/>
      <c r="M1069" s="3"/>
      <c r="N1069">
        <f>_xlfn.XLOOKUP(Data[[#This Row],[Status]],Compliance_Status[Status from OPMS],Compliance_Status[Status_Key],"")</f>
        <v>2</v>
      </c>
      <c r="O1069">
        <f>_xlfn.XLOOKUP(Data[[#This Row],[Status]],Compliance_Status[Status from OPMS],Compliance_Status[Has Course booking],"")</f>
        <v>0</v>
      </c>
      <c r="P1069" t="str">
        <f>_xlfn.XLOOKUP(Data[[#This Row],[StatusKey]],Status_Key[Status_Key],Status_Key[Name],"")</f>
        <v>Outstanding</v>
      </c>
    </row>
    <row r="1070" spans="1:16" x14ac:dyDescent="0.25">
      <c r="A1070" s="1">
        <v>114</v>
      </c>
      <c r="B1070" s="1" t="s">
        <v>243</v>
      </c>
      <c r="C1070" s="1" t="s">
        <v>244</v>
      </c>
      <c r="D1070" s="1" t="s">
        <v>245</v>
      </c>
      <c r="E1070" s="1" t="s">
        <v>73</v>
      </c>
      <c r="F1070" s="1" t="s">
        <v>65</v>
      </c>
      <c r="G1070" s="1" t="s">
        <v>16</v>
      </c>
      <c r="H1070" s="1" t="s">
        <v>130</v>
      </c>
      <c r="I1070" s="1" t="s">
        <v>246</v>
      </c>
      <c r="J1070" s="1" t="s">
        <v>67</v>
      </c>
      <c r="K1070" s="1" t="s">
        <v>68</v>
      </c>
      <c r="L1070" s="3">
        <v>46417</v>
      </c>
      <c r="M1070" s="3">
        <v>45687</v>
      </c>
      <c r="N1070">
        <f>_xlfn.XLOOKUP(Data[[#This Row],[Status]],Compliance_Status[Status from OPMS],Compliance_Status[Status_Key],"")</f>
        <v>4</v>
      </c>
      <c r="O1070">
        <f>_xlfn.XLOOKUP(Data[[#This Row],[Status]],Compliance_Status[Status from OPMS],Compliance_Status[Has Course booking],"")</f>
        <v>0</v>
      </c>
      <c r="P1070" t="str">
        <f>_xlfn.XLOOKUP(Data[[#This Row],[StatusKey]],Status_Key[Status_Key],Status_Key[Name],"")</f>
        <v>In Date</v>
      </c>
    </row>
    <row r="1071" spans="1:16" x14ac:dyDescent="0.25">
      <c r="A1071" s="1">
        <v>114</v>
      </c>
      <c r="B1071" s="1" t="s">
        <v>243</v>
      </c>
      <c r="C1071" s="1" t="s">
        <v>244</v>
      </c>
      <c r="D1071" s="1" t="s">
        <v>245</v>
      </c>
      <c r="E1071" s="1" t="s">
        <v>74</v>
      </c>
      <c r="F1071" s="1" t="s">
        <v>65</v>
      </c>
      <c r="G1071" s="1" t="s">
        <v>16</v>
      </c>
      <c r="H1071" s="1" t="s">
        <v>130</v>
      </c>
      <c r="I1071" s="1" t="s">
        <v>246</v>
      </c>
      <c r="J1071" s="1" t="s">
        <v>67</v>
      </c>
      <c r="K1071" s="1" t="s">
        <v>68</v>
      </c>
      <c r="L1071" s="3">
        <v>46385</v>
      </c>
      <c r="M1071" s="3">
        <v>45266</v>
      </c>
      <c r="N1071">
        <f>_xlfn.XLOOKUP(Data[[#This Row],[Status]],Compliance_Status[Status from OPMS],Compliance_Status[Status_Key],"")</f>
        <v>4</v>
      </c>
      <c r="O1071">
        <f>_xlfn.XLOOKUP(Data[[#This Row],[Status]],Compliance_Status[Status from OPMS],Compliance_Status[Has Course booking],"")</f>
        <v>0</v>
      </c>
      <c r="P1071" t="str">
        <f>_xlfn.XLOOKUP(Data[[#This Row],[StatusKey]],Status_Key[Status_Key],Status_Key[Name],"")</f>
        <v>In Date</v>
      </c>
    </row>
    <row r="1072" spans="1:16" x14ac:dyDescent="0.25">
      <c r="A1072" s="1">
        <v>114</v>
      </c>
      <c r="B1072" s="1" t="s">
        <v>243</v>
      </c>
      <c r="C1072" s="1" t="s">
        <v>244</v>
      </c>
      <c r="D1072" s="1" t="s">
        <v>245</v>
      </c>
      <c r="E1072" s="1" t="s">
        <v>75</v>
      </c>
      <c r="F1072" s="1" t="s">
        <v>72</v>
      </c>
      <c r="G1072" s="1" t="s">
        <v>24</v>
      </c>
      <c r="H1072" s="1" t="s">
        <v>130</v>
      </c>
      <c r="I1072" s="1" t="s">
        <v>246</v>
      </c>
      <c r="J1072" s="1" t="s">
        <v>67</v>
      </c>
      <c r="K1072" s="1" t="s">
        <v>68</v>
      </c>
      <c r="L1072" s="3">
        <v>46385</v>
      </c>
      <c r="M1072" s="3">
        <v>45784</v>
      </c>
      <c r="N1072">
        <f>_xlfn.XLOOKUP(Data[[#This Row],[Status]],Compliance_Status[Status from OPMS],Compliance_Status[Status_Key],"")</f>
        <v>3</v>
      </c>
      <c r="O1072">
        <f>_xlfn.XLOOKUP(Data[[#This Row],[Status]],Compliance_Status[Status from OPMS],Compliance_Status[Has Course booking],"")</f>
        <v>0</v>
      </c>
      <c r="P1072" t="str">
        <f>_xlfn.XLOOKUP(Data[[#This Row],[StatusKey]],Status_Key[Status_Key],Status_Key[Name],"")</f>
        <v>About to expire</v>
      </c>
    </row>
    <row r="1073" spans="1:16" x14ac:dyDescent="0.25">
      <c r="A1073" s="1">
        <v>114</v>
      </c>
      <c r="B1073" s="1" t="s">
        <v>243</v>
      </c>
      <c r="C1073" s="1" t="s">
        <v>244</v>
      </c>
      <c r="D1073" s="1" t="s">
        <v>245</v>
      </c>
      <c r="E1073" s="1" t="s">
        <v>76</v>
      </c>
      <c r="F1073" s="1" t="s">
        <v>65</v>
      </c>
      <c r="G1073" s="1" t="s">
        <v>16</v>
      </c>
      <c r="H1073" s="1" t="s">
        <v>130</v>
      </c>
      <c r="I1073" s="1" t="s">
        <v>246</v>
      </c>
      <c r="J1073" s="1" t="s">
        <v>67</v>
      </c>
      <c r="K1073" s="1" t="s">
        <v>77</v>
      </c>
      <c r="L1073" s="3">
        <v>46418</v>
      </c>
      <c r="M1073" s="3">
        <v>44957</v>
      </c>
      <c r="N1073">
        <f>_xlfn.XLOOKUP(Data[[#This Row],[Status]],Compliance_Status[Status from OPMS],Compliance_Status[Status_Key],"")</f>
        <v>4</v>
      </c>
      <c r="O1073">
        <f>_xlfn.XLOOKUP(Data[[#This Row],[Status]],Compliance_Status[Status from OPMS],Compliance_Status[Has Course booking],"")</f>
        <v>0</v>
      </c>
      <c r="P1073" t="str">
        <f>_xlfn.XLOOKUP(Data[[#This Row],[StatusKey]],Status_Key[Status_Key],Status_Key[Name],"")</f>
        <v>In Date</v>
      </c>
    </row>
    <row r="1074" spans="1:16" x14ac:dyDescent="0.25">
      <c r="A1074" s="1">
        <v>114</v>
      </c>
      <c r="B1074" s="1" t="s">
        <v>243</v>
      </c>
      <c r="C1074" s="1" t="s">
        <v>244</v>
      </c>
      <c r="D1074" s="1" t="s">
        <v>245</v>
      </c>
      <c r="E1074" s="1" t="s">
        <v>78</v>
      </c>
      <c r="F1074" s="1" t="s">
        <v>65</v>
      </c>
      <c r="G1074" s="1" t="s">
        <v>16</v>
      </c>
      <c r="H1074" s="1" t="s">
        <v>130</v>
      </c>
      <c r="I1074" s="1" t="s">
        <v>246</v>
      </c>
      <c r="J1074" s="1" t="s">
        <v>67</v>
      </c>
      <c r="K1074" s="1" t="s">
        <v>77</v>
      </c>
      <c r="L1074" s="3" t="s">
        <v>79</v>
      </c>
      <c r="M1074" s="3">
        <v>45690</v>
      </c>
      <c r="N1074">
        <f>_xlfn.XLOOKUP(Data[[#This Row],[Status]],Compliance_Status[Status from OPMS],Compliance_Status[Status_Key],"")</f>
        <v>4</v>
      </c>
      <c r="O1074">
        <f>_xlfn.XLOOKUP(Data[[#This Row],[Status]],Compliance_Status[Status from OPMS],Compliance_Status[Has Course booking],"")</f>
        <v>0</v>
      </c>
      <c r="P1074" t="str">
        <f>_xlfn.XLOOKUP(Data[[#This Row],[StatusKey]],Status_Key[Status_Key],Status_Key[Name],"")</f>
        <v>In Date</v>
      </c>
    </row>
    <row r="1075" spans="1:16" x14ac:dyDescent="0.25">
      <c r="A1075" s="1">
        <v>114</v>
      </c>
      <c r="B1075" s="1" t="s">
        <v>243</v>
      </c>
      <c r="C1075" s="1" t="s">
        <v>244</v>
      </c>
      <c r="D1075" s="1" t="s">
        <v>245</v>
      </c>
      <c r="E1075" s="1" t="s">
        <v>80</v>
      </c>
      <c r="F1075" s="1" t="s">
        <v>65</v>
      </c>
      <c r="G1075" s="1" t="s">
        <v>16</v>
      </c>
      <c r="H1075" s="1" t="s">
        <v>130</v>
      </c>
      <c r="I1075" s="1" t="s">
        <v>246</v>
      </c>
      <c r="J1075" s="1" t="s">
        <v>67</v>
      </c>
      <c r="K1075" s="1" t="s">
        <v>77</v>
      </c>
      <c r="L1075" s="3" t="s">
        <v>79</v>
      </c>
      <c r="M1075" s="3">
        <v>45710</v>
      </c>
      <c r="N1075">
        <f>_xlfn.XLOOKUP(Data[[#This Row],[Status]],Compliance_Status[Status from OPMS],Compliance_Status[Status_Key],"")</f>
        <v>4</v>
      </c>
      <c r="O1075">
        <f>_xlfn.XLOOKUP(Data[[#This Row],[Status]],Compliance_Status[Status from OPMS],Compliance_Status[Has Course booking],"")</f>
        <v>0</v>
      </c>
      <c r="P1075" t="str">
        <f>_xlfn.XLOOKUP(Data[[#This Row],[StatusKey]],Status_Key[Status_Key],Status_Key[Name],"")</f>
        <v>In Date</v>
      </c>
    </row>
    <row r="1076" spans="1:16" x14ac:dyDescent="0.25">
      <c r="A1076" s="1">
        <v>114</v>
      </c>
      <c r="B1076" s="1" t="s">
        <v>243</v>
      </c>
      <c r="C1076" s="1" t="s">
        <v>244</v>
      </c>
      <c r="D1076" s="1" t="s">
        <v>245</v>
      </c>
      <c r="E1076" s="1" t="s">
        <v>81</v>
      </c>
      <c r="F1076" s="1" t="s">
        <v>65</v>
      </c>
      <c r="G1076" s="1" t="s">
        <v>16</v>
      </c>
      <c r="H1076" s="1" t="s">
        <v>130</v>
      </c>
      <c r="I1076" s="1" t="s">
        <v>246</v>
      </c>
      <c r="J1076" s="1" t="s">
        <v>67</v>
      </c>
      <c r="K1076" s="1" t="s">
        <v>77</v>
      </c>
      <c r="L1076" s="3">
        <v>46775</v>
      </c>
      <c r="M1076" s="3">
        <v>46045</v>
      </c>
      <c r="N1076">
        <f>_xlfn.XLOOKUP(Data[[#This Row],[Status]],Compliance_Status[Status from OPMS],Compliance_Status[Status_Key],"")</f>
        <v>4</v>
      </c>
      <c r="O1076">
        <f>_xlfn.XLOOKUP(Data[[#This Row],[Status]],Compliance_Status[Status from OPMS],Compliance_Status[Has Course booking],"")</f>
        <v>0</v>
      </c>
      <c r="P1076" t="str">
        <f>_xlfn.XLOOKUP(Data[[#This Row],[StatusKey]],Status_Key[Status_Key],Status_Key[Name],"")</f>
        <v>In Date</v>
      </c>
    </row>
    <row r="1077" spans="1:16" x14ac:dyDescent="0.25">
      <c r="A1077" s="1">
        <v>114</v>
      </c>
      <c r="B1077" s="1" t="s">
        <v>243</v>
      </c>
      <c r="C1077" s="1" t="s">
        <v>244</v>
      </c>
      <c r="D1077" s="1" t="s">
        <v>245</v>
      </c>
      <c r="E1077" s="1" t="s">
        <v>82</v>
      </c>
      <c r="F1077" s="1" t="s">
        <v>65</v>
      </c>
      <c r="G1077" s="1" t="s">
        <v>16</v>
      </c>
      <c r="H1077" s="1" t="s">
        <v>130</v>
      </c>
      <c r="I1077" s="1" t="s">
        <v>246</v>
      </c>
      <c r="J1077" s="1" t="s">
        <v>67</v>
      </c>
      <c r="K1077" s="1" t="s">
        <v>83</v>
      </c>
      <c r="L1077" s="3">
        <v>46778</v>
      </c>
      <c r="M1077" s="3">
        <v>46048</v>
      </c>
      <c r="N1077">
        <f>_xlfn.XLOOKUP(Data[[#This Row],[Status]],Compliance_Status[Status from OPMS],Compliance_Status[Status_Key],"")</f>
        <v>4</v>
      </c>
      <c r="O1077">
        <f>_xlfn.XLOOKUP(Data[[#This Row],[Status]],Compliance_Status[Status from OPMS],Compliance_Status[Has Course booking],"")</f>
        <v>0</v>
      </c>
      <c r="P1077" t="str">
        <f>_xlfn.XLOOKUP(Data[[#This Row],[StatusKey]],Status_Key[Status_Key],Status_Key[Name],"")</f>
        <v>In Date</v>
      </c>
    </row>
    <row r="1078" spans="1:16" x14ac:dyDescent="0.25">
      <c r="A1078" s="1">
        <v>114</v>
      </c>
      <c r="B1078" s="1" t="s">
        <v>243</v>
      </c>
      <c r="C1078" s="1" t="s">
        <v>244</v>
      </c>
      <c r="D1078" s="1" t="s">
        <v>245</v>
      </c>
      <c r="E1078" s="1" t="s">
        <v>84</v>
      </c>
      <c r="F1078" s="1" t="s">
        <v>65</v>
      </c>
      <c r="G1078" s="1" t="s">
        <v>16</v>
      </c>
      <c r="H1078" s="1" t="s">
        <v>130</v>
      </c>
      <c r="I1078" s="1" t="s">
        <v>246</v>
      </c>
      <c r="J1078" s="1" t="s">
        <v>67</v>
      </c>
      <c r="K1078" s="1" t="s">
        <v>83</v>
      </c>
      <c r="L1078" s="3">
        <v>46716</v>
      </c>
      <c r="M1078" s="3">
        <v>45986</v>
      </c>
      <c r="N1078">
        <f>_xlfn.XLOOKUP(Data[[#This Row],[Status]],Compliance_Status[Status from OPMS],Compliance_Status[Status_Key],"")</f>
        <v>4</v>
      </c>
      <c r="O1078">
        <f>_xlfn.XLOOKUP(Data[[#This Row],[Status]],Compliance_Status[Status from OPMS],Compliance_Status[Has Course booking],"")</f>
        <v>0</v>
      </c>
      <c r="P1078" t="str">
        <f>_xlfn.XLOOKUP(Data[[#This Row],[StatusKey]],Status_Key[Status_Key],Status_Key[Name],"")</f>
        <v>In Date</v>
      </c>
    </row>
    <row r="1079" spans="1:16" x14ac:dyDescent="0.25">
      <c r="A1079" s="1">
        <v>114</v>
      </c>
      <c r="B1079" s="1" t="s">
        <v>243</v>
      </c>
      <c r="C1079" s="1" t="s">
        <v>244</v>
      </c>
      <c r="D1079" s="1" t="s">
        <v>245</v>
      </c>
      <c r="E1079" s="1" t="s">
        <v>91</v>
      </c>
      <c r="F1079" s="1" t="s">
        <v>65</v>
      </c>
      <c r="G1079" s="1" t="s">
        <v>16</v>
      </c>
      <c r="H1079" s="1" t="s">
        <v>130</v>
      </c>
      <c r="I1079" s="1" t="s">
        <v>246</v>
      </c>
      <c r="J1079" s="1" t="s">
        <v>67</v>
      </c>
      <c r="K1079" s="1" t="s">
        <v>86</v>
      </c>
      <c r="L1079" s="3" t="s">
        <v>79</v>
      </c>
      <c r="M1079" s="3">
        <v>46210</v>
      </c>
      <c r="N1079">
        <f>_xlfn.XLOOKUP(Data[[#This Row],[Status]],Compliance_Status[Status from OPMS],Compliance_Status[Status_Key],"")</f>
        <v>4</v>
      </c>
      <c r="O1079">
        <f>_xlfn.XLOOKUP(Data[[#This Row],[Status]],Compliance_Status[Status from OPMS],Compliance_Status[Has Course booking],"")</f>
        <v>0</v>
      </c>
      <c r="P1079" t="str">
        <f>_xlfn.XLOOKUP(Data[[#This Row],[StatusKey]],Status_Key[Status_Key],Status_Key[Name],"")</f>
        <v>In Date</v>
      </c>
    </row>
    <row r="1080" spans="1:16" x14ac:dyDescent="0.25">
      <c r="A1080" s="1">
        <v>114</v>
      </c>
      <c r="B1080" s="1" t="s">
        <v>243</v>
      </c>
      <c r="C1080" s="1" t="s">
        <v>244</v>
      </c>
      <c r="D1080" s="1" t="s">
        <v>245</v>
      </c>
      <c r="E1080" s="1" t="s">
        <v>93</v>
      </c>
      <c r="F1080" s="1" t="s">
        <v>65</v>
      </c>
      <c r="G1080" s="1" t="s">
        <v>16</v>
      </c>
      <c r="H1080" s="1" t="s">
        <v>130</v>
      </c>
      <c r="I1080" s="1" t="s">
        <v>246</v>
      </c>
      <c r="J1080" s="1" t="s">
        <v>67</v>
      </c>
      <c r="K1080" s="1" t="s">
        <v>94</v>
      </c>
      <c r="L1080" s="3">
        <v>46600</v>
      </c>
      <c r="M1080" s="3">
        <v>45870</v>
      </c>
      <c r="N1080">
        <f>_xlfn.XLOOKUP(Data[[#This Row],[Status]],Compliance_Status[Status from OPMS],Compliance_Status[Status_Key],"")</f>
        <v>4</v>
      </c>
      <c r="O1080">
        <f>_xlfn.XLOOKUP(Data[[#This Row],[Status]],Compliance_Status[Status from OPMS],Compliance_Status[Has Course booking],"")</f>
        <v>0</v>
      </c>
      <c r="P1080" t="str">
        <f>_xlfn.XLOOKUP(Data[[#This Row],[StatusKey]],Status_Key[Status_Key],Status_Key[Name],"")</f>
        <v>In Date</v>
      </c>
    </row>
    <row r="1081" spans="1:16" x14ac:dyDescent="0.25">
      <c r="A1081" s="1">
        <v>114</v>
      </c>
      <c r="B1081" s="1" t="s">
        <v>243</v>
      </c>
      <c r="C1081" s="1" t="s">
        <v>244</v>
      </c>
      <c r="D1081" s="1" t="s">
        <v>245</v>
      </c>
      <c r="E1081" s="1" t="s">
        <v>95</v>
      </c>
      <c r="F1081" s="1" t="s">
        <v>65</v>
      </c>
      <c r="G1081" s="1" t="s">
        <v>16</v>
      </c>
      <c r="H1081" s="1" t="s">
        <v>130</v>
      </c>
      <c r="I1081" s="1" t="s">
        <v>246</v>
      </c>
      <c r="J1081" s="1" t="s">
        <v>67</v>
      </c>
      <c r="K1081" s="1" t="s">
        <v>94</v>
      </c>
      <c r="L1081" s="3">
        <v>46600</v>
      </c>
      <c r="M1081" s="3">
        <v>45870</v>
      </c>
      <c r="N1081">
        <f>_xlfn.XLOOKUP(Data[[#This Row],[Status]],Compliance_Status[Status from OPMS],Compliance_Status[Status_Key],"")</f>
        <v>4</v>
      </c>
      <c r="O1081">
        <f>_xlfn.XLOOKUP(Data[[#This Row],[Status]],Compliance_Status[Status from OPMS],Compliance_Status[Has Course booking],"")</f>
        <v>0</v>
      </c>
      <c r="P1081" t="str">
        <f>_xlfn.XLOOKUP(Data[[#This Row],[StatusKey]],Status_Key[Status_Key],Status_Key[Name],"")</f>
        <v>In Date</v>
      </c>
    </row>
    <row r="1082" spans="1:16" x14ac:dyDescent="0.25">
      <c r="A1082" s="1">
        <v>114</v>
      </c>
      <c r="B1082" s="1" t="s">
        <v>243</v>
      </c>
      <c r="C1082" s="1" t="s">
        <v>244</v>
      </c>
      <c r="D1082" s="1" t="s">
        <v>245</v>
      </c>
      <c r="E1082" s="1" t="s">
        <v>96</v>
      </c>
      <c r="F1082" s="1" t="s">
        <v>65</v>
      </c>
      <c r="G1082" s="1" t="s">
        <v>16</v>
      </c>
      <c r="H1082" s="1" t="s">
        <v>130</v>
      </c>
      <c r="I1082" s="1" t="s">
        <v>246</v>
      </c>
      <c r="J1082" s="1" t="s">
        <v>67</v>
      </c>
      <c r="K1082" s="1" t="s">
        <v>94</v>
      </c>
      <c r="L1082" s="3" t="s">
        <v>79</v>
      </c>
      <c r="M1082" s="3">
        <v>46084</v>
      </c>
      <c r="N1082">
        <f>_xlfn.XLOOKUP(Data[[#This Row],[Status]],Compliance_Status[Status from OPMS],Compliance_Status[Status_Key],"")</f>
        <v>4</v>
      </c>
      <c r="O1082">
        <f>_xlfn.XLOOKUP(Data[[#This Row],[Status]],Compliance_Status[Status from OPMS],Compliance_Status[Has Course booking],"")</f>
        <v>0</v>
      </c>
      <c r="P1082" t="str">
        <f>_xlfn.XLOOKUP(Data[[#This Row],[StatusKey]],Status_Key[Status_Key],Status_Key[Name],"")</f>
        <v>In Date</v>
      </c>
    </row>
    <row r="1083" spans="1:16" x14ac:dyDescent="0.25">
      <c r="A1083" s="1">
        <v>114</v>
      </c>
      <c r="B1083" s="1" t="s">
        <v>243</v>
      </c>
      <c r="C1083" s="1" t="s">
        <v>244</v>
      </c>
      <c r="D1083" s="1" t="s">
        <v>245</v>
      </c>
      <c r="E1083" s="1" t="s">
        <v>122</v>
      </c>
      <c r="F1083" s="1" t="s">
        <v>65</v>
      </c>
      <c r="G1083" s="1" t="s">
        <v>18</v>
      </c>
      <c r="H1083" s="1" t="s">
        <v>130</v>
      </c>
      <c r="I1083" s="1" t="s">
        <v>246</v>
      </c>
      <c r="J1083" s="1"/>
      <c r="K1083" s="1" t="s">
        <v>94</v>
      </c>
      <c r="L1083" s="3"/>
      <c r="M1083" s="3"/>
      <c r="N1083">
        <f>_xlfn.XLOOKUP(Data[[#This Row],[Status]],Compliance_Status[Status from OPMS],Compliance_Status[Status_Key],"")</f>
        <v>2</v>
      </c>
      <c r="O1083">
        <f>_xlfn.XLOOKUP(Data[[#This Row],[Status]],Compliance_Status[Status from OPMS],Compliance_Status[Has Course booking],"")</f>
        <v>0</v>
      </c>
      <c r="P1083" t="str">
        <f>_xlfn.XLOOKUP(Data[[#This Row],[StatusKey]],Status_Key[Status_Key],Status_Key[Name],"")</f>
        <v>Outstanding</v>
      </c>
    </row>
    <row r="1084" spans="1:16" x14ac:dyDescent="0.25">
      <c r="A1084" s="1">
        <v>114</v>
      </c>
      <c r="B1084" s="1" t="s">
        <v>243</v>
      </c>
      <c r="C1084" s="1" t="s">
        <v>244</v>
      </c>
      <c r="D1084" s="1" t="s">
        <v>245</v>
      </c>
      <c r="E1084" s="1" t="s">
        <v>156</v>
      </c>
      <c r="F1084" s="1"/>
      <c r="G1084" s="1" t="s">
        <v>16</v>
      </c>
      <c r="H1084" s="1" t="s">
        <v>130</v>
      </c>
      <c r="I1084" s="1" t="s">
        <v>246</v>
      </c>
      <c r="J1084" s="1" t="s">
        <v>67</v>
      </c>
      <c r="K1084" s="1" t="s">
        <v>125</v>
      </c>
      <c r="L1084" s="3">
        <v>47372</v>
      </c>
      <c r="M1084" s="3">
        <v>45545</v>
      </c>
      <c r="N1084">
        <f>_xlfn.XLOOKUP(Data[[#This Row],[Status]],Compliance_Status[Status from OPMS],Compliance_Status[Status_Key],"")</f>
        <v>4</v>
      </c>
      <c r="O1084">
        <f>_xlfn.XLOOKUP(Data[[#This Row],[Status]],Compliance_Status[Status from OPMS],Compliance_Status[Has Course booking],"")</f>
        <v>0</v>
      </c>
      <c r="P1084" t="str">
        <f>_xlfn.XLOOKUP(Data[[#This Row],[StatusKey]],Status_Key[Status_Key],Status_Key[Name],"")</f>
        <v>In Date</v>
      </c>
    </row>
    <row r="1085" spans="1:16" x14ac:dyDescent="0.25">
      <c r="A1085" s="1">
        <v>114</v>
      </c>
      <c r="B1085" s="1" t="s">
        <v>243</v>
      </c>
      <c r="C1085" s="1" t="s">
        <v>244</v>
      </c>
      <c r="D1085" s="1" t="s">
        <v>245</v>
      </c>
      <c r="E1085" s="1" t="s">
        <v>124</v>
      </c>
      <c r="F1085" s="1" t="s">
        <v>72</v>
      </c>
      <c r="G1085" s="1" t="s">
        <v>18</v>
      </c>
      <c r="H1085" s="1" t="s">
        <v>130</v>
      </c>
      <c r="I1085" s="1" t="s">
        <v>246</v>
      </c>
      <c r="J1085" s="1"/>
      <c r="K1085" s="1" t="s">
        <v>125</v>
      </c>
      <c r="L1085" s="3"/>
      <c r="M1085" s="3"/>
      <c r="N1085">
        <f>_xlfn.XLOOKUP(Data[[#This Row],[Status]],Compliance_Status[Status from OPMS],Compliance_Status[Status_Key],"")</f>
        <v>2</v>
      </c>
      <c r="O1085">
        <f>_xlfn.XLOOKUP(Data[[#This Row],[Status]],Compliance_Status[Status from OPMS],Compliance_Status[Has Course booking],"")</f>
        <v>0</v>
      </c>
      <c r="P1085" t="str">
        <f>_xlfn.XLOOKUP(Data[[#This Row],[StatusKey]],Status_Key[Status_Key],Status_Key[Name],"")</f>
        <v>Outstanding</v>
      </c>
    </row>
    <row r="1086" spans="1:16" x14ac:dyDescent="0.25">
      <c r="A1086" s="1">
        <v>114</v>
      </c>
      <c r="B1086" s="1" t="s">
        <v>243</v>
      </c>
      <c r="C1086" s="1" t="s">
        <v>244</v>
      </c>
      <c r="D1086" s="1" t="s">
        <v>245</v>
      </c>
      <c r="E1086" s="1" t="s">
        <v>97</v>
      </c>
      <c r="F1086" s="1" t="s">
        <v>65</v>
      </c>
      <c r="G1086" s="1" t="s">
        <v>16</v>
      </c>
      <c r="H1086" s="1" t="s">
        <v>130</v>
      </c>
      <c r="I1086" s="1" t="s">
        <v>246</v>
      </c>
      <c r="J1086" s="1" t="s">
        <v>67</v>
      </c>
      <c r="K1086" s="1" t="s">
        <v>98</v>
      </c>
      <c r="L1086" s="3">
        <v>47490</v>
      </c>
      <c r="M1086" s="3">
        <v>45664</v>
      </c>
      <c r="N1086">
        <f>_xlfn.XLOOKUP(Data[[#This Row],[Status]],Compliance_Status[Status from OPMS],Compliance_Status[Status_Key],"")</f>
        <v>4</v>
      </c>
      <c r="O1086">
        <f>_xlfn.XLOOKUP(Data[[#This Row],[Status]],Compliance_Status[Status from OPMS],Compliance_Status[Has Course booking],"")</f>
        <v>0</v>
      </c>
      <c r="P1086" t="str">
        <f>_xlfn.XLOOKUP(Data[[#This Row],[StatusKey]],Status_Key[Status_Key],Status_Key[Name],"")</f>
        <v>In Date</v>
      </c>
    </row>
    <row r="1087" spans="1:16" x14ac:dyDescent="0.25">
      <c r="A1087" s="1">
        <v>114</v>
      </c>
      <c r="B1087" s="1" t="s">
        <v>243</v>
      </c>
      <c r="C1087" s="1" t="s">
        <v>244</v>
      </c>
      <c r="D1087" s="1" t="s">
        <v>245</v>
      </c>
      <c r="E1087" s="1" t="s">
        <v>101</v>
      </c>
      <c r="F1087" s="1" t="s">
        <v>65</v>
      </c>
      <c r="G1087" s="1" t="s">
        <v>16</v>
      </c>
      <c r="H1087" s="1" t="s">
        <v>130</v>
      </c>
      <c r="I1087" s="1" t="s">
        <v>246</v>
      </c>
      <c r="J1087" s="1" t="s">
        <v>67</v>
      </c>
      <c r="K1087" s="1" t="s">
        <v>102</v>
      </c>
      <c r="L1087" s="3" t="s">
        <v>79</v>
      </c>
      <c r="M1087" s="3">
        <v>46089</v>
      </c>
      <c r="N1087">
        <f>_xlfn.XLOOKUP(Data[[#This Row],[Status]],Compliance_Status[Status from OPMS],Compliance_Status[Status_Key],"")</f>
        <v>4</v>
      </c>
      <c r="O1087">
        <f>_xlfn.XLOOKUP(Data[[#This Row],[Status]],Compliance_Status[Status from OPMS],Compliance_Status[Has Course booking],"")</f>
        <v>0</v>
      </c>
      <c r="P1087" t="str">
        <f>_xlfn.XLOOKUP(Data[[#This Row],[StatusKey]],Status_Key[Status_Key],Status_Key[Name],"")</f>
        <v>In Date</v>
      </c>
    </row>
    <row r="1088" spans="1:16" x14ac:dyDescent="0.25">
      <c r="A1088" s="1">
        <v>114</v>
      </c>
      <c r="B1088" s="1" t="s">
        <v>243</v>
      </c>
      <c r="C1088" s="1" t="s">
        <v>244</v>
      </c>
      <c r="D1088" s="1" t="s">
        <v>245</v>
      </c>
      <c r="E1088" s="1" t="s">
        <v>103</v>
      </c>
      <c r="F1088" s="1" t="s">
        <v>65</v>
      </c>
      <c r="G1088" s="1" t="s">
        <v>16</v>
      </c>
      <c r="H1088" s="1" t="s">
        <v>130</v>
      </c>
      <c r="I1088" s="1" t="s">
        <v>246</v>
      </c>
      <c r="J1088" s="1" t="s">
        <v>67</v>
      </c>
      <c r="K1088" s="1" t="s">
        <v>102</v>
      </c>
      <c r="L1088" s="3">
        <v>46778</v>
      </c>
      <c r="M1088" s="3">
        <v>46048</v>
      </c>
      <c r="N1088">
        <f>_xlfn.XLOOKUP(Data[[#This Row],[Status]],Compliance_Status[Status from OPMS],Compliance_Status[Status_Key],"")</f>
        <v>4</v>
      </c>
      <c r="O1088">
        <f>_xlfn.XLOOKUP(Data[[#This Row],[Status]],Compliance_Status[Status from OPMS],Compliance_Status[Has Course booking],"")</f>
        <v>0</v>
      </c>
      <c r="P1088" t="str">
        <f>_xlfn.XLOOKUP(Data[[#This Row],[StatusKey]],Status_Key[Status_Key],Status_Key[Name],"")</f>
        <v>In Date</v>
      </c>
    </row>
    <row r="1089" spans="1:16" x14ac:dyDescent="0.25">
      <c r="A1089" s="1">
        <v>114</v>
      </c>
      <c r="B1089" s="1" t="s">
        <v>243</v>
      </c>
      <c r="C1089" s="1" t="s">
        <v>244</v>
      </c>
      <c r="D1089" s="1" t="s">
        <v>245</v>
      </c>
      <c r="E1089" s="1" t="s">
        <v>104</v>
      </c>
      <c r="F1089" s="1" t="s">
        <v>65</v>
      </c>
      <c r="G1089" s="1" t="s">
        <v>16</v>
      </c>
      <c r="H1089" s="1" t="s">
        <v>130</v>
      </c>
      <c r="I1089" s="1" t="s">
        <v>246</v>
      </c>
      <c r="J1089" s="1" t="s">
        <v>67</v>
      </c>
      <c r="K1089" s="1" t="s">
        <v>105</v>
      </c>
      <c r="L1089" s="3">
        <v>46724</v>
      </c>
      <c r="M1089" s="3">
        <v>45994</v>
      </c>
      <c r="N1089">
        <f>_xlfn.XLOOKUP(Data[[#This Row],[Status]],Compliance_Status[Status from OPMS],Compliance_Status[Status_Key],"")</f>
        <v>4</v>
      </c>
      <c r="O1089">
        <f>_xlfn.XLOOKUP(Data[[#This Row],[Status]],Compliance_Status[Status from OPMS],Compliance_Status[Has Course booking],"")</f>
        <v>0</v>
      </c>
      <c r="P1089" t="str">
        <f>_xlfn.XLOOKUP(Data[[#This Row],[StatusKey]],Status_Key[Status_Key],Status_Key[Name],"")</f>
        <v>In Date</v>
      </c>
    </row>
    <row r="1090" spans="1:16" x14ac:dyDescent="0.25">
      <c r="A1090" s="1">
        <v>114</v>
      </c>
      <c r="B1090" s="1" t="s">
        <v>243</v>
      </c>
      <c r="C1090" s="1" t="s">
        <v>244</v>
      </c>
      <c r="D1090" s="1" t="s">
        <v>245</v>
      </c>
      <c r="E1090" s="1" t="s">
        <v>106</v>
      </c>
      <c r="F1090" s="1" t="s">
        <v>65</v>
      </c>
      <c r="G1090" s="1" t="s">
        <v>16</v>
      </c>
      <c r="H1090" s="1" t="s">
        <v>130</v>
      </c>
      <c r="I1090" s="1" t="s">
        <v>246</v>
      </c>
      <c r="J1090" s="1" t="s">
        <v>67</v>
      </c>
      <c r="K1090" s="1" t="s">
        <v>105</v>
      </c>
      <c r="L1090" s="3">
        <v>47490</v>
      </c>
      <c r="M1090" s="3">
        <v>45664</v>
      </c>
      <c r="N1090">
        <f>_xlfn.XLOOKUP(Data[[#This Row],[Status]],Compliance_Status[Status from OPMS],Compliance_Status[Status_Key],"")</f>
        <v>4</v>
      </c>
      <c r="O1090">
        <f>_xlfn.XLOOKUP(Data[[#This Row],[Status]],Compliance_Status[Status from OPMS],Compliance_Status[Has Course booking],"")</f>
        <v>0</v>
      </c>
      <c r="P1090" t="str">
        <f>_xlfn.XLOOKUP(Data[[#This Row],[StatusKey]],Status_Key[Status_Key],Status_Key[Name],"")</f>
        <v>In Date</v>
      </c>
    </row>
    <row r="1091" spans="1:16" x14ac:dyDescent="0.25">
      <c r="A1091" s="1">
        <v>114</v>
      </c>
      <c r="B1091" s="1" t="s">
        <v>243</v>
      </c>
      <c r="C1091" s="1" t="s">
        <v>244</v>
      </c>
      <c r="D1091" s="1" t="s">
        <v>245</v>
      </c>
      <c r="E1091" s="1" t="s">
        <v>107</v>
      </c>
      <c r="F1091" s="1" t="s">
        <v>65</v>
      </c>
      <c r="G1091" s="1" t="s">
        <v>16</v>
      </c>
      <c r="H1091" s="1" t="s">
        <v>130</v>
      </c>
      <c r="I1091" s="1" t="s">
        <v>246</v>
      </c>
      <c r="J1091" s="1" t="s">
        <v>67</v>
      </c>
      <c r="K1091" s="1" t="s">
        <v>105</v>
      </c>
      <c r="L1091" s="3">
        <v>46759</v>
      </c>
      <c r="M1091" s="3">
        <v>45664</v>
      </c>
      <c r="N1091">
        <f>_xlfn.XLOOKUP(Data[[#This Row],[Status]],Compliance_Status[Status from OPMS],Compliance_Status[Status_Key],"")</f>
        <v>4</v>
      </c>
      <c r="O1091">
        <f>_xlfn.XLOOKUP(Data[[#This Row],[Status]],Compliance_Status[Status from OPMS],Compliance_Status[Has Course booking],"")</f>
        <v>0</v>
      </c>
      <c r="P1091" t="str">
        <f>_xlfn.XLOOKUP(Data[[#This Row],[StatusKey]],Status_Key[Status_Key],Status_Key[Name],"")</f>
        <v>In Date</v>
      </c>
    </row>
    <row r="1092" spans="1:16" x14ac:dyDescent="0.25">
      <c r="A1092" s="1">
        <v>114</v>
      </c>
      <c r="B1092" s="1" t="s">
        <v>243</v>
      </c>
      <c r="C1092" s="1" t="s">
        <v>244</v>
      </c>
      <c r="D1092" s="1" t="s">
        <v>245</v>
      </c>
      <c r="E1092" s="1" t="s">
        <v>108</v>
      </c>
      <c r="F1092" s="1" t="s">
        <v>65</v>
      </c>
      <c r="G1092" s="1" t="s">
        <v>16</v>
      </c>
      <c r="H1092" s="1" t="s">
        <v>130</v>
      </c>
      <c r="I1092" s="1" t="s">
        <v>246</v>
      </c>
      <c r="J1092" s="1" t="s">
        <v>67</v>
      </c>
      <c r="K1092" s="1" t="s">
        <v>105</v>
      </c>
      <c r="L1092" s="3">
        <v>47324</v>
      </c>
      <c r="M1092" s="3">
        <v>46228</v>
      </c>
      <c r="N1092">
        <f>_xlfn.XLOOKUP(Data[[#This Row],[Status]],Compliance_Status[Status from OPMS],Compliance_Status[Status_Key],"")</f>
        <v>4</v>
      </c>
      <c r="O1092">
        <f>_xlfn.XLOOKUP(Data[[#This Row],[Status]],Compliance_Status[Status from OPMS],Compliance_Status[Has Course booking],"")</f>
        <v>0</v>
      </c>
      <c r="P1092" t="str">
        <f>_xlfn.XLOOKUP(Data[[#This Row],[StatusKey]],Status_Key[Status_Key],Status_Key[Name],"")</f>
        <v>In Date</v>
      </c>
    </row>
    <row r="1093" spans="1:16" x14ac:dyDescent="0.25">
      <c r="A1093" s="1">
        <v>114</v>
      </c>
      <c r="B1093" s="1" t="s">
        <v>243</v>
      </c>
      <c r="C1093" s="1" t="s">
        <v>244</v>
      </c>
      <c r="D1093" s="1" t="s">
        <v>245</v>
      </c>
      <c r="E1093" s="1" t="s">
        <v>109</v>
      </c>
      <c r="F1093" s="1" t="s">
        <v>65</v>
      </c>
      <c r="G1093" s="1" t="s">
        <v>16</v>
      </c>
      <c r="H1093" s="1" t="s">
        <v>130</v>
      </c>
      <c r="I1093" s="1" t="s">
        <v>246</v>
      </c>
      <c r="J1093" s="1" t="s">
        <v>67</v>
      </c>
      <c r="K1093" s="1" t="s">
        <v>105</v>
      </c>
      <c r="L1093" s="3">
        <v>46864</v>
      </c>
      <c r="M1093" s="3">
        <v>46133</v>
      </c>
      <c r="N1093">
        <f>_xlfn.XLOOKUP(Data[[#This Row],[Status]],Compliance_Status[Status from OPMS],Compliance_Status[Status_Key],"")</f>
        <v>4</v>
      </c>
      <c r="O1093">
        <f>_xlfn.XLOOKUP(Data[[#This Row],[Status]],Compliance_Status[Status from OPMS],Compliance_Status[Has Course booking],"")</f>
        <v>0</v>
      </c>
      <c r="P1093" t="str">
        <f>_xlfn.XLOOKUP(Data[[#This Row],[StatusKey]],Status_Key[Status_Key],Status_Key[Name],"")</f>
        <v>In Date</v>
      </c>
    </row>
    <row r="1094" spans="1:16" x14ac:dyDescent="0.25">
      <c r="A1094" s="1">
        <v>114</v>
      </c>
      <c r="B1094" s="1" t="s">
        <v>243</v>
      </c>
      <c r="C1094" s="1" t="s">
        <v>244</v>
      </c>
      <c r="D1094" s="1" t="s">
        <v>245</v>
      </c>
      <c r="E1094" s="1" t="s">
        <v>110</v>
      </c>
      <c r="F1094" s="1" t="s">
        <v>65</v>
      </c>
      <c r="G1094" s="1" t="s">
        <v>16</v>
      </c>
      <c r="H1094" s="1" t="s">
        <v>130</v>
      </c>
      <c r="I1094" s="1" t="s">
        <v>246</v>
      </c>
      <c r="J1094" s="1" t="s">
        <v>67</v>
      </c>
      <c r="K1094" s="1" t="s">
        <v>105</v>
      </c>
      <c r="L1094" s="3" t="s">
        <v>79</v>
      </c>
      <c r="M1094" s="3">
        <v>45664</v>
      </c>
      <c r="N1094">
        <f>_xlfn.XLOOKUP(Data[[#This Row],[Status]],Compliance_Status[Status from OPMS],Compliance_Status[Status_Key],"")</f>
        <v>4</v>
      </c>
      <c r="O1094">
        <f>_xlfn.XLOOKUP(Data[[#This Row],[Status]],Compliance_Status[Status from OPMS],Compliance_Status[Has Course booking],"")</f>
        <v>0</v>
      </c>
      <c r="P1094" t="str">
        <f>_xlfn.XLOOKUP(Data[[#This Row],[StatusKey]],Status_Key[Status_Key],Status_Key[Name],"")</f>
        <v>In Date</v>
      </c>
    </row>
    <row r="1095" spans="1:16" x14ac:dyDescent="0.25">
      <c r="A1095" s="1">
        <v>114</v>
      </c>
      <c r="B1095" s="1" t="s">
        <v>243</v>
      </c>
      <c r="C1095" s="1" t="s">
        <v>244</v>
      </c>
      <c r="D1095" s="1" t="s">
        <v>245</v>
      </c>
      <c r="E1095" s="1" t="s">
        <v>111</v>
      </c>
      <c r="F1095" s="1" t="s">
        <v>65</v>
      </c>
      <c r="G1095" s="1" t="s">
        <v>16</v>
      </c>
      <c r="H1095" s="1" t="s">
        <v>130</v>
      </c>
      <c r="I1095" s="1" t="s">
        <v>246</v>
      </c>
      <c r="J1095" s="1" t="s">
        <v>67</v>
      </c>
      <c r="K1095" s="1" t="s">
        <v>105</v>
      </c>
      <c r="L1095" s="3">
        <v>46724</v>
      </c>
      <c r="M1095" s="3">
        <v>45994</v>
      </c>
      <c r="N1095">
        <f>_xlfn.XLOOKUP(Data[[#This Row],[Status]],Compliance_Status[Status from OPMS],Compliance_Status[Status_Key],"")</f>
        <v>4</v>
      </c>
      <c r="O1095">
        <f>_xlfn.XLOOKUP(Data[[#This Row],[Status]],Compliance_Status[Status from OPMS],Compliance_Status[Has Course booking],"")</f>
        <v>0</v>
      </c>
      <c r="P1095" t="str">
        <f>_xlfn.XLOOKUP(Data[[#This Row],[StatusKey]],Status_Key[Status_Key],Status_Key[Name],"")</f>
        <v>In Date</v>
      </c>
    </row>
    <row r="1096" spans="1:16" x14ac:dyDescent="0.25">
      <c r="A1096" s="1">
        <v>114</v>
      </c>
      <c r="B1096" s="1" t="s">
        <v>243</v>
      </c>
      <c r="C1096" s="1" t="s">
        <v>244</v>
      </c>
      <c r="D1096" s="1" t="s">
        <v>245</v>
      </c>
      <c r="E1096" s="1" t="s">
        <v>112</v>
      </c>
      <c r="F1096" s="1" t="s">
        <v>65</v>
      </c>
      <c r="G1096" s="1" t="s">
        <v>16</v>
      </c>
      <c r="H1096" s="1" t="s">
        <v>130</v>
      </c>
      <c r="I1096" s="1" t="s">
        <v>246</v>
      </c>
      <c r="J1096" s="1" t="s">
        <v>67</v>
      </c>
      <c r="K1096" s="1" t="s">
        <v>105</v>
      </c>
      <c r="L1096" s="3">
        <v>46725</v>
      </c>
      <c r="M1096" s="3">
        <v>45995</v>
      </c>
      <c r="N1096">
        <f>_xlfn.XLOOKUP(Data[[#This Row],[Status]],Compliance_Status[Status from OPMS],Compliance_Status[Status_Key],"")</f>
        <v>4</v>
      </c>
      <c r="O1096">
        <f>_xlfn.XLOOKUP(Data[[#This Row],[Status]],Compliance_Status[Status from OPMS],Compliance_Status[Has Course booking],"")</f>
        <v>0</v>
      </c>
      <c r="P1096" t="str">
        <f>_xlfn.XLOOKUP(Data[[#This Row],[StatusKey]],Status_Key[Status_Key],Status_Key[Name],"")</f>
        <v>In Date</v>
      </c>
    </row>
    <row r="1097" spans="1:16" x14ac:dyDescent="0.25">
      <c r="A1097" s="1">
        <v>114</v>
      </c>
      <c r="B1097" s="1" t="s">
        <v>243</v>
      </c>
      <c r="C1097" s="1" t="s">
        <v>244</v>
      </c>
      <c r="D1097" s="1" t="s">
        <v>245</v>
      </c>
      <c r="E1097" s="1" t="s">
        <v>113</v>
      </c>
      <c r="F1097" s="1" t="s">
        <v>65</v>
      </c>
      <c r="G1097" s="1" t="s">
        <v>16</v>
      </c>
      <c r="H1097" s="1" t="s">
        <v>130</v>
      </c>
      <c r="I1097" s="1" t="s">
        <v>246</v>
      </c>
      <c r="J1097" s="1" t="s">
        <v>67</v>
      </c>
      <c r="K1097" s="1" t="s">
        <v>105</v>
      </c>
      <c r="L1097" s="3">
        <v>46775</v>
      </c>
      <c r="M1097" s="3">
        <v>46045</v>
      </c>
      <c r="N1097">
        <f>_xlfn.XLOOKUP(Data[[#This Row],[Status]],Compliance_Status[Status from OPMS],Compliance_Status[Status_Key],"")</f>
        <v>4</v>
      </c>
      <c r="O1097">
        <f>_xlfn.XLOOKUP(Data[[#This Row],[Status]],Compliance_Status[Status from OPMS],Compliance_Status[Has Course booking],"")</f>
        <v>0</v>
      </c>
      <c r="P1097" t="str">
        <f>_xlfn.XLOOKUP(Data[[#This Row],[StatusKey]],Status_Key[Status_Key],Status_Key[Name],"")</f>
        <v>In Date</v>
      </c>
    </row>
    <row r="1098" spans="1:16" x14ac:dyDescent="0.25">
      <c r="A1098" s="1">
        <v>242</v>
      </c>
      <c r="B1098" s="1" t="s">
        <v>247</v>
      </c>
      <c r="C1098" s="1" t="s">
        <v>248</v>
      </c>
      <c r="D1098" s="1" t="s">
        <v>249</v>
      </c>
      <c r="E1098" s="1" t="s">
        <v>136</v>
      </c>
      <c r="F1098" s="1" t="s">
        <v>65</v>
      </c>
      <c r="G1098" s="1" t="s">
        <v>16</v>
      </c>
      <c r="H1098" s="1" t="s">
        <v>137</v>
      </c>
      <c r="I1098" s="1" t="s">
        <v>60</v>
      </c>
      <c r="J1098" s="1" t="s">
        <v>67</v>
      </c>
      <c r="K1098" s="1" t="s">
        <v>68</v>
      </c>
      <c r="L1098" s="3">
        <v>47321</v>
      </c>
      <c r="M1098" s="3">
        <v>45496</v>
      </c>
      <c r="N1098">
        <f>_xlfn.XLOOKUP(Data[[#This Row],[Status]],Compliance_Status[Status from OPMS],Compliance_Status[Status_Key],"")</f>
        <v>4</v>
      </c>
      <c r="O1098">
        <f>_xlfn.XLOOKUP(Data[[#This Row],[Status]],Compliance_Status[Status from OPMS],Compliance_Status[Has Course booking],"")</f>
        <v>0</v>
      </c>
      <c r="P1098" t="str">
        <f>_xlfn.XLOOKUP(Data[[#This Row],[StatusKey]],Status_Key[Status_Key],Status_Key[Name],"")</f>
        <v>In Date</v>
      </c>
    </row>
    <row r="1099" spans="1:16" x14ac:dyDescent="0.25">
      <c r="A1099" s="1">
        <v>242</v>
      </c>
      <c r="B1099" s="1" t="s">
        <v>247</v>
      </c>
      <c r="C1099" s="1" t="s">
        <v>248</v>
      </c>
      <c r="D1099" s="1" t="s">
        <v>249</v>
      </c>
      <c r="E1099" s="1" t="s">
        <v>131</v>
      </c>
      <c r="F1099" s="1" t="s">
        <v>65</v>
      </c>
      <c r="G1099" s="1" t="s">
        <v>16</v>
      </c>
      <c r="H1099" s="1" t="s">
        <v>137</v>
      </c>
      <c r="I1099" s="1" t="s">
        <v>60</v>
      </c>
      <c r="J1099" s="1" t="s">
        <v>67</v>
      </c>
      <c r="K1099" s="1" t="s">
        <v>68</v>
      </c>
      <c r="L1099" s="3">
        <v>46739</v>
      </c>
      <c r="M1099" s="3">
        <v>44914</v>
      </c>
      <c r="N1099">
        <f>_xlfn.XLOOKUP(Data[[#This Row],[Status]],Compliance_Status[Status from OPMS],Compliance_Status[Status_Key],"")</f>
        <v>4</v>
      </c>
      <c r="O1099">
        <f>_xlfn.XLOOKUP(Data[[#This Row],[Status]],Compliance_Status[Status from OPMS],Compliance_Status[Has Course booking],"")</f>
        <v>0</v>
      </c>
      <c r="P1099" t="str">
        <f>_xlfn.XLOOKUP(Data[[#This Row],[StatusKey]],Status_Key[Status_Key],Status_Key[Name],"")</f>
        <v>In Date</v>
      </c>
    </row>
    <row r="1100" spans="1:16" x14ac:dyDescent="0.25">
      <c r="A1100" s="1">
        <v>242</v>
      </c>
      <c r="B1100" s="1" t="s">
        <v>247</v>
      </c>
      <c r="C1100" s="1" t="s">
        <v>248</v>
      </c>
      <c r="D1100" s="1" t="s">
        <v>249</v>
      </c>
      <c r="E1100" s="1" t="s">
        <v>69</v>
      </c>
      <c r="F1100" s="1" t="s">
        <v>65</v>
      </c>
      <c r="G1100" s="1" t="s">
        <v>16</v>
      </c>
      <c r="H1100" s="1" t="s">
        <v>137</v>
      </c>
      <c r="I1100" s="1" t="s">
        <v>60</v>
      </c>
      <c r="J1100" s="1" t="s">
        <v>67</v>
      </c>
      <c r="K1100" s="1" t="s">
        <v>68</v>
      </c>
      <c r="L1100" s="3">
        <v>47877</v>
      </c>
      <c r="M1100" s="3">
        <v>46052</v>
      </c>
      <c r="N1100">
        <f>_xlfn.XLOOKUP(Data[[#This Row],[Status]],Compliance_Status[Status from OPMS],Compliance_Status[Status_Key],"")</f>
        <v>4</v>
      </c>
      <c r="O1100">
        <f>_xlfn.XLOOKUP(Data[[#This Row],[Status]],Compliance_Status[Status from OPMS],Compliance_Status[Has Course booking],"")</f>
        <v>0</v>
      </c>
      <c r="P1100" t="str">
        <f>_xlfn.XLOOKUP(Data[[#This Row],[StatusKey]],Status_Key[Status_Key],Status_Key[Name],"")</f>
        <v>In Date</v>
      </c>
    </row>
    <row r="1101" spans="1:16" x14ac:dyDescent="0.25">
      <c r="A1101" s="1">
        <v>242</v>
      </c>
      <c r="B1101" s="1" t="s">
        <v>247</v>
      </c>
      <c r="C1101" s="1" t="s">
        <v>248</v>
      </c>
      <c r="D1101" s="1" t="s">
        <v>249</v>
      </c>
      <c r="E1101" s="1" t="s">
        <v>70</v>
      </c>
      <c r="F1101" s="1"/>
      <c r="G1101" s="1" t="s">
        <v>16</v>
      </c>
      <c r="H1101" s="1" t="s">
        <v>137</v>
      </c>
      <c r="I1101" s="1" t="s">
        <v>60</v>
      </c>
      <c r="J1101" s="1" t="s">
        <v>67</v>
      </c>
      <c r="K1101" s="1" t="s">
        <v>68</v>
      </c>
      <c r="L1101" s="3">
        <v>47383</v>
      </c>
      <c r="M1101" s="3">
        <v>45558</v>
      </c>
      <c r="N1101">
        <f>_xlfn.XLOOKUP(Data[[#This Row],[Status]],Compliance_Status[Status from OPMS],Compliance_Status[Status_Key],"")</f>
        <v>4</v>
      </c>
      <c r="O1101">
        <f>_xlfn.XLOOKUP(Data[[#This Row],[Status]],Compliance_Status[Status from OPMS],Compliance_Status[Has Course booking],"")</f>
        <v>0</v>
      </c>
      <c r="P1101" t="str">
        <f>_xlfn.XLOOKUP(Data[[#This Row],[StatusKey]],Status_Key[Status_Key],Status_Key[Name],"")</f>
        <v>In Date</v>
      </c>
    </row>
    <row r="1102" spans="1:16" x14ac:dyDescent="0.25">
      <c r="A1102" s="1">
        <v>242</v>
      </c>
      <c r="B1102" s="1" t="s">
        <v>247</v>
      </c>
      <c r="C1102" s="1" t="s">
        <v>248</v>
      </c>
      <c r="D1102" s="1" t="s">
        <v>249</v>
      </c>
      <c r="E1102" s="1" t="s">
        <v>132</v>
      </c>
      <c r="F1102" s="1" t="s">
        <v>65</v>
      </c>
      <c r="G1102" s="1" t="s">
        <v>16</v>
      </c>
      <c r="H1102" s="1" t="s">
        <v>137</v>
      </c>
      <c r="I1102" s="1" t="s">
        <v>60</v>
      </c>
      <c r="J1102" s="1"/>
      <c r="K1102" s="1" t="s">
        <v>68</v>
      </c>
      <c r="L1102" s="3">
        <v>47383</v>
      </c>
      <c r="M1102" s="3">
        <v>45558</v>
      </c>
      <c r="N1102">
        <f>_xlfn.XLOOKUP(Data[[#This Row],[Status]],Compliance_Status[Status from OPMS],Compliance_Status[Status_Key],"")</f>
        <v>4</v>
      </c>
      <c r="O1102">
        <f>_xlfn.XLOOKUP(Data[[#This Row],[Status]],Compliance_Status[Status from OPMS],Compliance_Status[Has Course booking],"")</f>
        <v>0</v>
      </c>
      <c r="P1102" t="str">
        <f>_xlfn.XLOOKUP(Data[[#This Row],[StatusKey]],Status_Key[Status_Key],Status_Key[Name],"")</f>
        <v>In Date</v>
      </c>
    </row>
    <row r="1103" spans="1:16" x14ac:dyDescent="0.25">
      <c r="A1103" s="1">
        <v>242</v>
      </c>
      <c r="B1103" s="1" t="s">
        <v>247</v>
      </c>
      <c r="C1103" s="1" t="s">
        <v>248</v>
      </c>
      <c r="D1103" s="1" t="s">
        <v>249</v>
      </c>
      <c r="E1103" s="1" t="s">
        <v>71</v>
      </c>
      <c r="F1103" s="1" t="s">
        <v>72</v>
      </c>
      <c r="G1103" s="1" t="s">
        <v>18</v>
      </c>
      <c r="H1103" s="1" t="s">
        <v>137</v>
      </c>
      <c r="I1103" s="1" t="s">
        <v>60</v>
      </c>
      <c r="J1103" s="1"/>
      <c r="K1103" s="1" t="s">
        <v>68</v>
      </c>
      <c r="L1103" s="3"/>
      <c r="M1103" s="3"/>
      <c r="N1103">
        <f>_xlfn.XLOOKUP(Data[[#This Row],[Status]],Compliance_Status[Status from OPMS],Compliance_Status[Status_Key],"")</f>
        <v>2</v>
      </c>
      <c r="O1103">
        <f>_xlfn.XLOOKUP(Data[[#This Row],[Status]],Compliance_Status[Status from OPMS],Compliance_Status[Has Course booking],"")</f>
        <v>0</v>
      </c>
      <c r="P1103" t="str">
        <f>_xlfn.XLOOKUP(Data[[#This Row],[StatusKey]],Status_Key[Status_Key],Status_Key[Name],"")</f>
        <v>Outstanding</v>
      </c>
    </row>
    <row r="1104" spans="1:16" x14ac:dyDescent="0.25">
      <c r="A1104" s="1">
        <v>242</v>
      </c>
      <c r="B1104" s="1" t="s">
        <v>247</v>
      </c>
      <c r="C1104" s="1" t="s">
        <v>248</v>
      </c>
      <c r="D1104" s="1" t="s">
        <v>249</v>
      </c>
      <c r="E1104" s="1" t="s">
        <v>73</v>
      </c>
      <c r="F1104" s="1" t="s">
        <v>65</v>
      </c>
      <c r="G1104" s="1" t="s">
        <v>16</v>
      </c>
      <c r="H1104" s="1" t="s">
        <v>137</v>
      </c>
      <c r="I1104" s="1" t="s">
        <v>60</v>
      </c>
      <c r="J1104" s="1" t="s">
        <v>67</v>
      </c>
      <c r="K1104" s="1" t="s">
        <v>68</v>
      </c>
      <c r="L1104" s="3">
        <v>46788</v>
      </c>
      <c r="M1104" s="3">
        <v>46058</v>
      </c>
      <c r="N1104">
        <f>_xlfn.XLOOKUP(Data[[#This Row],[Status]],Compliance_Status[Status from OPMS],Compliance_Status[Status_Key],"")</f>
        <v>4</v>
      </c>
      <c r="O1104">
        <f>_xlfn.XLOOKUP(Data[[#This Row],[Status]],Compliance_Status[Status from OPMS],Compliance_Status[Has Course booking],"")</f>
        <v>0</v>
      </c>
      <c r="P1104" t="str">
        <f>_xlfn.XLOOKUP(Data[[#This Row],[StatusKey]],Status_Key[Status_Key],Status_Key[Name],"")</f>
        <v>In Date</v>
      </c>
    </row>
    <row r="1105" spans="1:16" x14ac:dyDescent="0.25">
      <c r="A1105" s="1">
        <v>242</v>
      </c>
      <c r="B1105" s="1" t="s">
        <v>247</v>
      </c>
      <c r="C1105" s="1" t="s">
        <v>248</v>
      </c>
      <c r="D1105" s="1" t="s">
        <v>249</v>
      </c>
      <c r="E1105" s="1" t="s">
        <v>74</v>
      </c>
      <c r="F1105" s="1" t="s">
        <v>65</v>
      </c>
      <c r="G1105" s="1" t="s">
        <v>16</v>
      </c>
      <c r="H1105" s="1" t="s">
        <v>137</v>
      </c>
      <c r="I1105" s="1" t="s">
        <v>60</v>
      </c>
      <c r="J1105" s="1" t="s">
        <v>67</v>
      </c>
      <c r="K1105" s="1" t="s">
        <v>68</v>
      </c>
      <c r="L1105" s="3">
        <v>46385</v>
      </c>
      <c r="M1105" s="3">
        <v>45248</v>
      </c>
      <c r="N1105">
        <f>_xlfn.XLOOKUP(Data[[#This Row],[Status]],Compliance_Status[Status from OPMS],Compliance_Status[Status_Key],"")</f>
        <v>4</v>
      </c>
      <c r="O1105">
        <f>_xlfn.XLOOKUP(Data[[#This Row],[Status]],Compliance_Status[Status from OPMS],Compliance_Status[Has Course booking],"")</f>
        <v>0</v>
      </c>
      <c r="P1105" t="str">
        <f>_xlfn.XLOOKUP(Data[[#This Row],[StatusKey]],Status_Key[Status_Key],Status_Key[Name],"")</f>
        <v>In Date</v>
      </c>
    </row>
    <row r="1106" spans="1:16" x14ac:dyDescent="0.25">
      <c r="A1106" s="1">
        <v>242</v>
      </c>
      <c r="B1106" s="1" t="s">
        <v>247</v>
      </c>
      <c r="C1106" s="1" t="s">
        <v>248</v>
      </c>
      <c r="D1106" s="1" t="s">
        <v>249</v>
      </c>
      <c r="E1106" s="1" t="s">
        <v>75</v>
      </c>
      <c r="F1106" s="1" t="s">
        <v>72</v>
      </c>
      <c r="G1106" s="1" t="s">
        <v>18</v>
      </c>
      <c r="H1106" s="1" t="s">
        <v>137</v>
      </c>
      <c r="I1106" s="1" t="s">
        <v>60</v>
      </c>
      <c r="J1106" s="1"/>
      <c r="K1106" s="1" t="s">
        <v>68</v>
      </c>
      <c r="L1106" s="3"/>
      <c r="M1106" s="3"/>
      <c r="N1106">
        <f>_xlfn.XLOOKUP(Data[[#This Row],[Status]],Compliance_Status[Status from OPMS],Compliance_Status[Status_Key],"")</f>
        <v>2</v>
      </c>
      <c r="O1106">
        <f>_xlfn.XLOOKUP(Data[[#This Row],[Status]],Compliance_Status[Status from OPMS],Compliance_Status[Has Course booking],"")</f>
        <v>0</v>
      </c>
      <c r="P1106" t="str">
        <f>_xlfn.XLOOKUP(Data[[#This Row],[StatusKey]],Status_Key[Status_Key],Status_Key[Name],"")</f>
        <v>Outstanding</v>
      </c>
    </row>
    <row r="1107" spans="1:16" x14ac:dyDescent="0.25">
      <c r="A1107" s="1">
        <v>242</v>
      </c>
      <c r="B1107" s="1" t="s">
        <v>247</v>
      </c>
      <c r="C1107" s="1" t="s">
        <v>248</v>
      </c>
      <c r="D1107" s="1" t="s">
        <v>249</v>
      </c>
      <c r="E1107" s="1" t="s">
        <v>165</v>
      </c>
      <c r="F1107" s="1"/>
      <c r="G1107" s="1" t="s">
        <v>16</v>
      </c>
      <c r="H1107" s="1" t="s">
        <v>137</v>
      </c>
      <c r="I1107" s="1" t="s">
        <v>60</v>
      </c>
      <c r="J1107" s="1" t="s">
        <v>67</v>
      </c>
      <c r="K1107" s="1" t="s">
        <v>68</v>
      </c>
      <c r="L1107" s="3" t="s">
        <v>79</v>
      </c>
      <c r="M1107" s="3">
        <v>45623</v>
      </c>
      <c r="N1107">
        <f>_xlfn.XLOOKUP(Data[[#This Row],[Status]],Compliance_Status[Status from OPMS],Compliance_Status[Status_Key],"")</f>
        <v>4</v>
      </c>
      <c r="O1107">
        <f>_xlfn.XLOOKUP(Data[[#This Row],[Status]],Compliance_Status[Status from OPMS],Compliance_Status[Has Course booking],"")</f>
        <v>0</v>
      </c>
      <c r="P1107" t="str">
        <f>_xlfn.XLOOKUP(Data[[#This Row],[StatusKey]],Status_Key[Status_Key],Status_Key[Name],"")</f>
        <v>In Date</v>
      </c>
    </row>
    <row r="1108" spans="1:16" x14ac:dyDescent="0.25">
      <c r="A1108" s="1">
        <v>242</v>
      </c>
      <c r="B1108" s="1" t="s">
        <v>247</v>
      </c>
      <c r="C1108" s="1" t="s">
        <v>248</v>
      </c>
      <c r="D1108" s="1" t="s">
        <v>249</v>
      </c>
      <c r="E1108" s="1" t="s">
        <v>76</v>
      </c>
      <c r="F1108" s="1" t="s">
        <v>65</v>
      </c>
      <c r="G1108" s="1" t="s">
        <v>16</v>
      </c>
      <c r="H1108" s="1" t="s">
        <v>137</v>
      </c>
      <c r="I1108" s="1" t="s">
        <v>60</v>
      </c>
      <c r="J1108" s="1" t="s">
        <v>67</v>
      </c>
      <c r="K1108" s="1" t="s">
        <v>77</v>
      </c>
      <c r="L1108" s="3">
        <v>47514</v>
      </c>
      <c r="M1108" s="3">
        <v>46023</v>
      </c>
      <c r="N1108">
        <f>_xlfn.XLOOKUP(Data[[#This Row],[Status]],Compliance_Status[Status from OPMS],Compliance_Status[Status_Key],"")</f>
        <v>4</v>
      </c>
      <c r="O1108">
        <f>_xlfn.XLOOKUP(Data[[#This Row],[Status]],Compliance_Status[Status from OPMS],Compliance_Status[Has Course booking],"")</f>
        <v>0</v>
      </c>
      <c r="P1108" t="str">
        <f>_xlfn.XLOOKUP(Data[[#This Row],[StatusKey]],Status_Key[Status_Key],Status_Key[Name],"")</f>
        <v>In Date</v>
      </c>
    </row>
    <row r="1109" spans="1:16" x14ac:dyDescent="0.25">
      <c r="A1109" s="1">
        <v>242</v>
      </c>
      <c r="B1109" s="1" t="s">
        <v>247</v>
      </c>
      <c r="C1109" s="1" t="s">
        <v>248</v>
      </c>
      <c r="D1109" s="1" t="s">
        <v>249</v>
      </c>
      <c r="E1109" s="1" t="s">
        <v>78</v>
      </c>
      <c r="F1109" s="1" t="s">
        <v>65</v>
      </c>
      <c r="G1109" s="1" t="s">
        <v>16</v>
      </c>
      <c r="H1109" s="1" t="s">
        <v>137</v>
      </c>
      <c r="I1109" s="1" t="s">
        <v>60</v>
      </c>
      <c r="J1109" s="1" t="s">
        <v>67</v>
      </c>
      <c r="K1109" s="1" t="s">
        <v>77</v>
      </c>
      <c r="L1109" s="3" t="s">
        <v>79</v>
      </c>
      <c r="M1109" s="3">
        <v>45822</v>
      </c>
      <c r="N1109">
        <f>_xlfn.XLOOKUP(Data[[#This Row],[Status]],Compliance_Status[Status from OPMS],Compliance_Status[Status_Key],"")</f>
        <v>4</v>
      </c>
      <c r="O1109">
        <f>_xlfn.XLOOKUP(Data[[#This Row],[Status]],Compliance_Status[Status from OPMS],Compliance_Status[Has Course booking],"")</f>
        <v>0</v>
      </c>
      <c r="P1109" t="str">
        <f>_xlfn.XLOOKUP(Data[[#This Row],[StatusKey]],Status_Key[Status_Key],Status_Key[Name],"")</f>
        <v>In Date</v>
      </c>
    </row>
    <row r="1110" spans="1:16" x14ac:dyDescent="0.25">
      <c r="A1110" s="1">
        <v>242</v>
      </c>
      <c r="B1110" s="1" t="s">
        <v>247</v>
      </c>
      <c r="C1110" s="1" t="s">
        <v>248</v>
      </c>
      <c r="D1110" s="1" t="s">
        <v>249</v>
      </c>
      <c r="E1110" s="1" t="s">
        <v>80</v>
      </c>
      <c r="F1110" s="1" t="s">
        <v>65</v>
      </c>
      <c r="G1110" s="1" t="s">
        <v>16</v>
      </c>
      <c r="H1110" s="1" t="s">
        <v>137</v>
      </c>
      <c r="I1110" s="1" t="s">
        <v>60</v>
      </c>
      <c r="J1110" s="1" t="s">
        <v>67</v>
      </c>
      <c r="K1110" s="1" t="s">
        <v>77</v>
      </c>
      <c r="L1110" s="3" t="s">
        <v>79</v>
      </c>
      <c r="M1110" s="3">
        <v>46003</v>
      </c>
      <c r="N1110">
        <f>_xlfn.XLOOKUP(Data[[#This Row],[Status]],Compliance_Status[Status from OPMS],Compliance_Status[Status_Key],"")</f>
        <v>4</v>
      </c>
      <c r="O1110">
        <f>_xlfn.XLOOKUP(Data[[#This Row],[Status]],Compliance_Status[Status from OPMS],Compliance_Status[Has Course booking],"")</f>
        <v>0</v>
      </c>
      <c r="P1110" t="str">
        <f>_xlfn.XLOOKUP(Data[[#This Row],[StatusKey]],Status_Key[Status_Key],Status_Key[Name],"")</f>
        <v>In Date</v>
      </c>
    </row>
    <row r="1111" spans="1:16" x14ac:dyDescent="0.25">
      <c r="A1111" s="1">
        <v>242</v>
      </c>
      <c r="B1111" s="1" t="s">
        <v>247</v>
      </c>
      <c r="C1111" s="1" t="s">
        <v>248</v>
      </c>
      <c r="D1111" s="1" t="s">
        <v>249</v>
      </c>
      <c r="E1111" s="1" t="s">
        <v>81</v>
      </c>
      <c r="F1111" s="1" t="s">
        <v>65</v>
      </c>
      <c r="G1111" s="1" t="s">
        <v>16</v>
      </c>
      <c r="H1111" s="1" t="s">
        <v>137</v>
      </c>
      <c r="I1111" s="1" t="s">
        <v>60</v>
      </c>
      <c r="J1111" s="1" t="s">
        <v>67</v>
      </c>
      <c r="K1111" s="1" t="s">
        <v>77</v>
      </c>
      <c r="L1111" s="3">
        <v>46745</v>
      </c>
      <c r="M1111" s="3">
        <v>46015</v>
      </c>
      <c r="N1111">
        <f>_xlfn.XLOOKUP(Data[[#This Row],[Status]],Compliance_Status[Status from OPMS],Compliance_Status[Status_Key],"")</f>
        <v>4</v>
      </c>
      <c r="O1111">
        <f>_xlfn.XLOOKUP(Data[[#This Row],[Status]],Compliance_Status[Status from OPMS],Compliance_Status[Has Course booking],"")</f>
        <v>0</v>
      </c>
      <c r="P1111" t="str">
        <f>_xlfn.XLOOKUP(Data[[#This Row],[StatusKey]],Status_Key[Status_Key],Status_Key[Name],"")</f>
        <v>In Date</v>
      </c>
    </row>
    <row r="1112" spans="1:16" x14ac:dyDescent="0.25">
      <c r="A1112" s="1">
        <v>242</v>
      </c>
      <c r="B1112" s="1" t="s">
        <v>247</v>
      </c>
      <c r="C1112" s="1" t="s">
        <v>248</v>
      </c>
      <c r="D1112" s="1" t="s">
        <v>249</v>
      </c>
      <c r="E1112" s="1" t="s">
        <v>82</v>
      </c>
      <c r="F1112" s="1" t="s">
        <v>65</v>
      </c>
      <c r="G1112" s="1" t="s">
        <v>16</v>
      </c>
      <c r="H1112" s="1" t="s">
        <v>137</v>
      </c>
      <c r="I1112" s="1" t="s">
        <v>60</v>
      </c>
      <c r="J1112" s="1" t="s">
        <v>67</v>
      </c>
      <c r="K1112" s="1" t="s">
        <v>83</v>
      </c>
      <c r="L1112" s="3">
        <v>46740</v>
      </c>
      <c r="M1112" s="3">
        <v>46010</v>
      </c>
      <c r="N1112">
        <f>_xlfn.XLOOKUP(Data[[#This Row],[Status]],Compliance_Status[Status from OPMS],Compliance_Status[Status_Key],"")</f>
        <v>4</v>
      </c>
      <c r="O1112">
        <f>_xlfn.XLOOKUP(Data[[#This Row],[Status]],Compliance_Status[Status from OPMS],Compliance_Status[Has Course booking],"")</f>
        <v>0</v>
      </c>
      <c r="P1112" t="str">
        <f>_xlfn.XLOOKUP(Data[[#This Row],[StatusKey]],Status_Key[Status_Key],Status_Key[Name],"")</f>
        <v>In Date</v>
      </c>
    </row>
    <row r="1113" spans="1:16" x14ac:dyDescent="0.25">
      <c r="A1113" s="1">
        <v>242</v>
      </c>
      <c r="B1113" s="1" t="s">
        <v>247</v>
      </c>
      <c r="C1113" s="1" t="s">
        <v>248</v>
      </c>
      <c r="D1113" s="1" t="s">
        <v>249</v>
      </c>
      <c r="E1113" s="1" t="s">
        <v>84</v>
      </c>
      <c r="F1113" s="1" t="s">
        <v>65</v>
      </c>
      <c r="G1113" s="1" t="s">
        <v>16</v>
      </c>
      <c r="H1113" s="1" t="s">
        <v>137</v>
      </c>
      <c r="I1113" s="1" t="s">
        <v>60</v>
      </c>
      <c r="J1113" s="1" t="s">
        <v>67</v>
      </c>
      <c r="K1113" s="1" t="s">
        <v>83</v>
      </c>
      <c r="L1113" s="3">
        <v>46731</v>
      </c>
      <c r="M1113" s="3">
        <v>46001</v>
      </c>
      <c r="N1113">
        <f>_xlfn.XLOOKUP(Data[[#This Row],[Status]],Compliance_Status[Status from OPMS],Compliance_Status[Status_Key],"")</f>
        <v>4</v>
      </c>
      <c r="O1113">
        <f>_xlfn.XLOOKUP(Data[[#This Row],[Status]],Compliance_Status[Status from OPMS],Compliance_Status[Has Course booking],"")</f>
        <v>0</v>
      </c>
      <c r="P1113" t="str">
        <f>_xlfn.XLOOKUP(Data[[#This Row],[StatusKey]],Status_Key[Status_Key],Status_Key[Name],"")</f>
        <v>In Date</v>
      </c>
    </row>
    <row r="1114" spans="1:16" x14ac:dyDescent="0.25">
      <c r="A1114" s="1">
        <v>242</v>
      </c>
      <c r="B1114" s="1" t="s">
        <v>247</v>
      </c>
      <c r="C1114" s="1" t="s">
        <v>248</v>
      </c>
      <c r="D1114" s="1" t="s">
        <v>249</v>
      </c>
      <c r="E1114" s="1" t="s">
        <v>93</v>
      </c>
      <c r="F1114" s="1" t="s">
        <v>65</v>
      </c>
      <c r="G1114" s="1" t="s">
        <v>16</v>
      </c>
      <c r="H1114" s="1" t="s">
        <v>137</v>
      </c>
      <c r="I1114" s="1" t="s">
        <v>60</v>
      </c>
      <c r="J1114" s="1" t="s">
        <v>67</v>
      </c>
      <c r="K1114" s="1" t="s">
        <v>94</v>
      </c>
      <c r="L1114" s="3">
        <v>46633</v>
      </c>
      <c r="M1114" s="3">
        <v>45903</v>
      </c>
      <c r="N1114">
        <f>_xlfn.XLOOKUP(Data[[#This Row],[Status]],Compliance_Status[Status from OPMS],Compliance_Status[Status_Key],"")</f>
        <v>4</v>
      </c>
      <c r="O1114">
        <f>_xlfn.XLOOKUP(Data[[#This Row],[Status]],Compliance_Status[Status from OPMS],Compliance_Status[Has Course booking],"")</f>
        <v>0</v>
      </c>
      <c r="P1114" t="str">
        <f>_xlfn.XLOOKUP(Data[[#This Row],[StatusKey]],Status_Key[Status_Key],Status_Key[Name],"")</f>
        <v>In Date</v>
      </c>
    </row>
    <row r="1115" spans="1:16" x14ac:dyDescent="0.25">
      <c r="A1115" s="1">
        <v>242</v>
      </c>
      <c r="B1115" s="1" t="s">
        <v>247</v>
      </c>
      <c r="C1115" s="1" t="s">
        <v>248</v>
      </c>
      <c r="D1115" s="1" t="s">
        <v>249</v>
      </c>
      <c r="E1115" s="1" t="s">
        <v>95</v>
      </c>
      <c r="F1115" s="1" t="s">
        <v>65</v>
      </c>
      <c r="G1115" s="1" t="s">
        <v>16</v>
      </c>
      <c r="H1115" s="1" t="s">
        <v>137</v>
      </c>
      <c r="I1115" s="1" t="s">
        <v>60</v>
      </c>
      <c r="J1115" s="1" t="s">
        <v>67</v>
      </c>
      <c r="K1115" s="1" t="s">
        <v>94</v>
      </c>
      <c r="L1115" s="3">
        <v>46633</v>
      </c>
      <c r="M1115" s="3">
        <v>45903</v>
      </c>
      <c r="N1115">
        <f>_xlfn.XLOOKUP(Data[[#This Row],[Status]],Compliance_Status[Status from OPMS],Compliance_Status[Status_Key],"")</f>
        <v>4</v>
      </c>
      <c r="O1115">
        <f>_xlfn.XLOOKUP(Data[[#This Row],[Status]],Compliance_Status[Status from OPMS],Compliance_Status[Has Course booking],"")</f>
        <v>0</v>
      </c>
      <c r="P1115" t="str">
        <f>_xlfn.XLOOKUP(Data[[#This Row],[StatusKey]],Status_Key[Status_Key],Status_Key[Name],"")</f>
        <v>In Date</v>
      </c>
    </row>
    <row r="1116" spans="1:16" x14ac:dyDescent="0.25">
      <c r="A1116" s="1">
        <v>242</v>
      </c>
      <c r="B1116" s="1" t="s">
        <v>247</v>
      </c>
      <c r="C1116" s="1" t="s">
        <v>248</v>
      </c>
      <c r="D1116" s="1" t="s">
        <v>249</v>
      </c>
      <c r="E1116" s="1" t="s">
        <v>96</v>
      </c>
      <c r="F1116" s="1" t="s">
        <v>65</v>
      </c>
      <c r="G1116" s="1" t="s">
        <v>16</v>
      </c>
      <c r="H1116" s="1" t="s">
        <v>137</v>
      </c>
      <c r="I1116" s="1" t="s">
        <v>60</v>
      </c>
      <c r="J1116" s="1" t="s">
        <v>67</v>
      </c>
      <c r="K1116" s="1" t="s">
        <v>94</v>
      </c>
      <c r="L1116" s="3" t="s">
        <v>79</v>
      </c>
      <c r="M1116" s="3">
        <v>46098</v>
      </c>
      <c r="N1116">
        <f>_xlfn.XLOOKUP(Data[[#This Row],[Status]],Compliance_Status[Status from OPMS],Compliance_Status[Status_Key],"")</f>
        <v>4</v>
      </c>
      <c r="O1116">
        <f>_xlfn.XLOOKUP(Data[[#This Row],[Status]],Compliance_Status[Status from OPMS],Compliance_Status[Has Course booking],"")</f>
        <v>0</v>
      </c>
      <c r="P1116" t="str">
        <f>_xlfn.XLOOKUP(Data[[#This Row],[StatusKey]],Status_Key[Status_Key],Status_Key[Name],"")</f>
        <v>In Date</v>
      </c>
    </row>
    <row r="1117" spans="1:16" x14ac:dyDescent="0.25">
      <c r="A1117" s="1">
        <v>242</v>
      </c>
      <c r="B1117" s="1" t="s">
        <v>247</v>
      </c>
      <c r="C1117" s="1" t="s">
        <v>248</v>
      </c>
      <c r="D1117" s="1" t="s">
        <v>249</v>
      </c>
      <c r="E1117" s="1" t="s">
        <v>124</v>
      </c>
      <c r="F1117" s="1" t="s">
        <v>72</v>
      </c>
      <c r="G1117" s="1" t="s">
        <v>18</v>
      </c>
      <c r="H1117" s="1" t="s">
        <v>137</v>
      </c>
      <c r="I1117" s="1" t="s">
        <v>60</v>
      </c>
      <c r="J1117" s="1"/>
      <c r="K1117" s="1" t="s">
        <v>125</v>
      </c>
      <c r="L1117" s="3"/>
      <c r="M1117" s="3"/>
      <c r="N1117">
        <f>_xlfn.XLOOKUP(Data[[#This Row],[Status]],Compliance_Status[Status from OPMS],Compliance_Status[Status_Key],"")</f>
        <v>2</v>
      </c>
      <c r="O1117">
        <f>_xlfn.XLOOKUP(Data[[#This Row],[Status]],Compliance_Status[Status from OPMS],Compliance_Status[Has Course booking],"")</f>
        <v>0</v>
      </c>
      <c r="P1117" t="str">
        <f>_xlfn.XLOOKUP(Data[[#This Row],[StatusKey]],Status_Key[Status_Key],Status_Key[Name],"")</f>
        <v>Outstanding</v>
      </c>
    </row>
    <row r="1118" spans="1:16" x14ac:dyDescent="0.25">
      <c r="A1118" s="1">
        <v>242</v>
      </c>
      <c r="B1118" s="1" t="s">
        <v>247</v>
      </c>
      <c r="C1118" s="1" t="s">
        <v>248</v>
      </c>
      <c r="D1118" s="1" t="s">
        <v>249</v>
      </c>
      <c r="E1118" s="1" t="s">
        <v>97</v>
      </c>
      <c r="F1118" s="1" t="s">
        <v>65</v>
      </c>
      <c r="G1118" s="1" t="s">
        <v>16</v>
      </c>
      <c r="H1118" s="1" t="s">
        <v>137</v>
      </c>
      <c r="I1118" s="1" t="s">
        <v>60</v>
      </c>
      <c r="J1118" s="1" t="s">
        <v>67</v>
      </c>
      <c r="K1118" s="1" t="s">
        <v>98</v>
      </c>
      <c r="L1118" s="3">
        <v>47433</v>
      </c>
      <c r="M1118" s="3">
        <v>45607</v>
      </c>
      <c r="N1118">
        <f>_xlfn.XLOOKUP(Data[[#This Row],[Status]],Compliance_Status[Status from OPMS],Compliance_Status[Status_Key],"")</f>
        <v>4</v>
      </c>
      <c r="O1118">
        <f>_xlfn.XLOOKUP(Data[[#This Row],[Status]],Compliance_Status[Status from OPMS],Compliance_Status[Has Course booking],"")</f>
        <v>0</v>
      </c>
      <c r="P1118" t="str">
        <f>_xlfn.XLOOKUP(Data[[#This Row],[StatusKey]],Status_Key[Status_Key],Status_Key[Name],"")</f>
        <v>In Date</v>
      </c>
    </row>
    <row r="1119" spans="1:16" x14ac:dyDescent="0.25">
      <c r="A1119" s="1">
        <v>242</v>
      </c>
      <c r="B1119" s="1" t="s">
        <v>247</v>
      </c>
      <c r="C1119" s="1" t="s">
        <v>248</v>
      </c>
      <c r="D1119" s="1" t="s">
        <v>249</v>
      </c>
      <c r="E1119" s="1" t="s">
        <v>101</v>
      </c>
      <c r="F1119" s="1" t="s">
        <v>65</v>
      </c>
      <c r="G1119" s="1" t="s">
        <v>16</v>
      </c>
      <c r="H1119" s="1" t="s">
        <v>137</v>
      </c>
      <c r="I1119" s="1" t="s">
        <v>60</v>
      </c>
      <c r="J1119" s="1" t="s">
        <v>67</v>
      </c>
      <c r="K1119" s="1" t="s">
        <v>102</v>
      </c>
      <c r="L1119" s="3" t="s">
        <v>79</v>
      </c>
      <c r="M1119" s="3">
        <v>45485</v>
      </c>
      <c r="N1119">
        <f>_xlfn.XLOOKUP(Data[[#This Row],[Status]],Compliance_Status[Status from OPMS],Compliance_Status[Status_Key],"")</f>
        <v>4</v>
      </c>
      <c r="O1119">
        <f>_xlfn.XLOOKUP(Data[[#This Row],[Status]],Compliance_Status[Status from OPMS],Compliance_Status[Has Course booking],"")</f>
        <v>0</v>
      </c>
      <c r="P1119" t="str">
        <f>_xlfn.XLOOKUP(Data[[#This Row],[StatusKey]],Status_Key[Status_Key],Status_Key[Name],"")</f>
        <v>In Date</v>
      </c>
    </row>
    <row r="1120" spans="1:16" x14ac:dyDescent="0.25">
      <c r="A1120" s="1">
        <v>242</v>
      </c>
      <c r="B1120" s="1" t="s">
        <v>247</v>
      </c>
      <c r="C1120" s="1" t="s">
        <v>248</v>
      </c>
      <c r="D1120" s="1" t="s">
        <v>249</v>
      </c>
      <c r="E1120" s="1" t="s">
        <v>103</v>
      </c>
      <c r="F1120" s="1" t="s">
        <v>65</v>
      </c>
      <c r="G1120" s="1" t="s">
        <v>16</v>
      </c>
      <c r="H1120" s="1" t="s">
        <v>137</v>
      </c>
      <c r="I1120" s="1" t="s">
        <v>60</v>
      </c>
      <c r="J1120" s="1" t="s">
        <v>67</v>
      </c>
      <c r="K1120" s="1" t="s">
        <v>102</v>
      </c>
      <c r="L1120" s="3">
        <v>46455</v>
      </c>
      <c r="M1120" s="3">
        <v>45725</v>
      </c>
      <c r="N1120">
        <f>_xlfn.XLOOKUP(Data[[#This Row],[Status]],Compliance_Status[Status from OPMS],Compliance_Status[Status_Key],"")</f>
        <v>4</v>
      </c>
      <c r="O1120">
        <f>_xlfn.XLOOKUP(Data[[#This Row],[Status]],Compliance_Status[Status from OPMS],Compliance_Status[Has Course booking],"")</f>
        <v>0</v>
      </c>
      <c r="P1120" t="str">
        <f>_xlfn.XLOOKUP(Data[[#This Row],[StatusKey]],Status_Key[Status_Key],Status_Key[Name],"")</f>
        <v>In Date</v>
      </c>
    </row>
    <row r="1121" spans="1:16" x14ac:dyDescent="0.25">
      <c r="A1121" s="1">
        <v>242</v>
      </c>
      <c r="B1121" s="1" t="s">
        <v>247</v>
      </c>
      <c r="C1121" s="1" t="s">
        <v>248</v>
      </c>
      <c r="D1121" s="1" t="s">
        <v>249</v>
      </c>
      <c r="E1121" s="1" t="s">
        <v>104</v>
      </c>
      <c r="F1121" s="1" t="s">
        <v>65</v>
      </c>
      <c r="G1121" s="1" t="s">
        <v>16</v>
      </c>
      <c r="H1121" s="1" t="s">
        <v>137</v>
      </c>
      <c r="I1121" s="1" t="s">
        <v>60</v>
      </c>
      <c r="J1121" s="1" t="s">
        <v>67</v>
      </c>
      <c r="K1121" s="1" t="s">
        <v>105</v>
      </c>
      <c r="L1121" s="3">
        <v>46731</v>
      </c>
      <c r="M1121" s="3">
        <v>46001</v>
      </c>
      <c r="N1121">
        <f>_xlfn.XLOOKUP(Data[[#This Row],[Status]],Compliance_Status[Status from OPMS],Compliance_Status[Status_Key],"")</f>
        <v>4</v>
      </c>
      <c r="O1121">
        <f>_xlfn.XLOOKUP(Data[[#This Row],[Status]],Compliance_Status[Status from OPMS],Compliance_Status[Has Course booking],"")</f>
        <v>0</v>
      </c>
      <c r="P1121" t="str">
        <f>_xlfn.XLOOKUP(Data[[#This Row],[StatusKey]],Status_Key[Status_Key],Status_Key[Name],"")</f>
        <v>In Date</v>
      </c>
    </row>
    <row r="1122" spans="1:16" x14ac:dyDescent="0.25">
      <c r="A1122" s="1">
        <v>242</v>
      </c>
      <c r="B1122" s="1" t="s">
        <v>247</v>
      </c>
      <c r="C1122" s="1" t="s">
        <v>248</v>
      </c>
      <c r="D1122" s="1" t="s">
        <v>249</v>
      </c>
      <c r="E1122" s="1" t="s">
        <v>106</v>
      </c>
      <c r="F1122" s="1" t="s">
        <v>65</v>
      </c>
      <c r="G1122" s="1" t="s">
        <v>16</v>
      </c>
      <c r="H1122" s="1" t="s">
        <v>137</v>
      </c>
      <c r="I1122" s="1" t="s">
        <v>60</v>
      </c>
      <c r="J1122" s="1" t="s">
        <v>67</v>
      </c>
      <c r="K1122" s="1" t="s">
        <v>105</v>
      </c>
      <c r="L1122" s="3">
        <v>47433</v>
      </c>
      <c r="M1122" s="3">
        <v>45607</v>
      </c>
      <c r="N1122">
        <f>_xlfn.XLOOKUP(Data[[#This Row],[Status]],Compliance_Status[Status from OPMS],Compliance_Status[Status_Key],"")</f>
        <v>4</v>
      </c>
      <c r="O1122">
        <f>_xlfn.XLOOKUP(Data[[#This Row],[Status]],Compliance_Status[Status from OPMS],Compliance_Status[Has Course booking],"")</f>
        <v>0</v>
      </c>
      <c r="P1122" t="str">
        <f>_xlfn.XLOOKUP(Data[[#This Row],[StatusKey]],Status_Key[Status_Key],Status_Key[Name],"")</f>
        <v>In Date</v>
      </c>
    </row>
    <row r="1123" spans="1:16" x14ac:dyDescent="0.25">
      <c r="A1123" s="1">
        <v>242</v>
      </c>
      <c r="B1123" s="1" t="s">
        <v>247</v>
      </c>
      <c r="C1123" s="1" t="s">
        <v>248</v>
      </c>
      <c r="D1123" s="1" t="s">
        <v>249</v>
      </c>
      <c r="E1123" s="1" t="s">
        <v>107</v>
      </c>
      <c r="F1123" s="1" t="s">
        <v>65</v>
      </c>
      <c r="G1123" s="1" t="s">
        <v>16</v>
      </c>
      <c r="H1123" s="1" t="s">
        <v>137</v>
      </c>
      <c r="I1123" s="1" t="s">
        <v>60</v>
      </c>
      <c r="J1123" s="1" t="s">
        <v>67</v>
      </c>
      <c r="K1123" s="1" t="s">
        <v>105</v>
      </c>
      <c r="L1123" s="3">
        <v>46702</v>
      </c>
      <c r="M1123" s="3">
        <v>45607</v>
      </c>
      <c r="N1123">
        <f>_xlfn.XLOOKUP(Data[[#This Row],[Status]],Compliance_Status[Status from OPMS],Compliance_Status[Status_Key],"")</f>
        <v>4</v>
      </c>
      <c r="O1123">
        <f>_xlfn.XLOOKUP(Data[[#This Row],[Status]],Compliance_Status[Status from OPMS],Compliance_Status[Has Course booking],"")</f>
        <v>0</v>
      </c>
      <c r="P1123" t="str">
        <f>_xlfn.XLOOKUP(Data[[#This Row],[StatusKey]],Status_Key[Status_Key],Status_Key[Name],"")</f>
        <v>In Date</v>
      </c>
    </row>
    <row r="1124" spans="1:16" x14ac:dyDescent="0.25">
      <c r="A1124" s="1">
        <v>242</v>
      </c>
      <c r="B1124" s="1" t="s">
        <v>247</v>
      </c>
      <c r="C1124" s="1" t="s">
        <v>248</v>
      </c>
      <c r="D1124" s="1" t="s">
        <v>249</v>
      </c>
      <c r="E1124" s="1" t="s">
        <v>108</v>
      </c>
      <c r="F1124" s="1" t="s">
        <v>65</v>
      </c>
      <c r="G1124" s="1" t="s">
        <v>24</v>
      </c>
      <c r="H1124" s="1" t="s">
        <v>137</v>
      </c>
      <c r="I1124" s="1" t="s">
        <v>60</v>
      </c>
      <c r="J1124" s="1" t="s">
        <v>67</v>
      </c>
      <c r="K1124" s="1" t="s">
        <v>105</v>
      </c>
      <c r="L1124" s="3">
        <v>46308</v>
      </c>
      <c r="M1124" s="3">
        <v>45621</v>
      </c>
      <c r="N1124">
        <f>_xlfn.XLOOKUP(Data[[#This Row],[Status]],Compliance_Status[Status from OPMS],Compliance_Status[Status_Key],"")</f>
        <v>3</v>
      </c>
      <c r="O1124">
        <f>_xlfn.XLOOKUP(Data[[#This Row],[Status]],Compliance_Status[Status from OPMS],Compliance_Status[Has Course booking],"")</f>
        <v>0</v>
      </c>
      <c r="P1124" t="str">
        <f>_xlfn.XLOOKUP(Data[[#This Row],[StatusKey]],Status_Key[Status_Key],Status_Key[Name],"")</f>
        <v>About to expire</v>
      </c>
    </row>
    <row r="1125" spans="1:16" x14ac:dyDescent="0.25">
      <c r="A1125" s="1">
        <v>242</v>
      </c>
      <c r="B1125" s="1" t="s">
        <v>247</v>
      </c>
      <c r="C1125" s="1" t="s">
        <v>248</v>
      </c>
      <c r="D1125" s="1" t="s">
        <v>249</v>
      </c>
      <c r="E1125" s="1" t="s">
        <v>109</v>
      </c>
      <c r="F1125" s="1" t="s">
        <v>65</v>
      </c>
      <c r="G1125" s="1" t="s">
        <v>16</v>
      </c>
      <c r="H1125" s="1" t="s">
        <v>137</v>
      </c>
      <c r="I1125" s="1" t="s">
        <v>60</v>
      </c>
      <c r="J1125" s="1" t="s">
        <v>67</v>
      </c>
      <c r="K1125" s="1" t="s">
        <v>105</v>
      </c>
      <c r="L1125" s="3">
        <v>46731</v>
      </c>
      <c r="M1125" s="3">
        <v>46001</v>
      </c>
      <c r="N1125">
        <f>_xlfn.XLOOKUP(Data[[#This Row],[Status]],Compliance_Status[Status from OPMS],Compliance_Status[Status_Key],"")</f>
        <v>4</v>
      </c>
      <c r="O1125">
        <f>_xlfn.XLOOKUP(Data[[#This Row],[Status]],Compliance_Status[Status from OPMS],Compliance_Status[Has Course booking],"")</f>
        <v>0</v>
      </c>
      <c r="P1125" t="str">
        <f>_xlfn.XLOOKUP(Data[[#This Row],[StatusKey]],Status_Key[Status_Key],Status_Key[Name],"")</f>
        <v>In Date</v>
      </c>
    </row>
    <row r="1126" spans="1:16" x14ac:dyDescent="0.25">
      <c r="A1126" s="1">
        <v>242</v>
      </c>
      <c r="B1126" s="1" t="s">
        <v>247</v>
      </c>
      <c r="C1126" s="1" t="s">
        <v>248</v>
      </c>
      <c r="D1126" s="1" t="s">
        <v>249</v>
      </c>
      <c r="E1126" s="1" t="s">
        <v>110</v>
      </c>
      <c r="F1126" s="1" t="s">
        <v>65</v>
      </c>
      <c r="G1126" s="1" t="s">
        <v>16</v>
      </c>
      <c r="H1126" s="1" t="s">
        <v>137</v>
      </c>
      <c r="I1126" s="1" t="s">
        <v>60</v>
      </c>
      <c r="J1126" s="1" t="s">
        <v>67</v>
      </c>
      <c r="K1126" s="1" t="s">
        <v>105</v>
      </c>
      <c r="L1126" s="3" t="s">
        <v>79</v>
      </c>
      <c r="M1126" s="3">
        <v>45606</v>
      </c>
      <c r="N1126">
        <f>_xlfn.XLOOKUP(Data[[#This Row],[Status]],Compliance_Status[Status from OPMS],Compliance_Status[Status_Key],"")</f>
        <v>4</v>
      </c>
      <c r="O1126">
        <f>_xlfn.XLOOKUP(Data[[#This Row],[Status]],Compliance_Status[Status from OPMS],Compliance_Status[Has Course booking],"")</f>
        <v>0</v>
      </c>
      <c r="P1126" t="str">
        <f>_xlfn.XLOOKUP(Data[[#This Row],[StatusKey]],Status_Key[Status_Key],Status_Key[Name],"")</f>
        <v>In Date</v>
      </c>
    </row>
    <row r="1127" spans="1:16" x14ac:dyDescent="0.25">
      <c r="A1127" s="1">
        <v>242</v>
      </c>
      <c r="B1127" s="1" t="s">
        <v>247</v>
      </c>
      <c r="C1127" s="1" t="s">
        <v>248</v>
      </c>
      <c r="D1127" s="1" t="s">
        <v>249</v>
      </c>
      <c r="E1127" s="1" t="s">
        <v>111</v>
      </c>
      <c r="F1127" s="1" t="s">
        <v>65</v>
      </c>
      <c r="G1127" s="1" t="s">
        <v>16</v>
      </c>
      <c r="H1127" s="1" t="s">
        <v>137</v>
      </c>
      <c r="I1127" s="1" t="s">
        <v>60</v>
      </c>
      <c r="J1127" s="1" t="s">
        <v>67</v>
      </c>
      <c r="K1127" s="1" t="s">
        <v>105</v>
      </c>
      <c r="L1127" s="3">
        <v>46743</v>
      </c>
      <c r="M1127" s="3">
        <v>46013</v>
      </c>
      <c r="N1127">
        <f>_xlfn.XLOOKUP(Data[[#This Row],[Status]],Compliance_Status[Status from OPMS],Compliance_Status[Status_Key],"")</f>
        <v>4</v>
      </c>
      <c r="O1127">
        <f>_xlfn.XLOOKUP(Data[[#This Row],[Status]],Compliance_Status[Status from OPMS],Compliance_Status[Has Course booking],"")</f>
        <v>0</v>
      </c>
      <c r="P1127" t="str">
        <f>_xlfn.XLOOKUP(Data[[#This Row],[StatusKey]],Status_Key[Status_Key],Status_Key[Name],"")</f>
        <v>In Date</v>
      </c>
    </row>
    <row r="1128" spans="1:16" x14ac:dyDescent="0.25">
      <c r="A1128" s="1">
        <v>242</v>
      </c>
      <c r="B1128" s="1" t="s">
        <v>247</v>
      </c>
      <c r="C1128" s="1" t="s">
        <v>248</v>
      </c>
      <c r="D1128" s="1" t="s">
        <v>249</v>
      </c>
      <c r="E1128" s="1" t="s">
        <v>112</v>
      </c>
      <c r="F1128" s="1" t="s">
        <v>65</v>
      </c>
      <c r="G1128" s="1" t="s">
        <v>16</v>
      </c>
      <c r="H1128" s="1" t="s">
        <v>137</v>
      </c>
      <c r="I1128" s="1" t="s">
        <v>60</v>
      </c>
      <c r="J1128" s="1" t="s">
        <v>67</v>
      </c>
      <c r="K1128" s="1" t="s">
        <v>105</v>
      </c>
      <c r="L1128" s="3">
        <v>46786</v>
      </c>
      <c r="M1128" s="3">
        <v>46056</v>
      </c>
      <c r="N1128">
        <f>_xlfn.XLOOKUP(Data[[#This Row],[Status]],Compliance_Status[Status from OPMS],Compliance_Status[Status_Key],"")</f>
        <v>4</v>
      </c>
      <c r="O1128">
        <f>_xlfn.XLOOKUP(Data[[#This Row],[Status]],Compliance_Status[Status from OPMS],Compliance_Status[Has Course booking],"")</f>
        <v>0</v>
      </c>
      <c r="P1128" t="str">
        <f>_xlfn.XLOOKUP(Data[[#This Row],[StatusKey]],Status_Key[Status_Key],Status_Key[Name],"")</f>
        <v>In Date</v>
      </c>
    </row>
    <row r="1129" spans="1:16" x14ac:dyDescent="0.25">
      <c r="A1129" s="1">
        <v>242</v>
      </c>
      <c r="B1129" s="1" t="s">
        <v>247</v>
      </c>
      <c r="C1129" s="1" t="s">
        <v>248</v>
      </c>
      <c r="D1129" s="1" t="s">
        <v>249</v>
      </c>
      <c r="E1129" s="1" t="s">
        <v>113</v>
      </c>
      <c r="F1129" s="1" t="s">
        <v>65</v>
      </c>
      <c r="G1129" s="1" t="s">
        <v>16</v>
      </c>
      <c r="H1129" s="1" t="s">
        <v>137</v>
      </c>
      <c r="I1129" s="1" t="s">
        <v>60</v>
      </c>
      <c r="J1129" s="1" t="s">
        <v>67</v>
      </c>
      <c r="K1129" s="1" t="s">
        <v>105</v>
      </c>
      <c r="L1129" s="3">
        <v>46745</v>
      </c>
      <c r="M1129" s="3">
        <v>46015</v>
      </c>
      <c r="N1129">
        <f>_xlfn.XLOOKUP(Data[[#This Row],[Status]],Compliance_Status[Status from OPMS],Compliance_Status[Status_Key],"")</f>
        <v>4</v>
      </c>
      <c r="O1129">
        <f>_xlfn.XLOOKUP(Data[[#This Row],[Status]],Compliance_Status[Status from OPMS],Compliance_Status[Has Course booking],"")</f>
        <v>0</v>
      </c>
      <c r="P1129" t="str">
        <f>_xlfn.XLOOKUP(Data[[#This Row],[StatusKey]],Status_Key[Status_Key],Status_Key[Name],"")</f>
        <v>In Date</v>
      </c>
    </row>
    <row r="1130" spans="1:16" x14ac:dyDescent="0.25">
      <c r="A1130" s="1">
        <v>166</v>
      </c>
      <c r="B1130" s="1" t="s">
        <v>250</v>
      </c>
      <c r="C1130" s="1" t="s">
        <v>251</v>
      </c>
      <c r="D1130" s="1" t="s">
        <v>252</v>
      </c>
      <c r="E1130" s="1" t="s">
        <v>149</v>
      </c>
      <c r="F1130" s="1"/>
      <c r="G1130" s="1" t="s">
        <v>16</v>
      </c>
      <c r="H1130" s="1" t="s">
        <v>155</v>
      </c>
      <c r="I1130" s="1" t="s">
        <v>60</v>
      </c>
      <c r="J1130" s="1" t="s">
        <v>67</v>
      </c>
      <c r="K1130" s="1" t="s">
        <v>68</v>
      </c>
      <c r="L1130" s="3">
        <v>47408</v>
      </c>
      <c r="M1130" s="3">
        <v>45492</v>
      </c>
      <c r="N1130">
        <f>_xlfn.XLOOKUP(Data[[#This Row],[Status]],Compliance_Status[Status from OPMS],Compliance_Status[Status_Key],"")</f>
        <v>4</v>
      </c>
      <c r="O1130">
        <f>_xlfn.XLOOKUP(Data[[#This Row],[Status]],Compliance_Status[Status from OPMS],Compliance_Status[Has Course booking],"")</f>
        <v>0</v>
      </c>
      <c r="P1130" t="str">
        <f>_xlfn.XLOOKUP(Data[[#This Row],[StatusKey]],Status_Key[Status_Key],Status_Key[Name],"")</f>
        <v>In Date</v>
      </c>
    </row>
    <row r="1131" spans="1:16" x14ac:dyDescent="0.25">
      <c r="A1131" s="1">
        <v>166</v>
      </c>
      <c r="B1131" s="1" t="s">
        <v>250</v>
      </c>
      <c r="C1131" s="1" t="s">
        <v>251</v>
      </c>
      <c r="D1131" s="1" t="s">
        <v>252</v>
      </c>
      <c r="E1131" s="1" t="s">
        <v>154</v>
      </c>
      <c r="F1131" s="1" t="s">
        <v>65</v>
      </c>
      <c r="G1131" s="1" t="s">
        <v>16</v>
      </c>
      <c r="H1131" s="1" t="s">
        <v>155</v>
      </c>
      <c r="I1131" s="1" t="s">
        <v>60</v>
      </c>
      <c r="J1131" s="1"/>
      <c r="K1131" s="1" t="s">
        <v>68</v>
      </c>
      <c r="L1131" s="3">
        <v>47408</v>
      </c>
      <c r="M1131" s="3">
        <v>45492</v>
      </c>
      <c r="N1131">
        <f>_xlfn.XLOOKUP(Data[[#This Row],[Status]],Compliance_Status[Status from OPMS],Compliance_Status[Status_Key],"")</f>
        <v>4</v>
      </c>
      <c r="O1131">
        <f>_xlfn.XLOOKUP(Data[[#This Row],[Status]],Compliance_Status[Status from OPMS],Compliance_Status[Has Course booking],"")</f>
        <v>0</v>
      </c>
      <c r="P1131" t="str">
        <f>_xlfn.XLOOKUP(Data[[#This Row],[StatusKey]],Status_Key[Status_Key],Status_Key[Name],"")</f>
        <v>In Date</v>
      </c>
    </row>
    <row r="1132" spans="1:16" x14ac:dyDescent="0.25">
      <c r="A1132" s="1">
        <v>166</v>
      </c>
      <c r="B1132" s="1" t="s">
        <v>250</v>
      </c>
      <c r="C1132" s="1" t="s">
        <v>251</v>
      </c>
      <c r="D1132" s="1" t="s">
        <v>252</v>
      </c>
      <c r="E1132" s="1" t="s">
        <v>131</v>
      </c>
      <c r="F1132" s="1" t="s">
        <v>65</v>
      </c>
      <c r="G1132" s="1" t="s">
        <v>16</v>
      </c>
      <c r="H1132" s="1" t="s">
        <v>155</v>
      </c>
      <c r="I1132" s="1" t="s">
        <v>60</v>
      </c>
      <c r="J1132" s="1"/>
      <c r="K1132" s="1" t="s">
        <v>68</v>
      </c>
      <c r="L1132" s="3">
        <v>47408</v>
      </c>
      <c r="M1132" s="3">
        <v>45492</v>
      </c>
      <c r="N1132">
        <f>_xlfn.XLOOKUP(Data[[#This Row],[Status]],Compliance_Status[Status from OPMS],Compliance_Status[Status_Key],"")</f>
        <v>4</v>
      </c>
      <c r="O1132">
        <f>_xlfn.XLOOKUP(Data[[#This Row],[Status]],Compliance_Status[Status from OPMS],Compliance_Status[Has Course booking],"")</f>
        <v>0</v>
      </c>
      <c r="P1132" t="str">
        <f>_xlfn.XLOOKUP(Data[[#This Row],[StatusKey]],Status_Key[Status_Key],Status_Key[Name],"")</f>
        <v>In Date</v>
      </c>
    </row>
    <row r="1133" spans="1:16" x14ac:dyDescent="0.25">
      <c r="A1133" s="1">
        <v>166</v>
      </c>
      <c r="B1133" s="1" t="s">
        <v>250</v>
      </c>
      <c r="C1133" s="1" t="s">
        <v>251</v>
      </c>
      <c r="D1133" s="1" t="s">
        <v>252</v>
      </c>
      <c r="E1133" s="1" t="s">
        <v>71</v>
      </c>
      <c r="F1133" s="1" t="s">
        <v>72</v>
      </c>
      <c r="G1133" s="1" t="s">
        <v>18</v>
      </c>
      <c r="H1133" s="1" t="s">
        <v>155</v>
      </c>
      <c r="I1133" s="1" t="s">
        <v>60</v>
      </c>
      <c r="J1133" s="1"/>
      <c r="K1133" s="1" t="s">
        <v>68</v>
      </c>
      <c r="L1133" s="3"/>
      <c r="M1133" s="3"/>
      <c r="N1133">
        <f>_xlfn.XLOOKUP(Data[[#This Row],[Status]],Compliance_Status[Status from OPMS],Compliance_Status[Status_Key],"")</f>
        <v>2</v>
      </c>
      <c r="O1133">
        <f>_xlfn.XLOOKUP(Data[[#This Row],[Status]],Compliance_Status[Status from OPMS],Compliance_Status[Has Course booking],"")</f>
        <v>0</v>
      </c>
      <c r="P1133" t="str">
        <f>_xlfn.XLOOKUP(Data[[#This Row],[StatusKey]],Status_Key[Status_Key],Status_Key[Name],"")</f>
        <v>Outstanding</v>
      </c>
    </row>
    <row r="1134" spans="1:16" x14ac:dyDescent="0.25">
      <c r="A1134" s="1">
        <v>166</v>
      </c>
      <c r="B1134" s="1" t="s">
        <v>250</v>
      </c>
      <c r="C1134" s="1" t="s">
        <v>251</v>
      </c>
      <c r="D1134" s="1" t="s">
        <v>252</v>
      </c>
      <c r="E1134" s="1" t="s">
        <v>73</v>
      </c>
      <c r="F1134" s="1" t="s">
        <v>65</v>
      </c>
      <c r="G1134" s="1" t="s">
        <v>16</v>
      </c>
      <c r="H1134" s="1" t="s">
        <v>155</v>
      </c>
      <c r="I1134" s="1" t="s">
        <v>60</v>
      </c>
      <c r="J1134" s="1" t="s">
        <v>67</v>
      </c>
      <c r="K1134" s="1" t="s">
        <v>68</v>
      </c>
      <c r="L1134" s="3">
        <v>46858</v>
      </c>
      <c r="M1134" s="3">
        <v>46127</v>
      </c>
      <c r="N1134">
        <f>_xlfn.XLOOKUP(Data[[#This Row],[Status]],Compliance_Status[Status from OPMS],Compliance_Status[Status_Key],"")</f>
        <v>4</v>
      </c>
      <c r="O1134">
        <f>_xlfn.XLOOKUP(Data[[#This Row],[Status]],Compliance_Status[Status from OPMS],Compliance_Status[Has Course booking],"")</f>
        <v>0</v>
      </c>
      <c r="P1134" t="str">
        <f>_xlfn.XLOOKUP(Data[[#This Row],[StatusKey]],Status_Key[Status_Key],Status_Key[Name],"")</f>
        <v>In Date</v>
      </c>
    </row>
    <row r="1135" spans="1:16" x14ac:dyDescent="0.25">
      <c r="A1135" s="1">
        <v>166</v>
      </c>
      <c r="B1135" s="1" t="s">
        <v>250</v>
      </c>
      <c r="C1135" s="1" t="s">
        <v>251</v>
      </c>
      <c r="D1135" s="1" t="s">
        <v>252</v>
      </c>
      <c r="E1135" s="1" t="s">
        <v>74</v>
      </c>
      <c r="F1135" s="1" t="s">
        <v>65</v>
      </c>
      <c r="G1135" s="1" t="s">
        <v>16</v>
      </c>
      <c r="H1135" s="1" t="s">
        <v>155</v>
      </c>
      <c r="I1135" s="1" t="s">
        <v>60</v>
      </c>
      <c r="J1135" s="1" t="s">
        <v>67</v>
      </c>
      <c r="K1135" s="1" t="s">
        <v>68</v>
      </c>
      <c r="L1135" s="3">
        <v>46866</v>
      </c>
      <c r="M1135" s="3">
        <v>45770</v>
      </c>
      <c r="N1135">
        <f>_xlfn.XLOOKUP(Data[[#This Row],[Status]],Compliance_Status[Status from OPMS],Compliance_Status[Status_Key],"")</f>
        <v>4</v>
      </c>
      <c r="O1135">
        <f>_xlfn.XLOOKUP(Data[[#This Row],[Status]],Compliance_Status[Status from OPMS],Compliance_Status[Has Course booking],"")</f>
        <v>0</v>
      </c>
      <c r="P1135" t="str">
        <f>_xlfn.XLOOKUP(Data[[#This Row],[StatusKey]],Status_Key[Status_Key],Status_Key[Name],"")</f>
        <v>In Date</v>
      </c>
    </row>
    <row r="1136" spans="1:16" x14ac:dyDescent="0.25">
      <c r="A1136" s="1">
        <v>166</v>
      </c>
      <c r="B1136" s="1" t="s">
        <v>250</v>
      </c>
      <c r="C1136" s="1" t="s">
        <v>251</v>
      </c>
      <c r="D1136" s="1" t="s">
        <v>252</v>
      </c>
      <c r="E1136" s="1" t="s">
        <v>75</v>
      </c>
      <c r="F1136" s="1" t="s">
        <v>72</v>
      </c>
      <c r="G1136" s="1" t="s">
        <v>18</v>
      </c>
      <c r="H1136" s="1" t="s">
        <v>155</v>
      </c>
      <c r="I1136" s="1" t="s">
        <v>60</v>
      </c>
      <c r="J1136" s="1"/>
      <c r="K1136" s="1" t="s">
        <v>68</v>
      </c>
      <c r="L1136" s="3"/>
      <c r="M1136" s="3"/>
      <c r="N1136">
        <f>_xlfn.XLOOKUP(Data[[#This Row],[Status]],Compliance_Status[Status from OPMS],Compliance_Status[Status_Key],"")</f>
        <v>2</v>
      </c>
      <c r="O1136">
        <f>_xlfn.XLOOKUP(Data[[#This Row],[Status]],Compliance_Status[Status from OPMS],Compliance_Status[Has Course booking],"")</f>
        <v>0</v>
      </c>
      <c r="P1136" t="str">
        <f>_xlfn.XLOOKUP(Data[[#This Row],[StatusKey]],Status_Key[Status_Key],Status_Key[Name],"")</f>
        <v>Outstanding</v>
      </c>
    </row>
    <row r="1137" spans="1:16" x14ac:dyDescent="0.25">
      <c r="A1137" s="1">
        <v>166</v>
      </c>
      <c r="B1137" s="1" t="s">
        <v>250</v>
      </c>
      <c r="C1137" s="1" t="s">
        <v>251</v>
      </c>
      <c r="D1137" s="1" t="s">
        <v>252</v>
      </c>
      <c r="E1137" s="1" t="s">
        <v>76</v>
      </c>
      <c r="F1137" s="1" t="s">
        <v>65</v>
      </c>
      <c r="G1137" s="1" t="s">
        <v>16</v>
      </c>
      <c r="H1137" s="1" t="s">
        <v>155</v>
      </c>
      <c r="I1137" s="1" t="s">
        <v>60</v>
      </c>
      <c r="J1137" s="1" t="s">
        <v>67</v>
      </c>
      <c r="K1137" s="1" t="s">
        <v>77</v>
      </c>
      <c r="L1137" s="3">
        <v>46630</v>
      </c>
      <c r="M1137" s="3">
        <v>45169</v>
      </c>
      <c r="N1137">
        <f>_xlfn.XLOOKUP(Data[[#This Row],[Status]],Compliance_Status[Status from OPMS],Compliance_Status[Status_Key],"")</f>
        <v>4</v>
      </c>
      <c r="O1137">
        <f>_xlfn.XLOOKUP(Data[[#This Row],[Status]],Compliance_Status[Status from OPMS],Compliance_Status[Has Course booking],"")</f>
        <v>0</v>
      </c>
      <c r="P1137" t="str">
        <f>_xlfn.XLOOKUP(Data[[#This Row],[StatusKey]],Status_Key[Status_Key],Status_Key[Name],"")</f>
        <v>In Date</v>
      </c>
    </row>
    <row r="1138" spans="1:16" x14ac:dyDescent="0.25">
      <c r="A1138" s="1">
        <v>166</v>
      </c>
      <c r="B1138" s="1" t="s">
        <v>250</v>
      </c>
      <c r="C1138" s="1" t="s">
        <v>251</v>
      </c>
      <c r="D1138" s="1" t="s">
        <v>252</v>
      </c>
      <c r="E1138" s="1" t="s">
        <v>80</v>
      </c>
      <c r="F1138" s="1" t="s">
        <v>65</v>
      </c>
      <c r="G1138" s="1" t="s">
        <v>16</v>
      </c>
      <c r="H1138" s="1" t="s">
        <v>155</v>
      </c>
      <c r="I1138" s="1" t="s">
        <v>60</v>
      </c>
      <c r="J1138" s="1" t="s">
        <v>67</v>
      </c>
      <c r="K1138" s="1" t="s">
        <v>77</v>
      </c>
      <c r="L1138" s="3" t="s">
        <v>79</v>
      </c>
      <c r="M1138" s="3">
        <v>45999</v>
      </c>
      <c r="N1138">
        <f>_xlfn.XLOOKUP(Data[[#This Row],[Status]],Compliance_Status[Status from OPMS],Compliance_Status[Status_Key],"")</f>
        <v>4</v>
      </c>
      <c r="O1138">
        <f>_xlfn.XLOOKUP(Data[[#This Row],[Status]],Compliance_Status[Status from OPMS],Compliance_Status[Has Course booking],"")</f>
        <v>0</v>
      </c>
      <c r="P1138" t="str">
        <f>_xlfn.XLOOKUP(Data[[#This Row],[StatusKey]],Status_Key[Status_Key],Status_Key[Name],"")</f>
        <v>In Date</v>
      </c>
    </row>
    <row r="1139" spans="1:16" x14ac:dyDescent="0.25">
      <c r="A1139" s="1">
        <v>166</v>
      </c>
      <c r="B1139" s="1" t="s">
        <v>250</v>
      </c>
      <c r="C1139" s="1" t="s">
        <v>251</v>
      </c>
      <c r="D1139" s="1" t="s">
        <v>252</v>
      </c>
      <c r="E1139" s="1" t="s">
        <v>81</v>
      </c>
      <c r="F1139" s="1"/>
      <c r="G1139" s="1" t="s">
        <v>16</v>
      </c>
      <c r="H1139" s="1" t="s">
        <v>155</v>
      </c>
      <c r="I1139" s="1" t="s">
        <v>60</v>
      </c>
      <c r="J1139" s="1" t="s">
        <v>67</v>
      </c>
      <c r="K1139" s="1" t="s">
        <v>77</v>
      </c>
      <c r="L1139" s="3">
        <v>46888</v>
      </c>
      <c r="M1139" s="3">
        <v>46158</v>
      </c>
      <c r="N1139">
        <f>_xlfn.XLOOKUP(Data[[#This Row],[Status]],Compliance_Status[Status from OPMS],Compliance_Status[Status_Key],"")</f>
        <v>4</v>
      </c>
      <c r="O1139">
        <f>_xlfn.XLOOKUP(Data[[#This Row],[Status]],Compliance_Status[Status from OPMS],Compliance_Status[Has Course booking],"")</f>
        <v>0</v>
      </c>
      <c r="P1139" t="str">
        <f>_xlfn.XLOOKUP(Data[[#This Row],[StatusKey]],Status_Key[Status_Key],Status_Key[Name],"")</f>
        <v>In Date</v>
      </c>
    </row>
    <row r="1140" spans="1:16" x14ac:dyDescent="0.25">
      <c r="A1140" s="1">
        <v>166</v>
      </c>
      <c r="B1140" s="1" t="s">
        <v>250</v>
      </c>
      <c r="C1140" s="1" t="s">
        <v>251</v>
      </c>
      <c r="D1140" s="1" t="s">
        <v>252</v>
      </c>
      <c r="E1140" s="1" t="s">
        <v>84</v>
      </c>
      <c r="F1140" s="1" t="s">
        <v>65</v>
      </c>
      <c r="G1140" s="1" t="s">
        <v>16</v>
      </c>
      <c r="H1140" s="1" t="s">
        <v>155</v>
      </c>
      <c r="I1140" s="1" t="s">
        <v>60</v>
      </c>
      <c r="J1140" s="1" t="s">
        <v>67</v>
      </c>
      <c r="K1140" s="1" t="s">
        <v>83</v>
      </c>
      <c r="L1140" s="3">
        <v>46722</v>
      </c>
      <c r="M1140" s="3">
        <v>45992</v>
      </c>
      <c r="N1140">
        <f>_xlfn.XLOOKUP(Data[[#This Row],[Status]],Compliance_Status[Status from OPMS],Compliance_Status[Status_Key],"")</f>
        <v>4</v>
      </c>
      <c r="O1140">
        <f>_xlfn.XLOOKUP(Data[[#This Row],[Status]],Compliance_Status[Status from OPMS],Compliance_Status[Has Course booking],"")</f>
        <v>0</v>
      </c>
      <c r="P1140" t="str">
        <f>_xlfn.XLOOKUP(Data[[#This Row],[StatusKey]],Status_Key[Status_Key],Status_Key[Name],"")</f>
        <v>In Date</v>
      </c>
    </row>
    <row r="1141" spans="1:16" x14ac:dyDescent="0.25">
      <c r="A1141" s="1">
        <v>166</v>
      </c>
      <c r="B1141" s="1" t="s">
        <v>250</v>
      </c>
      <c r="C1141" s="1" t="s">
        <v>251</v>
      </c>
      <c r="D1141" s="1" t="s">
        <v>252</v>
      </c>
      <c r="E1141" s="1" t="s">
        <v>93</v>
      </c>
      <c r="F1141" s="1" t="s">
        <v>65</v>
      </c>
      <c r="G1141" s="1" t="s">
        <v>16</v>
      </c>
      <c r="H1141" s="1" t="s">
        <v>155</v>
      </c>
      <c r="I1141" s="1" t="s">
        <v>60</v>
      </c>
      <c r="J1141" s="1" t="s">
        <v>67</v>
      </c>
      <c r="K1141" s="1" t="s">
        <v>94</v>
      </c>
      <c r="L1141" s="3">
        <v>46708</v>
      </c>
      <c r="M1141" s="3">
        <v>45978</v>
      </c>
      <c r="N1141">
        <f>_xlfn.XLOOKUP(Data[[#This Row],[Status]],Compliance_Status[Status from OPMS],Compliance_Status[Status_Key],"")</f>
        <v>4</v>
      </c>
      <c r="O1141">
        <f>_xlfn.XLOOKUP(Data[[#This Row],[Status]],Compliance_Status[Status from OPMS],Compliance_Status[Has Course booking],"")</f>
        <v>0</v>
      </c>
      <c r="P1141" t="str">
        <f>_xlfn.XLOOKUP(Data[[#This Row],[StatusKey]],Status_Key[Status_Key],Status_Key[Name],"")</f>
        <v>In Date</v>
      </c>
    </row>
    <row r="1142" spans="1:16" x14ac:dyDescent="0.25">
      <c r="A1142" s="1">
        <v>166</v>
      </c>
      <c r="B1142" s="1" t="s">
        <v>250</v>
      </c>
      <c r="C1142" s="1" t="s">
        <v>251</v>
      </c>
      <c r="D1142" s="1" t="s">
        <v>252</v>
      </c>
      <c r="E1142" s="1" t="s">
        <v>95</v>
      </c>
      <c r="F1142" s="1" t="s">
        <v>65</v>
      </c>
      <c r="G1142" s="1" t="s">
        <v>16</v>
      </c>
      <c r="H1142" s="1" t="s">
        <v>155</v>
      </c>
      <c r="I1142" s="1" t="s">
        <v>60</v>
      </c>
      <c r="J1142" s="1" t="s">
        <v>67</v>
      </c>
      <c r="K1142" s="1" t="s">
        <v>94</v>
      </c>
      <c r="L1142" s="3">
        <v>46708</v>
      </c>
      <c r="M1142" s="3">
        <v>45978</v>
      </c>
      <c r="N1142">
        <f>_xlfn.XLOOKUP(Data[[#This Row],[Status]],Compliance_Status[Status from OPMS],Compliance_Status[Status_Key],"")</f>
        <v>4</v>
      </c>
      <c r="O1142">
        <f>_xlfn.XLOOKUP(Data[[#This Row],[Status]],Compliance_Status[Status from OPMS],Compliance_Status[Has Course booking],"")</f>
        <v>0</v>
      </c>
      <c r="P1142" t="str">
        <f>_xlfn.XLOOKUP(Data[[#This Row],[StatusKey]],Status_Key[Status_Key],Status_Key[Name],"")</f>
        <v>In Date</v>
      </c>
    </row>
    <row r="1143" spans="1:16" x14ac:dyDescent="0.25">
      <c r="A1143" s="1">
        <v>166</v>
      </c>
      <c r="B1143" s="1" t="s">
        <v>250</v>
      </c>
      <c r="C1143" s="1" t="s">
        <v>251</v>
      </c>
      <c r="D1143" s="1" t="s">
        <v>252</v>
      </c>
      <c r="E1143" s="1" t="s">
        <v>156</v>
      </c>
      <c r="F1143" s="1" t="s">
        <v>65</v>
      </c>
      <c r="G1143" s="1" t="s">
        <v>18</v>
      </c>
      <c r="H1143" s="1" t="s">
        <v>155</v>
      </c>
      <c r="I1143" s="1" t="s">
        <v>60</v>
      </c>
      <c r="J1143" s="1"/>
      <c r="K1143" s="1" t="s">
        <v>125</v>
      </c>
      <c r="L1143" s="3"/>
      <c r="M1143" s="3"/>
      <c r="N1143">
        <f>_xlfn.XLOOKUP(Data[[#This Row],[Status]],Compliance_Status[Status from OPMS],Compliance_Status[Status_Key],"")</f>
        <v>2</v>
      </c>
      <c r="O1143">
        <f>_xlfn.XLOOKUP(Data[[#This Row],[Status]],Compliance_Status[Status from OPMS],Compliance_Status[Has Course booking],"")</f>
        <v>0</v>
      </c>
      <c r="P1143" t="str">
        <f>_xlfn.XLOOKUP(Data[[#This Row],[StatusKey]],Status_Key[Status_Key],Status_Key[Name],"")</f>
        <v>Outstanding</v>
      </c>
    </row>
    <row r="1144" spans="1:16" x14ac:dyDescent="0.25">
      <c r="A1144" s="1">
        <v>166</v>
      </c>
      <c r="B1144" s="1" t="s">
        <v>250</v>
      </c>
      <c r="C1144" s="1" t="s">
        <v>251</v>
      </c>
      <c r="D1144" s="1" t="s">
        <v>252</v>
      </c>
      <c r="E1144" s="1" t="s">
        <v>124</v>
      </c>
      <c r="F1144" s="1" t="s">
        <v>72</v>
      </c>
      <c r="G1144" s="1" t="s">
        <v>18</v>
      </c>
      <c r="H1144" s="1" t="s">
        <v>155</v>
      </c>
      <c r="I1144" s="1" t="s">
        <v>60</v>
      </c>
      <c r="J1144" s="1"/>
      <c r="K1144" s="1" t="s">
        <v>125</v>
      </c>
      <c r="L1144" s="3"/>
      <c r="M1144" s="3"/>
      <c r="N1144">
        <f>_xlfn.XLOOKUP(Data[[#This Row],[Status]],Compliance_Status[Status from OPMS],Compliance_Status[Status_Key],"")</f>
        <v>2</v>
      </c>
      <c r="O1144">
        <f>_xlfn.XLOOKUP(Data[[#This Row],[Status]],Compliance_Status[Status from OPMS],Compliance_Status[Has Course booking],"")</f>
        <v>0</v>
      </c>
      <c r="P1144" t="str">
        <f>_xlfn.XLOOKUP(Data[[#This Row],[StatusKey]],Status_Key[Status_Key],Status_Key[Name],"")</f>
        <v>Outstanding</v>
      </c>
    </row>
    <row r="1145" spans="1:16" x14ac:dyDescent="0.25">
      <c r="A1145" s="1">
        <v>166</v>
      </c>
      <c r="B1145" s="1" t="s">
        <v>250</v>
      </c>
      <c r="C1145" s="1" t="s">
        <v>251</v>
      </c>
      <c r="D1145" s="1" t="s">
        <v>252</v>
      </c>
      <c r="E1145" s="1" t="s">
        <v>97</v>
      </c>
      <c r="F1145" s="1" t="s">
        <v>65</v>
      </c>
      <c r="G1145" s="1" t="s">
        <v>16</v>
      </c>
      <c r="H1145" s="1" t="s">
        <v>155</v>
      </c>
      <c r="I1145" s="1" t="s">
        <v>60</v>
      </c>
      <c r="J1145" s="1" t="s">
        <v>67</v>
      </c>
      <c r="K1145" s="1" t="s">
        <v>98</v>
      </c>
      <c r="L1145" s="3">
        <v>47810</v>
      </c>
      <c r="M1145" s="3">
        <v>45984</v>
      </c>
      <c r="N1145">
        <f>_xlfn.XLOOKUP(Data[[#This Row],[Status]],Compliance_Status[Status from OPMS],Compliance_Status[Status_Key],"")</f>
        <v>4</v>
      </c>
      <c r="O1145">
        <f>_xlfn.XLOOKUP(Data[[#This Row],[Status]],Compliance_Status[Status from OPMS],Compliance_Status[Has Course booking],"")</f>
        <v>0</v>
      </c>
      <c r="P1145" t="str">
        <f>_xlfn.XLOOKUP(Data[[#This Row],[StatusKey]],Status_Key[Status_Key],Status_Key[Name],"")</f>
        <v>In Date</v>
      </c>
    </row>
    <row r="1146" spans="1:16" x14ac:dyDescent="0.25">
      <c r="A1146" s="1">
        <v>166</v>
      </c>
      <c r="B1146" s="1" t="s">
        <v>250</v>
      </c>
      <c r="C1146" s="1" t="s">
        <v>251</v>
      </c>
      <c r="D1146" s="1" t="s">
        <v>252</v>
      </c>
      <c r="E1146" s="1" t="s">
        <v>99</v>
      </c>
      <c r="F1146" s="1"/>
      <c r="G1146" s="1" t="s">
        <v>16</v>
      </c>
      <c r="H1146" s="1" t="s">
        <v>155</v>
      </c>
      <c r="I1146" s="1" t="s">
        <v>60</v>
      </c>
      <c r="J1146" s="1" t="s">
        <v>67</v>
      </c>
      <c r="K1146" s="1" t="s">
        <v>98</v>
      </c>
      <c r="L1146" s="3">
        <v>46536</v>
      </c>
      <c r="M1146" s="3">
        <v>45807</v>
      </c>
      <c r="N1146">
        <f>_xlfn.XLOOKUP(Data[[#This Row],[Status]],Compliance_Status[Status from OPMS],Compliance_Status[Status_Key],"")</f>
        <v>4</v>
      </c>
      <c r="O1146">
        <f>_xlfn.XLOOKUP(Data[[#This Row],[Status]],Compliance_Status[Status from OPMS],Compliance_Status[Has Course booking],"")</f>
        <v>0</v>
      </c>
      <c r="P1146" t="str">
        <f>_xlfn.XLOOKUP(Data[[#This Row],[StatusKey]],Status_Key[Status_Key],Status_Key[Name],"")</f>
        <v>In Date</v>
      </c>
    </row>
    <row r="1147" spans="1:16" x14ac:dyDescent="0.25">
      <c r="A1147" s="1">
        <v>166</v>
      </c>
      <c r="B1147" s="1" t="s">
        <v>250</v>
      </c>
      <c r="C1147" s="1" t="s">
        <v>251</v>
      </c>
      <c r="D1147" s="1" t="s">
        <v>252</v>
      </c>
      <c r="E1147" s="1" t="s">
        <v>100</v>
      </c>
      <c r="F1147" s="1" t="s">
        <v>65</v>
      </c>
      <c r="G1147" s="1" t="s">
        <v>16</v>
      </c>
      <c r="H1147" s="1" t="s">
        <v>155</v>
      </c>
      <c r="I1147" s="1" t="s">
        <v>60</v>
      </c>
      <c r="J1147" s="1" t="s">
        <v>67</v>
      </c>
      <c r="K1147" s="1" t="s">
        <v>98</v>
      </c>
      <c r="L1147" s="3">
        <v>46883</v>
      </c>
      <c r="M1147" s="3">
        <v>46153</v>
      </c>
      <c r="N1147">
        <f>_xlfn.XLOOKUP(Data[[#This Row],[Status]],Compliance_Status[Status from OPMS],Compliance_Status[Status_Key],"")</f>
        <v>4</v>
      </c>
      <c r="O1147">
        <f>_xlfn.XLOOKUP(Data[[#This Row],[Status]],Compliance_Status[Status from OPMS],Compliance_Status[Has Course booking],"")</f>
        <v>0</v>
      </c>
      <c r="P1147" t="str">
        <f>_xlfn.XLOOKUP(Data[[#This Row],[StatusKey]],Status_Key[Status_Key],Status_Key[Name],"")</f>
        <v>In Date</v>
      </c>
    </row>
    <row r="1148" spans="1:16" x14ac:dyDescent="0.25">
      <c r="A1148" s="1">
        <v>166</v>
      </c>
      <c r="B1148" s="1" t="s">
        <v>250</v>
      </c>
      <c r="C1148" s="1" t="s">
        <v>251</v>
      </c>
      <c r="D1148" s="1" t="s">
        <v>252</v>
      </c>
      <c r="E1148" s="1" t="s">
        <v>101</v>
      </c>
      <c r="F1148" s="1" t="s">
        <v>65</v>
      </c>
      <c r="G1148" s="1" t="s">
        <v>16</v>
      </c>
      <c r="H1148" s="1" t="s">
        <v>155</v>
      </c>
      <c r="I1148" s="1" t="s">
        <v>60</v>
      </c>
      <c r="J1148" s="1" t="s">
        <v>67</v>
      </c>
      <c r="K1148" s="1" t="s">
        <v>102</v>
      </c>
      <c r="L1148" s="3" t="s">
        <v>79</v>
      </c>
      <c r="M1148" s="3">
        <v>46050</v>
      </c>
      <c r="N1148">
        <f>_xlfn.XLOOKUP(Data[[#This Row],[Status]],Compliance_Status[Status from OPMS],Compliance_Status[Status_Key],"")</f>
        <v>4</v>
      </c>
      <c r="O1148">
        <f>_xlfn.XLOOKUP(Data[[#This Row],[Status]],Compliance_Status[Status from OPMS],Compliance_Status[Has Course booking],"")</f>
        <v>0</v>
      </c>
      <c r="P1148" t="str">
        <f>_xlfn.XLOOKUP(Data[[#This Row],[StatusKey]],Status_Key[Status_Key],Status_Key[Name],"")</f>
        <v>In Date</v>
      </c>
    </row>
    <row r="1149" spans="1:16" x14ac:dyDescent="0.25">
      <c r="A1149" s="1">
        <v>166</v>
      </c>
      <c r="B1149" s="1" t="s">
        <v>250</v>
      </c>
      <c r="C1149" s="1" t="s">
        <v>251</v>
      </c>
      <c r="D1149" s="1" t="s">
        <v>252</v>
      </c>
      <c r="E1149" s="1" t="s">
        <v>103</v>
      </c>
      <c r="F1149" s="1" t="s">
        <v>65</v>
      </c>
      <c r="G1149" s="1" t="s">
        <v>16</v>
      </c>
      <c r="H1149" s="1" t="s">
        <v>155</v>
      </c>
      <c r="I1149" s="1" t="s">
        <v>60</v>
      </c>
      <c r="J1149" s="1" t="s">
        <v>67</v>
      </c>
      <c r="K1149" s="1" t="s">
        <v>102</v>
      </c>
      <c r="L1149" s="3">
        <v>46772</v>
      </c>
      <c r="M1149" s="3">
        <v>46042</v>
      </c>
      <c r="N1149">
        <f>_xlfn.XLOOKUP(Data[[#This Row],[Status]],Compliance_Status[Status from OPMS],Compliance_Status[Status_Key],"")</f>
        <v>4</v>
      </c>
      <c r="O1149">
        <f>_xlfn.XLOOKUP(Data[[#This Row],[Status]],Compliance_Status[Status from OPMS],Compliance_Status[Has Course booking],"")</f>
        <v>0</v>
      </c>
      <c r="P1149" t="str">
        <f>_xlfn.XLOOKUP(Data[[#This Row],[StatusKey]],Status_Key[Status_Key],Status_Key[Name],"")</f>
        <v>In Date</v>
      </c>
    </row>
    <row r="1150" spans="1:16" x14ac:dyDescent="0.25">
      <c r="A1150" s="1">
        <v>166</v>
      </c>
      <c r="B1150" s="1" t="s">
        <v>250</v>
      </c>
      <c r="C1150" s="1" t="s">
        <v>251</v>
      </c>
      <c r="D1150" s="1" t="s">
        <v>252</v>
      </c>
      <c r="E1150" s="1" t="s">
        <v>104</v>
      </c>
      <c r="F1150" s="1" t="s">
        <v>65</v>
      </c>
      <c r="G1150" s="1" t="s">
        <v>16</v>
      </c>
      <c r="H1150" s="1" t="s">
        <v>155</v>
      </c>
      <c r="I1150" s="1" t="s">
        <v>60</v>
      </c>
      <c r="J1150" s="1" t="s">
        <v>67</v>
      </c>
      <c r="K1150" s="1" t="s">
        <v>105</v>
      </c>
      <c r="L1150" s="3">
        <v>46708</v>
      </c>
      <c r="M1150" s="3">
        <v>45978</v>
      </c>
      <c r="N1150">
        <f>_xlfn.XLOOKUP(Data[[#This Row],[Status]],Compliance_Status[Status from OPMS],Compliance_Status[Status_Key],"")</f>
        <v>4</v>
      </c>
      <c r="O1150">
        <f>_xlfn.XLOOKUP(Data[[#This Row],[Status]],Compliance_Status[Status from OPMS],Compliance_Status[Has Course booking],"")</f>
        <v>0</v>
      </c>
      <c r="P1150" t="str">
        <f>_xlfn.XLOOKUP(Data[[#This Row],[StatusKey]],Status_Key[Status_Key],Status_Key[Name],"")</f>
        <v>In Date</v>
      </c>
    </row>
    <row r="1151" spans="1:16" x14ac:dyDescent="0.25">
      <c r="A1151" s="1">
        <v>166</v>
      </c>
      <c r="B1151" s="1" t="s">
        <v>250</v>
      </c>
      <c r="C1151" s="1" t="s">
        <v>251</v>
      </c>
      <c r="D1151" s="1" t="s">
        <v>252</v>
      </c>
      <c r="E1151" s="1" t="s">
        <v>106</v>
      </c>
      <c r="F1151" s="1" t="s">
        <v>65</v>
      </c>
      <c r="G1151" s="1" t="s">
        <v>16</v>
      </c>
      <c r="H1151" s="1" t="s">
        <v>155</v>
      </c>
      <c r="I1151" s="1" t="s">
        <v>60</v>
      </c>
      <c r="J1151" s="1" t="s">
        <v>67</v>
      </c>
      <c r="K1151" s="1" t="s">
        <v>105</v>
      </c>
      <c r="L1151" s="3">
        <v>47810</v>
      </c>
      <c r="M1151" s="3">
        <v>45984</v>
      </c>
      <c r="N1151">
        <f>_xlfn.XLOOKUP(Data[[#This Row],[Status]],Compliance_Status[Status from OPMS],Compliance_Status[Status_Key],"")</f>
        <v>4</v>
      </c>
      <c r="O1151">
        <f>_xlfn.XLOOKUP(Data[[#This Row],[Status]],Compliance_Status[Status from OPMS],Compliance_Status[Has Course booking],"")</f>
        <v>0</v>
      </c>
      <c r="P1151" t="str">
        <f>_xlfn.XLOOKUP(Data[[#This Row],[StatusKey]],Status_Key[Status_Key],Status_Key[Name],"")</f>
        <v>In Date</v>
      </c>
    </row>
    <row r="1152" spans="1:16" x14ac:dyDescent="0.25">
      <c r="A1152" s="1">
        <v>166</v>
      </c>
      <c r="B1152" s="1" t="s">
        <v>250</v>
      </c>
      <c r="C1152" s="1" t="s">
        <v>251</v>
      </c>
      <c r="D1152" s="1" t="s">
        <v>252</v>
      </c>
      <c r="E1152" s="1" t="s">
        <v>107</v>
      </c>
      <c r="F1152" s="1" t="s">
        <v>65</v>
      </c>
      <c r="G1152" s="1" t="s">
        <v>16</v>
      </c>
      <c r="H1152" s="1" t="s">
        <v>155</v>
      </c>
      <c r="I1152" s="1" t="s">
        <v>60</v>
      </c>
      <c r="J1152" s="1" t="s">
        <v>67</v>
      </c>
      <c r="K1152" s="1" t="s">
        <v>105</v>
      </c>
      <c r="L1152" s="3">
        <v>47079</v>
      </c>
      <c r="M1152" s="3">
        <v>45984</v>
      </c>
      <c r="N1152">
        <f>_xlfn.XLOOKUP(Data[[#This Row],[Status]],Compliance_Status[Status from OPMS],Compliance_Status[Status_Key],"")</f>
        <v>4</v>
      </c>
      <c r="O1152">
        <f>_xlfn.XLOOKUP(Data[[#This Row],[Status]],Compliance_Status[Status from OPMS],Compliance_Status[Has Course booking],"")</f>
        <v>0</v>
      </c>
      <c r="P1152" t="str">
        <f>_xlfn.XLOOKUP(Data[[#This Row],[StatusKey]],Status_Key[Status_Key],Status_Key[Name],"")</f>
        <v>In Date</v>
      </c>
    </row>
    <row r="1153" spans="1:16" x14ac:dyDescent="0.25">
      <c r="A1153" s="1">
        <v>166</v>
      </c>
      <c r="B1153" s="1" t="s">
        <v>250</v>
      </c>
      <c r="C1153" s="1" t="s">
        <v>251</v>
      </c>
      <c r="D1153" s="1" t="s">
        <v>252</v>
      </c>
      <c r="E1153" s="1" t="s">
        <v>108</v>
      </c>
      <c r="F1153" s="1" t="s">
        <v>65</v>
      </c>
      <c r="G1153" s="1" t="s">
        <v>24</v>
      </c>
      <c r="H1153" s="1" t="s">
        <v>155</v>
      </c>
      <c r="I1153" s="1" t="s">
        <v>60</v>
      </c>
      <c r="J1153" s="1" t="s">
        <v>67</v>
      </c>
      <c r="K1153" s="1" t="s">
        <v>105</v>
      </c>
      <c r="L1153" s="3">
        <v>46308</v>
      </c>
      <c r="M1153" s="3">
        <v>45984</v>
      </c>
      <c r="N1153">
        <f>_xlfn.XLOOKUP(Data[[#This Row],[Status]],Compliance_Status[Status from OPMS],Compliance_Status[Status_Key],"")</f>
        <v>3</v>
      </c>
      <c r="O1153">
        <f>_xlfn.XLOOKUP(Data[[#This Row],[Status]],Compliance_Status[Status from OPMS],Compliance_Status[Has Course booking],"")</f>
        <v>0</v>
      </c>
      <c r="P1153" t="str">
        <f>_xlfn.XLOOKUP(Data[[#This Row],[StatusKey]],Status_Key[Status_Key],Status_Key[Name],"")</f>
        <v>About to expire</v>
      </c>
    </row>
    <row r="1154" spans="1:16" x14ac:dyDescent="0.25">
      <c r="A1154" s="1">
        <v>166</v>
      </c>
      <c r="B1154" s="1" t="s">
        <v>250</v>
      </c>
      <c r="C1154" s="1" t="s">
        <v>251</v>
      </c>
      <c r="D1154" s="1" t="s">
        <v>252</v>
      </c>
      <c r="E1154" s="1" t="s">
        <v>109</v>
      </c>
      <c r="F1154" s="1" t="s">
        <v>65</v>
      </c>
      <c r="G1154" s="1" t="s">
        <v>16</v>
      </c>
      <c r="H1154" s="1" t="s">
        <v>155</v>
      </c>
      <c r="I1154" s="1" t="s">
        <v>60</v>
      </c>
      <c r="J1154" s="1" t="s">
        <v>67</v>
      </c>
      <c r="K1154" s="1" t="s">
        <v>105</v>
      </c>
      <c r="L1154" s="3">
        <v>46708</v>
      </c>
      <c r="M1154" s="3">
        <v>45978</v>
      </c>
      <c r="N1154">
        <f>_xlfn.XLOOKUP(Data[[#This Row],[Status]],Compliance_Status[Status from OPMS],Compliance_Status[Status_Key],"")</f>
        <v>4</v>
      </c>
      <c r="O1154">
        <f>_xlfn.XLOOKUP(Data[[#This Row],[Status]],Compliance_Status[Status from OPMS],Compliance_Status[Has Course booking],"")</f>
        <v>0</v>
      </c>
      <c r="P1154" t="str">
        <f>_xlfn.XLOOKUP(Data[[#This Row],[StatusKey]],Status_Key[Status_Key],Status_Key[Name],"")</f>
        <v>In Date</v>
      </c>
    </row>
    <row r="1155" spans="1:16" x14ac:dyDescent="0.25">
      <c r="A1155" s="1">
        <v>166</v>
      </c>
      <c r="B1155" s="1" t="s">
        <v>250</v>
      </c>
      <c r="C1155" s="1" t="s">
        <v>251</v>
      </c>
      <c r="D1155" s="1" t="s">
        <v>252</v>
      </c>
      <c r="E1155" s="1" t="s">
        <v>110</v>
      </c>
      <c r="F1155" s="1" t="s">
        <v>65</v>
      </c>
      <c r="G1155" s="1" t="s">
        <v>16</v>
      </c>
      <c r="H1155" s="1" t="s">
        <v>155</v>
      </c>
      <c r="I1155" s="1" t="s">
        <v>60</v>
      </c>
      <c r="J1155" s="1" t="s">
        <v>67</v>
      </c>
      <c r="K1155" s="1" t="s">
        <v>105</v>
      </c>
      <c r="L1155" s="3" t="s">
        <v>79</v>
      </c>
      <c r="M1155" s="3">
        <v>45978</v>
      </c>
      <c r="N1155">
        <f>_xlfn.XLOOKUP(Data[[#This Row],[Status]],Compliance_Status[Status from OPMS],Compliance_Status[Status_Key],"")</f>
        <v>4</v>
      </c>
      <c r="O1155">
        <f>_xlfn.XLOOKUP(Data[[#This Row],[Status]],Compliance_Status[Status from OPMS],Compliance_Status[Has Course booking],"")</f>
        <v>0</v>
      </c>
      <c r="P1155" t="str">
        <f>_xlfn.XLOOKUP(Data[[#This Row],[StatusKey]],Status_Key[Status_Key],Status_Key[Name],"")</f>
        <v>In Date</v>
      </c>
    </row>
    <row r="1156" spans="1:16" x14ac:dyDescent="0.25">
      <c r="A1156" s="1">
        <v>166</v>
      </c>
      <c r="B1156" s="1" t="s">
        <v>250</v>
      </c>
      <c r="C1156" s="1" t="s">
        <v>251</v>
      </c>
      <c r="D1156" s="1" t="s">
        <v>252</v>
      </c>
      <c r="E1156" s="1" t="s">
        <v>111</v>
      </c>
      <c r="F1156" s="1" t="s">
        <v>65</v>
      </c>
      <c r="G1156" s="1" t="s">
        <v>16</v>
      </c>
      <c r="H1156" s="1" t="s">
        <v>155</v>
      </c>
      <c r="I1156" s="1" t="s">
        <v>60</v>
      </c>
      <c r="J1156" s="1" t="s">
        <v>67</v>
      </c>
      <c r="K1156" s="1" t="s">
        <v>105</v>
      </c>
      <c r="L1156" s="3">
        <v>46772</v>
      </c>
      <c r="M1156" s="3">
        <v>46042</v>
      </c>
      <c r="N1156">
        <f>_xlfn.XLOOKUP(Data[[#This Row],[Status]],Compliance_Status[Status from OPMS],Compliance_Status[Status_Key],"")</f>
        <v>4</v>
      </c>
      <c r="O1156">
        <f>_xlfn.XLOOKUP(Data[[#This Row],[Status]],Compliance_Status[Status from OPMS],Compliance_Status[Has Course booking],"")</f>
        <v>0</v>
      </c>
      <c r="P1156" t="str">
        <f>_xlfn.XLOOKUP(Data[[#This Row],[StatusKey]],Status_Key[Status_Key],Status_Key[Name],"")</f>
        <v>In Date</v>
      </c>
    </row>
    <row r="1157" spans="1:16" x14ac:dyDescent="0.25">
      <c r="A1157" s="1">
        <v>166</v>
      </c>
      <c r="B1157" s="1" t="s">
        <v>250</v>
      </c>
      <c r="C1157" s="1" t="s">
        <v>251</v>
      </c>
      <c r="D1157" s="1" t="s">
        <v>252</v>
      </c>
      <c r="E1157" s="1" t="s">
        <v>112</v>
      </c>
      <c r="F1157" s="1" t="s">
        <v>65</v>
      </c>
      <c r="G1157" s="1" t="s">
        <v>16</v>
      </c>
      <c r="H1157" s="1" t="s">
        <v>155</v>
      </c>
      <c r="I1157" s="1" t="s">
        <v>60</v>
      </c>
      <c r="J1157" s="1" t="s">
        <v>67</v>
      </c>
      <c r="K1157" s="1" t="s">
        <v>105</v>
      </c>
      <c r="L1157" s="3">
        <v>46708</v>
      </c>
      <c r="M1157" s="3">
        <v>45978</v>
      </c>
      <c r="N1157">
        <f>_xlfn.XLOOKUP(Data[[#This Row],[Status]],Compliance_Status[Status from OPMS],Compliance_Status[Status_Key],"")</f>
        <v>4</v>
      </c>
      <c r="O1157">
        <f>_xlfn.XLOOKUP(Data[[#This Row],[Status]],Compliance_Status[Status from OPMS],Compliance_Status[Has Course booking],"")</f>
        <v>0</v>
      </c>
      <c r="P1157" t="str">
        <f>_xlfn.XLOOKUP(Data[[#This Row],[StatusKey]],Status_Key[Status_Key],Status_Key[Name],"")</f>
        <v>In Date</v>
      </c>
    </row>
    <row r="1158" spans="1:16" x14ac:dyDescent="0.25">
      <c r="A1158" s="1">
        <v>166</v>
      </c>
      <c r="B1158" s="1" t="s">
        <v>250</v>
      </c>
      <c r="C1158" s="1" t="s">
        <v>251</v>
      </c>
      <c r="D1158" s="1" t="s">
        <v>252</v>
      </c>
      <c r="E1158" s="1" t="s">
        <v>113</v>
      </c>
      <c r="F1158" s="1" t="s">
        <v>65</v>
      </c>
      <c r="G1158" s="1" t="s">
        <v>16</v>
      </c>
      <c r="H1158" s="1" t="s">
        <v>155</v>
      </c>
      <c r="I1158" s="1" t="s">
        <v>60</v>
      </c>
      <c r="J1158" s="1" t="s">
        <v>67</v>
      </c>
      <c r="K1158" s="1" t="s">
        <v>105</v>
      </c>
      <c r="L1158" s="3">
        <v>46772</v>
      </c>
      <c r="M1158" s="3">
        <v>46042</v>
      </c>
      <c r="N1158">
        <f>_xlfn.XLOOKUP(Data[[#This Row],[Status]],Compliance_Status[Status from OPMS],Compliance_Status[Status_Key],"")</f>
        <v>4</v>
      </c>
      <c r="O1158">
        <f>_xlfn.XLOOKUP(Data[[#This Row],[Status]],Compliance_Status[Status from OPMS],Compliance_Status[Has Course booking],"")</f>
        <v>0</v>
      </c>
      <c r="P1158" t="str">
        <f>_xlfn.XLOOKUP(Data[[#This Row],[StatusKey]],Status_Key[Status_Key],Status_Key[Name],"")</f>
        <v>In Date</v>
      </c>
    </row>
    <row r="1159" spans="1:16" x14ac:dyDescent="0.25">
      <c r="A1159" s="1">
        <v>247</v>
      </c>
      <c r="B1159" s="1" t="s">
        <v>253</v>
      </c>
      <c r="C1159" s="1" t="s">
        <v>254</v>
      </c>
      <c r="D1159" s="1" t="s">
        <v>255</v>
      </c>
      <c r="E1159" s="1" t="s">
        <v>163</v>
      </c>
      <c r="F1159" s="1" t="s">
        <v>65</v>
      </c>
      <c r="G1159" s="1" t="s">
        <v>16</v>
      </c>
      <c r="H1159" s="1" t="s">
        <v>164</v>
      </c>
      <c r="I1159" s="1" t="s">
        <v>60</v>
      </c>
      <c r="J1159" s="1"/>
      <c r="K1159" s="1" t="s">
        <v>68</v>
      </c>
      <c r="L1159" s="3">
        <v>47719</v>
      </c>
      <c r="M1159" s="3">
        <v>45877</v>
      </c>
      <c r="N1159">
        <f>_xlfn.XLOOKUP(Data[[#This Row],[Status]],Compliance_Status[Status from OPMS],Compliance_Status[Status_Key],"")</f>
        <v>4</v>
      </c>
      <c r="O1159">
        <f>_xlfn.XLOOKUP(Data[[#This Row],[Status]],Compliance_Status[Status from OPMS],Compliance_Status[Has Course booking],"")</f>
        <v>0</v>
      </c>
      <c r="P1159" t="str">
        <f>_xlfn.XLOOKUP(Data[[#This Row],[StatusKey]],Status_Key[Status_Key],Status_Key[Name],"")</f>
        <v>In Date</v>
      </c>
    </row>
    <row r="1160" spans="1:16" x14ac:dyDescent="0.25">
      <c r="A1160" s="1">
        <v>247</v>
      </c>
      <c r="B1160" s="1" t="s">
        <v>253</v>
      </c>
      <c r="C1160" s="1" t="s">
        <v>254</v>
      </c>
      <c r="D1160" s="1" t="s">
        <v>255</v>
      </c>
      <c r="E1160" s="1" t="s">
        <v>136</v>
      </c>
      <c r="F1160" s="1"/>
      <c r="G1160" s="1" t="s">
        <v>16</v>
      </c>
      <c r="H1160" s="1" t="s">
        <v>164</v>
      </c>
      <c r="I1160" s="1" t="s">
        <v>60</v>
      </c>
      <c r="J1160" s="1" t="s">
        <v>67</v>
      </c>
      <c r="K1160" s="1" t="s">
        <v>68</v>
      </c>
      <c r="L1160" s="3">
        <v>47719</v>
      </c>
      <c r="M1160" s="3">
        <v>45877</v>
      </c>
      <c r="N1160">
        <f>_xlfn.XLOOKUP(Data[[#This Row],[Status]],Compliance_Status[Status from OPMS],Compliance_Status[Status_Key],"")</f>
        <v>4</v>
      </c>
      <c r="O1160">
        <f>_xlfn.XLOOKUP(Data[[#This Row],[Status]],Compliance_Status[Status from OPMS],Compliance_Status[Has Course booking],"")</f>
        <v>0</v>
      </c>
      <c r="P1160" t="str">
        <f>_xlfn.XLOOKUP(Data[[#This Row],[StatusKey]],Status_Key[Status_Key],Status_Key[Name],"")</f>
        <v>In Date</v>
      </c>
    </row>
    <row r="1161" spans="1:16" x14ac:dyDescent="0.25">
      <c r="A1161" s="1">
        <v>247</v>
      </c>
      <c r="B1161" s="1" t="s">
        <v>253</v>
      </c>
      <c r="C1161" s="1" t="s">
        <v>254</v>
      </c>
      <c r="D1161" s="1" t="s">
        <v>255</v>
      </c>
      <c r="E1161" s="1" t="s">
        <v>131</v>
      </c>
      <c r="F1161" s="1" t="s">
        <v>72</v>
      </c>
      <c r="G1161" s="1" t="s">
        <v>16</v>
      </c>
      <c r="H1161" s="1" t="s">
        <v>164</v>
      </c>
      <c r="I1161" s="1" t="s">
        <v>60</v>
      </c>
      <c r="J1161" s="1" t="s">
        <v>67</v>
      </c>
      <c r="K1161" s="1" t="s">
        <v>68</v>
      </c>
      <c r="L1161" s="3">
        <v>47939</v>
      </c>
      <c r="M1161" s="3">
        <v>46114</v>
      </c>
      <c r="N1161">
        <f>_xlfn.XLOOKUP(Data[[#This Row],[Status]],Compliance_Status[Status from OPMS],Compliance_Status[Status_Key],"")</f>
        <v>4</v>
      </c>
      <c r="O1161">
        <f>_xlfn.XLOOKUP(Data[[#This Row],[Status]],Compliance_Status[Status from OPMS],Compliance_Status[Has Course booking],"")</f>
        <v>0</v>
      </c>
      <c r="P1161" t="str">
        <f>_xlfn.XLOOKUP(Data[[#This Row],[StatusKey]],Status_Key[Status_Key],Status_Key[Name],"")</f>
        <v>In Date</v>
      </c>
    </row>
    <row r="1162" spans="1:16" x14ac:dyDescent="0.25">
      <c r="A1162" s="1">
        <v>247</v>
      </c>
      <c r="B1162" s="1" t="s">
        <v>253</v>
      </c>
      <c r="C1162" s="1" t="s">
        <v>254</v>
      </c>
      <c r="D1162" s="1" t="s">
        <v>255</v>
      </c>
      <c r="E1162" s="1" t="s">
        <v>71</v>
      </c>
      <c r="F1162" s="1" t="s">
        <v>72</v>
      </c>
      <c r="G1162" s="1" t="s">
        <v>16</v>
      </c>
      <c r="H1162" s="1" t="s">
        <v>164</v>
      </c>
      <c r="I1162" s="1" t="s">
        <v>60</v>
      </c>
      <c r="J1162" s="1" t="s">
        <v>67</v>
      </c>
      <c r="K1162" s="1" t="s">
        <v>68</v>
      </c>
      <c r="L1162" s="3">
        <v>47947</v>
      </c>
      <c r="M1162" s="3">
        <v>46122</v>
      </c>
      <c r="N1162">
        <f>_xlfn.XLOOKUP(Data[[#This Row],[Status]],Compliance_Status[Status from OPMS],Compliance_Status[Status_Key],"")</f>
        <v>4</v>
      </c>
      <c r="O1162">
        <f>_xlfn.XLOOKUP(Data[[#This Row],[Status]],Compliance_Status[Status from OPMS],Compliance_Status[Has Course booking],"")</f>
        <v>0</v>
      </c>
      <c r="P1162" t="str">
        <f>_xlfn.XLOOKUP(Data[[#This Row],[StatusKey]],Status_Key[Status_Key],Status_Key[Name],"")</f>
        <v>In Date</v>
      </c>
    </row>
    <row r="1163" spans="1:16" x14ac:dyDescent="0.25">
      <c r="A1163" s="1">
        <v>247</v>
      </c>
      <c r="B1163" s="1" t="s">
        <v>253</v>
      </c>
      <c r="C1163" s="1" t="s">
        <v>254</v>
      </c>
      <c r="D1163" s="1" t="s">
        <v>255</v>
      </c>
      <c r="E1163" s="1" t="s">
        <v>73</v>
      </c>
      <c r="F1163" s="1" t="s">
        <v>65</v>
      </c>
      <c r="G1163" s="1" t="s">
        <v>16</v>
      </c>
      <c r="H1163" s="1" t="s">
        <v>164</v>
      </c>
      <c r="I1163" s="1" t="s">
        <v>60</v>
      </c>
      <c r="J1163" s="1" t="s">
        <v>67</v>
      </c>
      <c r="K1163" s="1" t="s">
        <v>68</v>
      </c>
      <c r="L1163" s="3">
        <v>46729</v>
      </c>
      <c r="M1163" s="3">
        <v>45999</v>
      </c>
      <c r="N1163">
        <f>_xlfn.XLOOKUP(Data[[#This Row],[Status]],Compliance_Status[Status from OPMS],Compliance_Status[Status_Key],"")</f>
        <v>4</v>
      </c>
      <c r="O1163">
        <f>_xlfn.XLOOKUP(Data[[#This Row],[Status]],Compliance_Status[Status from OPMS],Compliance_Status[Has Course booking],"")</f>
        <v>0</v>
      </c>
      <c r="P1163" t="str">
        <f>_xlfn.XLOOKUP(Data[[#This Row],[StatusKey]],Status_Key[Status_Key],Status_Key[Name],"")</f>
        <v>In Date</v>
      </c>
    </row>
    <row r="1164" spans="1:16" x14ac:dyDescent="0.25">
      <c r="A1164" s="1">
        <v>247</v>
      </c>
      <c r="B1164" s="1" t="s">
        <v>253</v>
      </c>
      <c r="C1164" s="1" t="s">
        <v>254</v>
      </c>
      <c r="D1164" s="1" t="s">
        <v>255</v>
      </c>
      <c r="E1164" s="1" t="s">
        <v>74</v>
      </c>
      <c r="F1164" s="1" t="s">
        <v>65</v>
      </c>
      <c r="G1164" s="1" t="s">
        <v>16</v>
      </c>
      <c r="H1164" s="1" t="s">
        <v>164</v>
      </c>
      <c r="I1164" s="1" t="s">
        <v>60</v>
      </c>
      <c r="J1164" s="1" t="s">
        <v>67</v>
      </c>
      <c r="K1164" s="1" t="s">
        <v>68</v>
      </c>
      <c r="L1164" s="3">
        <v>46808</v>
      </c>
      <c r="M1164" s="3">
        <v>45713</v>
      </c>
      <c r="N1164">
        <f>_xlfn.XLOOKUP(Data[[#This Row],[Status]],Compliance_Status[Status from OPMS],Compliance_Status[Status_Key],"")</f>
        <v>4</v>
      </c>
      <c r="O1164">
        <f>_xlfn.XLOOKUP(Data[[#This Row],[Status]],Compliance_Status[Status from OPMS],Compliance_Status[Has Course booking],"")</f>
        <v>0</v>
      </c>
      <c r="P1164" t="str">
        <f>_xlfn.XLOOKUP(Data[[#This Row],[StatusKey]],Status_Key[Status_Key],Status_Key[Name],"")</f>
        <v>In Date</v>
      </c>
    </row>
    <row r="1165" spans="1:16" x14ac:dyDescent="0.25">
      <c r="A1165" s="1">
        <v>247</v>
      </c>
      <c r="B1165" s="1" t="s">
        <v>253</v>
      </c>
      <c r="C1165" s="1" t="s">
        <v>254</v>
      </c>
      <c r="D1165" s="1" t="s">
        <v>255</v>
      </c>
      <c r="E1165" s="1" t="s">
        <v>75</v>
      </c>
      <c r="F1165" s="1" t="s">
        <v>72</v>
      </c>
      <c r="G1165" s="1" t="s">
        <v>24</v>
      </c>
      <c r="H1165" s="1" t="s">
        <v>164</v>
      </c>
      <c r="I1165" s="1" t="s">
        <v>60</v>
      </c>
      <c r="J1165" s="1" t="s">
        <v>67</v>
      </c>
      <c r="K1165" s="1" t="s">
        <v>68</v>
      </c>
      <c r="L1165" s="3">
        <v>46385</v>
      </c>
      <c r="M1165" s="3">
        <v>45996</v>
      </c>
      <c r="N1165">
        <f>_xlfn.XLOOKUP(Data[[#This Row],[Status]],Compliance_Status[Status from OPMS],Compliance_Status[Status_Key],"")</f>
        <v>3</v>
      </c>
      <c r="O1165">
        <f>_xlfn.XLOOKUP(Data[[#This Row],[Status]],Compliance_Status[Status from OPMS],Compliance_Status[Has Course booking],"")</f>
        <v>0</v>
      </c>
      <c r="P1165" t="str">
        <f>_xlfn.XLOOKUP(Data[[#This Row],[StatusKey]],Status_Key[Status_Key],Status_Key[Name],"")</f>
        <v>About to expire</v>
      </c>
    </row>
    <row r="1166" spans="1:16" x14ac:dyDescent="0.25">
      <c r="A1166" s="1">
        <v>247</v>
      </c>
      <c r="B1166" s="1" t="s">
        <v>253</v>
      </c>
      <c r="C1166" s="1" t="s">
        <v>254</v>
      </c>
      <c r="D1166" s="1" t="s">
        <v>255</v>
      </c>
      <c r="E1166" s="1" t="s">
        <v>165</v>
      </c>
      <c r="F1166" s="1" t="s">
        <v>72</v>
      </c>
      <c r="G1166" s="1" t="s">
        <v>18</v>
      </c>
      <c r="H1166" s="1" t="s">
        <v>164</v>
      </c>
      <c r="I1166" s="1" t="s">
        <v>60</v>
      </c>
      <c r="J1166" s="1"/>
      <c r="K1166" s="1" t="s">
        <v>68</v>
      </c>
      <c r="L1166" s="3"/>
      <c r="M1166" s="3"/>
      <c r="N1166">
        <f>_xlfn.XLOOKUP(Data[[#This Row],[Status]],Compliance_Status[Status from OPMS],Compliance_Status[Status_Key],"")</f>
        <v>2</v>
      </c>
      <c r="O1166">
        <f>_xlfn.XLOOKUP(Data[[#This Row],[Status]],Compliance_Status[Status from OPMS],Compliance_Status[Has Course booking],"")</f>
        <v>0</v>
      </c>
      <c r="P1166" t="str">
        <f>_xlfn.XLOOKUP(Data[[#This Row],[StatusKey]],Status_Key[Status_Key],Status_Key[Name],"")</f>
        <v>Outstanding</v>
      </c>
    </row>
    <row r="1167" spans="1:16" x14ac:dyDescent="0.25">
      <c r="A1167" s="1">
        <v>247</v>
      </c>
      <c r="B1167" s="1" t="s">
        <v>253</v>
      </c>
      <c r="C1167" s="1" t="s">
        <v>254</v>
      </c>
      <c r="D1167" s="1" t="s">
        <v>255</v>
      </c>
      <c r="E1167" s="1" t="s">
        <v>76</v>
      </c>
      <c r="F1167" s="1" t="s">
        <v>65</v>
      </c>
      <c r="G1167" s="1" t="s">
        <v>16</v>
      </c>
      <c r="H1167" s="1" t="s">
        <v>164</v>
      </c>
      <c r="I1167" s="1" t="s">
        <v>60</v>
      </c>
      <c r="J1167" s="1" t="s">
        <v>67</v>
      </c>
      <c r="K1167" s="1" t="s">
        <v>77</v>
      </c>
      <c r="L1167" s="3">
        <v>46721</v>
      </c>
      <c r="M1167" s="3">
        <v>45260</v>
      </c>
      <c r="N1167">
        <f>_xlfn.XLOOKUP(Data[[#This Row],[Status]],Compliance_Status[Status from OPMS],Compliance_Status[Status_Key],"")</f>
        <v>4</v>
      </c>
      <c r="O1167">
        <f>_xlfn.XLOOKUP(Data[[#This Row],[Status]],Compliance_Status[Status from OPMS],Compliance_Status[Has Course booking],"")</f>
        <v>0</v>
      </c>
      <c r="P1167" t="str">
        <f>_xlfn.XLOOKUP(Data[[#This Row],[StatusKey]],Status_Key[Status_Key],Status_Key[Name],"")</f>
        <v>In Date</v>
      </c>
    </row>
    <row r="1168" spans="1:16" x14ac:dyDescent="0.25">
      <c r="A1168" s="1">
        <v>247</v>
      </c>
      <c r="B1168" s="1" t="s">
        <v>253</v>
      </c>
      <c r="C1168" s="1" t="s">
        <v>254</v>
      </c>
      <c r="D1168" s="1" t="s">
        <v>255</v>
      </c>
      <c r="E1168" s="1" t="s">
        <v>80</v>
      </c>
      <c r="F1168" s="1" t="s">
        <v>65</v>
      </c>
      <c r="G1168" s="1" t="s">
        <v>16</v>
      </c>
      <c r="H1168" s="1" t="s">
        <v>164</v>
      </c>
      <c r="I1168" s="1" t="s">
        <v>60</v>
      </c>
      <c r="J1168" s="1" t="s">
        <v>67</v>
      </c>
      <c r="K1168" s="1" t="s">
        <v>77</v>
      </c>
      <c r="L1168" s="3" t="s">
        <v>79</v>
      </c>
      <c r="M1168" s="3">
        <v>46064</v>
      </c>
      <c r="N1168">
        <f>_xlfn.XLOOKUP(Data[[#This Row],[Status]],Compliance_Status[Status from OPMS],Compliance_Status[Status_Key],"")</f>
        <v>4</v>
      </c>
      <c r="O1168">
        <f>_xlfn.XLOOKUP(Data[[#This Row],[Status]],Compliance_Status[Status from OPMS],Compliance_Status[Has Course booking],"")</f>
        <v>0</v>
      </c>
      <c r="P1168" t="str">
        <f>_xlfn.XLOOKUP(Data[[#This Row],[StatusKey]],Status_Key[Status_Key],Status_Key[Name],"")</f>
        <v>In Date</v>
      </c>
    </row>
    <row r="1169" spans="1:16" x14ac:dyDescent="0.25">
      <c r="A1169" s="1">
        <v>247</v>
      </c>
      <c r="B1169" s="1" t="s">
        <v>253</v>
      </c>
      <c r="C1169" s="1" t="s">
        <v>254</v>
      </c>
      <c r="D1169" s="1" t="s">
        <v>255</v>
      </c>
      <c r="E1169" s="1" t="s">
        <v>84</v>
      </c>
      <c r="F1169" s="1" t="s">
        <v>65</v>
      </c>
      <c r="G1169" s="1" t="s">
        <v>16</v>
      </c>
      <c r="H1169" s="1" t="s">
        <v>164</v>
      </c>
      <c r="I1169" s="1" t="s">
        <v>60</v>
      </c>
      <c r="J1169" s="1" t="s">
        <v>67</v>
      </c>
      <c r="K1169" s="1" t="s">
        <v>83</v>
      </c>
      <c r="L1169" s="3">
        <v>46796</v>
      </c>
      <c r="M1169" s="3">
        <v>46066</v>
      </c>
      <c r="N1169">
        <f>_xlfn.XLOOKUP(Data[[#This Row],[Status]],Compliance_Status[Status from OPMS],Compliance_Status[Status_Key],"")</f>
        <v>4</v>
      </c>
      <c r="O1169">
        <f>_xlfn.XLOOKUP(Data[[#This Row],[Status]],Compliance_Status[Status from OPMS],Compliance_Status[Has Course booking],"")</f>
        <v>0</v>
      </c>
      <c r="P1169" t="str">
        <f>_xlfn.XLOOKUP(Data[[#This Row],[StatusKey]],Status_Key[Status_Key],Status_Key[Name],"")</f>
        <v>In Date</v>
      </c>
    </row>
    <row r="1170" spans="1:16" x14ac:dyDescent="0.25">
      <c r="A1170" s="1">
        <v>247</v>
      </c>
      <c r="B1170" s="1" t="s">
        <v>253</v>
      </c>
      <c r="C1170" s="1" t="s">
        <v>254</v>
      </c>
      <c r="D1170" s="1" t="s">
        <v>255</v>
      </c>
      <c r="E1170" s="1" t="s">
        <v>93</v>
      </c>
      <c r="F1170" s="1" t="s">
        <v>65</v>
      </c>
      <c r="G1170" s="1" t="s">
        <v>16</v>
      </c>
      <c r="H1170" s="1" t="s">
        <v>164</v>
      </c>
      <c r="I1170" s="1" t="s">
        <v>60</v>
      </c>
      <c r="J1170" s="1" t="s">
        <v>67</v>
      </c>
      <c r="K1170" s="1" t="s">
        <v>94</v>
      </c>
      <c r="L1170" s="3">
        <v>46794</v>
      </c>
      <c r="M1170" s="3">
        <v>46064</v>
      </c>
      <c r="N1170">
        <f>_xlfn.XLOOKUP(Data[[#This Row],[Status]],Compliance_Status[Status from OPMS],Compliance_Status[Status_Key],"")</f>
        <v>4</v>
      </c>
      <c r="O1170">
        <f>_xlfn.XLOOKUP(Data[[#This Row],[Status]],Compliance_Status[Status from OPMS],Compliance_Status[Has Course booking],"")</f>
        <v>0</v>
      </c>
      <c r="P1170" t="str">
        <f>_xlfn.XLOOKUP(Data[[#This Row],[StatusKey]],Status_Key[Status_Key],Status_Key[Name],"")</f>
        <v>In Date</v>
      </c>
    </row>
    <row r="1171" spans="1:16" x14ac:dyDescent="0.25">
      <c r="A1171" s="1">
        <v>247</v>
      </c>
      <c r="B1171" s="1" t="s">
        <v>253</v>
      </c>
      <c r="C1171" s="1" t="s">
        <v>254</v>
      </c>
      <c r="D1171" s="1" t="s">
        <v>255</v>
      </c>
      <c r="E1171" s="1" t="s">
        <v>95</v>
      </c>
      <c r="F1171" s="1" t="s">
        <v>65</v>
      </c>
      <c r="G1171" s="1" t="s">
        <v>16</v>
      </c>
      <c r="H1171" s="1" t="s">
        <v>164</v>
      </c>
      <c r="I1171" s="1" t="s">
        <v>60</v>
      </c>
      <c r="J1171" s="1" t="s">
        <v>67</v>
      </c>
      <c r="K1171" s="1" t="s">
        <v>94</v>
      </c>
      <c r="L1171" s="3">
        <v>46794</v>
      </c>
      <c r="M1171" s="3">
        <v>46064</v>
      </c>
      <c r="N1171">
        <f>_xlfn.XLOOKUP(Data[[#This Row],[Status]],Compliance_Status[Status from OPMS],Compliance_Status[Status_Key],"")</f>
        <v>4</v>
      </c>
      <c r="O1171">
        <f>_xlfn.XLOOKUP(Data[[#This Row],[Status]],Compliance_Status[Status from OPMS],Compliance_Status[Has Course booking],"")</f>
        <v>0</v>
      </c>
      <c r="P1171" t="str">
        <f>_xlfn.XLOOKUP(Data[[#This Row],[StatusKey]],Status_Key[Status_Key],Status_Key[Name],"")</f>
        <v>In Date</v>
      </c>
    </row>
    <row r="1172" spans="1:16" x14ac:dyDescent="0.25">
      <c r="A1172" s="1">
        <v>247</v>
      </c>
      <c r="B1172" s="1" t="s">
        <v>253</v>
      </c>
      <c r="C1172" s="1" t="s">
        <v>254</v>
      </c>
      <c r="D1172" s="1" t="s">
        <v>255</v>
      </c>
      <c r="E1172" s="1" t="s">
        <v>156</v>
      </c>
      <c r="F1172" s="1" t="s">
        <v>65</v>
      </c>
      <c r="G1172" s="1" t="s">
        <v>16</v>
      </c>
      <c r="H1172" s="1" t="s">
        <v>164</v>
      </c>
      <c r="I1172" s="1" t="s">
        <v>60</v>
      </c>
      <c r="J1172" s="1"/>
      <c r="K1172" s="1" t="s">
        <v>125</v>
      </c>
      <c r="L1172" s="3">
        <v>47860</v>
      </c>
      <c r="M1172" s="3">
        <v>46034</v>
      </c>
      <c r="N1172">
        <f>_xlfn.XLOOKUP(Data[[#This Row],[Status]],Compliance_Status[Status from OPMS],Compliance_Status[Status_Key],"")</f>
        <v>4</v>
      </c>
      <c r="O1172">
        <f>_xlfn.XLOOKUP(Data[[#This Row],[Status]],Compliance_Status[Status from OPMS],Compliance_Status[Has Course booking],"")</f>
        <v>0</v>
      </c>
      <c r="P1172" t="str">
        <f>_xlfn.XLOOKUP(Data[[#This Row],[StatusKey]],Status_Key[Status_Key],Status_Key[Name],"")</f>
        <v>In Date</v>
      </c>
    </row>
    <row r="1173" spans="1:16" x14ac:dyDescent="0.25">
      <c r="A1173" s="1">
        <v>247</v>
      </c>
      <c r="B1173" s="1" t="s">
        <v>253</v>
      </c>
      <c r="C1173" s="1" t="s">
        <v>254</v>
      </c>
      <c r="D1173" s="1" t="s">
        <v>255</v>
      </c>
      <c r="E1173" s="1" t="s">
        <v>124</v>
      </c>
      <c r="F1173" s="1" t="s">
        <v>72</v>
      </c>
      <c r="G1173" s="1" t="s">
        <v>16</v>
      </c>
      <c r="H1173" s="1" t="s">
        <v>164</v>
      </c>
      <c r="I1173" s="1" t="s">
        <v>60</v>
      </c>
      <c r="J1173" s="1"/>
      <c r="K1173" s="1" t="s">
        <v>125</v>
      </c>
      <c r="L1173" s="3">
        <v>47860</v>
      </c>
      <c r="M1173" s="3">
        <v>46034</v>
      </c>
      <c r="N1173">
        <f>_xlfn.XLOOKUP(Data[[#This Row],[Status]],Compliance_Status[Status from OPMS],Compliance_Status[Status_Key],"")</f>
        <v>4</v>
      </c>
      <c r="O1173">
        <f>_xlfn.XLOOKUP(Data[[#This Row],[Status]],Compliance_Status[Status from OPMS],Compliance_Status[Has Course booking],"")</f>
        <v>0</v>
      </c>
      <c r="P1173" t="str">
        <f>_xlfn.XLOOKUP(Data[[#This Row],[StatusKey]],Status_Key[Status_Key],Status_Key[Name],"")</f>
        <v>In Date</v>
      </c>
    </row>
    <row r="1174" spans="1:16" x14ac:dyDescent="0.25">
      <c r="A1174" s="1">
        <v>247</v>
      </c>
      <c r="B1174" s="1" t="s">
        <v>253</v>
      </c>
      <c r="C1174" s="1" t="s">
        <v>254</v>
      </c>
      <c r="D1174" s="1" t="s">
        <v>255</v>
      </c>
      <c r="E1174" s="1" t="s">
        <v>97</v>
      </c>
      <c r="F1174" s="1" t="s">
        <v>65</v>
      </c>
      <c r="G1174" s="1" t="s">
        <v>16</v>
      </c>
      <c r="H1174" s="1" t="s">
        <v>164</v>
      </c>
      <c r="I1174" s="1" t="s">
        <v>60</v>
      </c>
      <c r="J1174" s="1" t="s">
        <v>67</v>
      </c>
      <c r="K1174" s="1" t="s">
        <v>98</v>
      </c>
      <c r="L1174" s="3">
        <v>47889</v>
      </c>
      <c r="M1174" s="3">
        <v>46063</v>
      </c>
      <c r="N1174">
        <f>_xlfn.XLOOKUP(Data[[#This Row],[Status]],Compliance_Status[Status from OPMS],Compliance_Status[Status_Key],"")</f>
        <v>4</v>
      </c>
      <c r="O1174">
        <f>_xlfn.XLOOKUP(Data[[#This Row],[Status]],Compliance_Status[Status from OPMS],Compliance_Status[Has Course booking],"")</f>
        <v>0</v>
      </c>
      <c r="P1174" t="str">
        <f>_xlfn.XLOOKUP(Data[[#This Row],[StatusKey]],Status_Key[Status_Key],Status_Key[Name],"")</f>
        <v>In Date</v>
      </c>
    </row>
    <row r="1175" spans="1:16" x14ac:dyDescent="0.25">
      <c r="A1175" s="1">
        <v>247</v>
      </c>
      <c r="B1175" s="1" t="s">
        <v>253</v>
      </c>
      <c r="C1175" s="1" t="s">
        <v>254</v>
      </c>
      <c r="D1175" s="1" t="s">
        <v>255</v>
      </c>
      <c r="E1175" s="1" t="s">
        <v>100</v>
      </c>
      <c r="F1175" s="1" t="s">
        <v>72</v>
      </c>
      <c r="G1175" s="1" t="s">
        <v>18</v>
      </c>
      <c r="H1175" s="1" t="s">
        <v>164</v>
      </c>
      <c r="I1175" s="1" t="s">
        <v>60</v>
      </c>
      <c r="J1175" s="1"/>
      <c r="K1175" s="1" t="s">
        <v>98</v>
      </c>
      <c r="L1175" s="3"/>
      <c r="M1175" s="3"/>
      <c r="N1175">
        <f>_xlfn.XLOOKUP(Data[[#This Row],[Status]],Compliance_Status[Status from OPMS],Compliance_Status[Status_Key],"")</f>
        <v>2</v>
      </c>
      <c r="O1175">
        <f>_xlfn.XLOOKUP(Data[[#This Row],[Status]],Compliance_Status[Status from OPMS],Compliance_Status[Has Course booking],"")</f>
        <v>0</v>
      </c>
      <c r="P1175" t="str">
        <f>_xlfn.XLOOKUP(Data[[#This Row],[StatusKey]],Status_Key[Status_Key],Status_Key[Name],"")</f>
        <v>Outstanding</v>
      </c>
    </row>
    <row r="1176" spans="1:16" x14ac:dyDescent="0.25">
      <c r="A1176" s="1">
        <v>247</v>
      </c>
      <c r="B1176" s="1" t="s">
        <v>253</v>
      </c>
      <c r="C1176" s="1" t="s">
        <v>254</v>
      </c>
      <c r="D1176" s="1" t="s">
        <v>255</v>
      </c>
      <c r="E1176" s="1" t="s">
        <v>101</v>
      </c>
      <c r="F1176" s="1" t="s">
        <v>65</v>
      </c>
      <c r="G1176" s="1" t="s">
        <v>16</v>
      </c>
      <c r="H1176" s="1" t="s">
        <v>164</v>
      </c>
      <c r="I1176" s="1" t="s">
        <v>60</v>
      </c>
      <c r="J1176" s="1" t="s">
        <v>67</v>
      </c>
      <c r="K1176" s="1" t="s">
        <v>102</v>
      </c>
      <c r="L1176" s="3" t="s">
        <v>79</v>
      </c>
      <c r="M1176" s="3">
        <v>46073</v>
      </c>
      <c r="N1176">
        <f>_xlfn.XLOOKUP(Data[[#This Row],[Status]],Compliance_Status[Status from OPMS],Compliance_Status[Status_Key],"")</f>
        <v>4</v>
      </c>
      <c r="O1176">
        <f>_xlfn.XLOOKUP(Data[[#This Row],[Status]],Compliance_Status[Status from OPMS],Compliance_Status[Has Course booking],"")</f>
        <v>0</v>
      </c>
      <c r="P1176" t="str">
        <f>_xlfn.XLOOKUP(Data[[#This Row],[StatusKey]],Status_Key[Status_Key],Status_Key[Name],"")</f>
        <v>In Date</v>
      </c>
    </row>
    <row r="1177" spans="1:16" x14ac:dyDescent="0.25">
      <c r="A1177" s="1">
        <v>247</v>
      </c>
      <c r="B1177" s="1" t="s">
        <v>253</v>
      </c>
      <c r="C1177" s="1" t="s">
        <v>254</v>
      </c>
      <c r="D1177" s="1" t="s">
        <v>255</v>
      </c>
      <c r="E1177" s="1" t="s">
        <v>103</v>
      </c>
      <c r="F1177" s="1" t="s">
        <v>65</v>
      </c>
      <c r="G1177" s="1" t="s">
        <v>16</v>
      </c>
      <c r="H1177" s="1" t="s">
        <v>164</v>
      </c>
      <c r="I1177" s="1" t="s">
        <v>60</v>
      </c>
      <c r="J1177" s="1" t="s">
        <v>67</v>
      </c>
      <c r="K1177" s="1" t="s">
        <v>102</v>
      </c>
      <c r="L1177" s="3">
        <v>46796</v>
      </c>
      <c r="M1177" s="3">
        <v>46066</v>
      </c>
      <c r="N1177">
        <f>_xlfn.XLOOKUP(Data[[#This Row],[Status]],Compliance_Status[Status from OPMS],Compliance_Status[Status_Key],"")</f>
        <v>4</v>
      </c>
      <c r="O1177">
        <f>_xlfn.XLOOKUP(Data[[#This Row],[Status]],Compliance_Status[Status from OPMS],Compliance_Status[Has Course booking],"")</f>
        <v>0</v>
      </c>
      <c r="P1177" t="str">
        <f>_xlfn.XLOOKUP(Data[[#This Row],[StatusKey]],Status_Key[Status_Key],Status_Key[Name],"")</f>
        <v>In Date</v>
      </c>
    </row>
    <row r="1178" spans="1:16" x14ac:dyDescent="0.25">
      <c r="A1178" s="1">
        <v>247</v>
      </c>
      <c r="B1178" s="1" t="s">
        <v>253</v>
      </c>
      <c r="C1178" s="1" t="s">
        <v>254</v>
      </c>
      <c r="D1178" s="1" t="s">
        <v>255</v>
      </c>
      <c r="E1178" s="1" t="s">
        <v>104</v>
      </c>
      <c r="F1178" s="1" t="s">
        <v>65</v>
      </c>
      <c r="G1178" s="1" t="s">
        <v>16</v>
      </c>
      <c r="H1178" s="1" t="s">
        <v>164</v>
      </c>
      <c r="I1178" s="1" t="s">
        <v>60</v>
      </c>
      <c r="J1178" s="1" t="s">
        <v>67</v>
      </c>
      <c r="K1178" s="1" t="s">
        <v>105</v>
      </c>
      <c r="L1178" s="3">
        <v>46792</v>
      </c>
      <c r="M1178" s="3">
        <v>46062</v>
      </c>
      <c r="N1178">
        <f>_xlfn.XLOOKUP(Data[[#This Row],[Status]],Compliance_Status[Status from OPMS],Compliance_Status[Status_Key],"")</f>
        <v>4</v>
      </c>
      <c r="O1178">
        <f>_xlfn.XLOOKUP(Data[[#This Row],[Status]],Compliance_Status[Status from OPMS],Compliance_Status[Has Course booking],"")</f>
        <v>0</v>
      </c>
      <c r="P1178" t="str">
        <f>_xlfn.XLOOKUP(Data[[#This Row],[StatusKey]],Status_Key[Status_Key],Status_Key[Name],"")</f>
        <v>In Date</v>
      </c>
    </row>
    <row r="1179" spans="1:16" x14ac:dyDescent="0.25">
      <c r="A1179" s="1">
        <v>247</v>
      </c>
      <c r="B1179" s="1" t="s">
        <v>253</v>
      </c>
      <c r="C1179" s="1" t="s">
        <v>254</v>
      </c>
      <c r="D1179" s="1" t="s">
        <v>255</v>
      </c>
      <c r="E1179" s="1" t="s">
        <v>106</v>
      </c>
      <c r="F1179" s="1" t="s">
        <v>65</v>
      </c>
      <c r="G1179" s="1" t="s">
        <v>16</v>
      </c>
      <c r="H1179" s="1" t="s">
        <v>164</v>
      </c>
      <c r="I1179" s="1" t="s">
        <v>60</v>
      </c>
      <c r="J1179" s="1" t="s">
        <v>67</v>
      </c>
      <c r="K1179" s="1" t="s">
        <v>105</v>
      </c>
      <c r="L1179" s="3">
        <v>47889</v>
      </c>
      <c r="M1179" s="3">
        <v>46063</v>
      </c>
      <c r="N1179">
        <f>_xlfn.XLOOKUP(Data[[#This Row],[Status]],Compliance_Status[Status from OPMS],Compliance_Status[Status_Key],"")</f>
        <v>4</v>
      </c>
      <c r="O1179">
        <f>_xlfn.XLOOKUP(Data[[#This Row],[Status]],Compliance_Status[Status from OPMS],Compliance_Status[Has Course booking],"")</f>
        <v>0</v>
      </c>
      <c r="P1179" t="str">
        <f>_xlfn.XLOOKUP(Data[[#This Row],[StatusKey]],Status_Key[Status_Key],Status_Key[Name],"")</f>
        <v>In Date</v>
      </c>
    </row>
    <row r="1180" spans="1:16" x14ac:dyDescent="0.25">
      <c r="A1180" s="1">
        <v>247</v>
      </c>
      <c r="B1180" s="1" t="s">
        <v>253</v>
      </c>
      <c r="C1180" s="1" t="s">
        <v>254</v>
      </c>
      <c r="D1180" s="1" t="s">
        <v>255</v>
      </c>
      <c r="E1180" s="1" t="s">
        <v>107</v>
      </c>
      <c r="F1180" s="1" t="s">
        <v>65</v>
      </c>
      <c r="G1180" s="1" t="s">
        <v>16</v>
      </c>
      <c r="H1180" s="1" t="s">
        <v>164</v>
      </c>
      <c r="I1180" s="1" t="s">
        <v>60</v>
      </c>
      <c r="J1180" s="1" t="s">
        <v>67</v>
      </c>
      <c r="K1180" s="1" t="s">
        <v>105</v>
      </c>
      <c r="L1180" s="3">
        <v>47158</v>
      </c>
      <c r="M1180" s="3">
        <v>46063</v>
      </c>
      <c r="N1180">
        <f>_xlfn.XLOOKUP(Data[[#This Row],[Status]],Compliance_Status[Status from OPMS],Compliance_Status[Status_Key],"")</f>
        <v>4</v>
      </c>
      <c r="O1180">
        <f>_xlfn.XLOOKUP(Data[[#This Row],[Status]],Compliance_Status[Status from OPMS],Compliance_Status[Has Course booking],"")</f>
        <v>0</v>
      </c>
      <c r="P1180" t="str">
        <f>_xlfn.XLOOKUP(Data[[#This Row],[StatusKey]],Status_Key[Status_Key],Status_Key[Name],"")</f>
        <v>In Date</v>
      </c>
    </row>
    <row r="1181" spans="1:16" x14ac:dyDescent="0.25">
      <c r="A1181" s="1">
        <v>247</v>
      </c>
      <c r="B1181" s="1" t="s">
        <v>253</v>
      </c>
      <c r="C1181" s="1" t="s">
        <v>254</v>
      </c>
      <c r="D1181" s="1" t="s">
        <v>255</v>
      </c>
      <c r="E1181" s="1" t="s">
        <v>108</v>
      </c>
      <c r="F1181" s="1" t="s">
        <v>65</v>
      </c>
      <c r="G1181" s="1" t="s">
        <v>16</v>
      </c>
      <c r="H1181" s="1" t="s">
        <v>164</v>
      </c>
      <c r="I1181" s="1" t="s">
        <v>60</v>
      </c>
      <c r="J1181" s="1" t="s">
        <v>67</v>
      </c>
      <c r="K1181" s="1" t="s">
        <v>105</v>
      </c>
      <c r="L1181" s="3">
        <v>47314</v>
      </c>
      <c r="M1181" s="3">
        <v>46218</v>
      </c>
      <c r="N1181">
        <f>_xlfn.XLOOKUP(Data[[#This Row],[Status]],Compliance_Status[Status from OPMS],Compliance_Status[Status_Key],"")</f>
        <v>4</v>
      </c>
      <c r="O1181">
        <f>_xlfn.XLOOKUP(Data[[#This Row],[Status]],Compliance_Status[Status from OPMS],Compliance_Status[Has Course booking],"")</f>
        <v>0</v>
      </c>
      <c r="P1181" t="str">
        <f>_xlfn.XLOOKUP(Data[[#This Row],[StatusKey]],Status_Key[Status_Key],Status_Key[Name],"")</f>
        <v>In Date</v>
      </c>
    </row>
    <row r="1182" spans="1:16" x14ac:dyDescent="0.25">
      <c r="A1182" s="1">
        <v>247</v>
      </c>
      <c r="B1182" s="1" t="s">
        <v>253</v>
      </c>
      <c r="C1182" s="1" t="s">
        <v>254</v>
      </c>
      <c r="D1182" s="1" t="s">
        <v>255</v>
      </c>
      <c r="E1182" s="1" t="s">
        <v>109</v>
      </c>
      <c r="F1182" s="1" t="s">
        <v>65</v>
      </c>
      <c r="G1182" s="1" t="s">
        <v>16</v>
      </c>
      <c r="H1182" s="1" t="s">
        <v>164</v>
      </c>
      <c r="I1182" s="1" t="s">
        <v>60</v>
      </c>
      <c r="J1182" s="1" t="s">
        <v>67</v>
      </c>
      <c r="K1182" s="1" t="s">
        <v>105</v>
      </c>
      <c r="L1182" s="3">
        <v>46792</v>
      </c>
      <c r="M1182" s="3">
        <v>46062</v>
      </c>
      <c r="N1182">
        <f>_xlfn.XLOOKUP(Data[[#This Row],[Status]],Compliance_Status[Status from OPMS],Compliance_Status[Status_Key],"")</f>
        <v>4</v>
      </c>
      <c r="O1182">
        <f>_xlfn.XLOOKUP(Data[[#This Row],[Status]],Compliance_Status[Status from OPMS],Compliance_Status[Has Course booking],"")</f>
        <v>0</v>
      </c>
      <c r="P1182" t="str">
        <f>_xlfn.XLOOKUP(Data[[#This Row],[StatusKey]],Status_Key[Status_Key],Status_Key[Name],"")</f>
        <v>In Date</v>
      </c>
    </row>
    <row r="1183" spans="1:16" x14ac:dyDescent="0.25">
      <c r="A1183" s="1">
        <v>247</v>
      </c>
      <c r="B1183" s="1" t="s">
        <v>253</v>
      </c>
      <c r="C1183" s="1" t="s">
        <v>254</v>
      </c>
      <c r="D1183" s="1" t="s">
        <v>255</v>
      </c>
      <c r="E1183" s="1" t="s">
        <v>110</v>
      </c>
      <c r="F1183" s="1" t="s">
        <v>65</v>
      </c>
      <c r="G1183" s="1" t="s">
        <v>16</v>
      </c>
      <c r="H1183" s="1" t="s">
        <v>164</v>
      </c>
      <c r="I1183" s="1" t="s">
        <v>60</v>
      </c>
      <c r="J1183" s="1" t="s">
        <v>67</v>
      </c>
      <c r="K1183" s="1" t="s">
        <v>105</v>
      </c>
      <c r="L1183" s="3" t="s">
        <v>79</v>
      </c>
      <c r="M1183" s="3">
        <v>46062</v>
      </c>
      <c r="N1183">
        <f>_xlfn.XLOOKUP(Data[[#This Row],[Status]],Compliance_Status[Status from OPMS],Compliance_Status[Status_Key],"")</f>
        <v>4</v>
      </c>
      <c r="O1183">
        <f>_xlfn.XLOOKUP(Data[[#This Row],[Status]],Compliance_Status[Status from OPMS],Compliance_Status[Has Course booking],"")</f>
        <v>0</v>
      </c>
      <c r="P1183" t="str">
        <f>_xlfn.XLOOKUP(Data[[#This Row],[StatusKey]],Status_Key[Status_Key],Status_Key[Name],"")</f>
        <v>In Date</v>
      </c>
    </row>
    <row r="1184" spans="1:16" x14ac:dyDescent="0.25">
      <c r="A1184" s="1">
        <v>247</v>
      </c>
      <c r="B1184" s="1" t="s">
        <v>253</v>
      </c>
      <c r="C1184" s="1" t="s">
        <v>254</v>
      </c>
      <c r="D1184" s="1" t="s">
        <v>255</v>
      </c>
      <c r="E1184" s="1" t="s">
        <v>111</v>
      </c>
      <c r="F1184" s="1" t="s">
        <v>65</v>
      </c>
      <c r="G1184" s="1" t="s">
        <v>16</v>
      </c>
      <c r="H1184" s="1" t="s">
        <v>164</v>
      </c>
      <c r="I1184" s="1" t="s">
        <v>60</v>
      </c>
      <c r="J1184" s="1" t="s">
        <v>67</v>
      </c>
      <c r="K1184" s="1" t="s">
        <v>105</v>
      </c>
      <c r="L1184" s="3">
        <v>46796</v>
      </c>
      <c r="M1184" s="3">
        <v>46066</v>
      </c>
      <c r="N1184">
        <f>_xlfn.XLOOKUP(Data[[#This Row],[Status]],Compliance_Status[Status from OPMS],Compliance_Status[Status_Key],"")</f>
        <v>4</v>
      </c>
      <c r="O1184">
        <f>_xlfn.XLOOKUP(Data[[#This Row],[Status]],Compliance_Status[Status from OPMS],Compliance_Status[Has Course booking],"")</f>
        <v>0</v>
      </c>
      <c r="P1184" t="str">
        <f>_xlfn.XLOOKUP(Data[[#This Row],[StatusKey]],Status_Key[Status_Key],Status_Key[Name],"")</f>
        <v>In Date</v>
      </c>
    </row>
    <row r="1185" spans="1:16" x14ac:dyDescent="0.25">
      <c r="A1185" s="1">
        <v>247</v>
      </c>
      <c r="B1185" s="1" t="s">
        <v>253</v>
      </c>
      <c r="C1185" s="1" t="s">
        <v>254</v>
      </c>
      <c r="D1185" s="1" t="s">
        <v>255</v>
      </c>
      <c r="E1185" s="1" t="s">
        <v>112</v>
      </c>
      <c r="F1185" s="1" t="s">
        <v>65</v>
      </c>
      <c r="G1185" s="1" t="s">
        <v>16</v>
      </c>
      <c r="H1185" s="1" t="s">
        <v>164</v>
      </c>
      <c r="I1185" s="1" t="s">
        <v>60</v>
      </c>
      <c r="J1185" s="1" t="s">
        <v>67</v>
      </c>
      <c r="K1185" s="1" t="s">
        <v>105</v>
      </c>
      <c r="L1185" s="3">
        <v>46793</v>
      </c>
      <c r="M1185" s="3">
        <v>46063</v>
      </c>
      <c r="N1185">
        <f>_xlfn.XLOOKUP(Data[[#This Row],[Status]],Compliance_Status[Status from OPMS],Compliance_Status[Status_Key],"")</f>
        <v>4</v>
      </c>
      <c r="O1185">
        <f>_xlfn.XLOOKUP(Data[[#This Row],[Status]],Compliance_Status[Status from OPMS],Compliance_Status[Has Course booking],"")</f>
        <v>0</v>
      </c>
      <c r="P1185" t="str">
        <f>_xlfn.XLOOKUP(Data[[#This Row],[StatusKey]],Status_Key[Status_Key],Status_Key[Name],"")</f>
        <v>In Date</v>
      </c>
    </row>
    <row r="1186" spans="1:16" x14ac:dyDescent="0.25">
      <c r="A1186" s="1">
        <v>247</v>
      </c>
      <c r="B1186" s="1" t="s">
        <v>253</v>
      </c>
      <c r="C1186" s="1" t="s">
        <v>254</v>
      </c>
      <c r="D1186" s="1" t="s">
        <v>255</v>
      </c>
      <c r="E1186" s="1" t="s">
        <v>113</v>
      </c>
      <c r="F1186" s="1" t="s">
        <v>65</v>
      </c>
      <c r="G1186" s="1" t="s">
        <v>16</v>
      </c>
      <c r="H1186" s="1" t="s">
        <v>164</v>
      </c>
      <c r="I1186" s="1" t="s">
        <v>60</v>
      </c>
      <c r="J1186" s="1" t="s">
        <v>67</v>
      </c>
      <c r="K1186" s="1" t="s">
        <v>105</v>
      </c>
      <c r="L1186" s="3">
        <v>46795</v>
      </c>
      <c r="M1186" s="3">
        <v>46065</v>
      </c>
      <c r="N1186">
        <f>_xlfn.XLOOKUP(Data[[#This Row],[Status]],Compliance_Status[Status from OPMS],Compliance_Status[Status_Key],"")</f>
        <v>4</v>
      </c>
      <c r="O1186">
        <f>_xlfn.XLOOKUP(Data[[#This Row],[Status]],Compliance_Status[Status from OPMS],Compliance_Status[Has Course booking],"")</f>
        <v>0</v>
      </c>
      <c r="P1186" t="str">
        <f>_xlfn.XLOOKUP(Data[[#This Row],[StatusKey]],Status_Key[Status_Key],Status_Key[Name],"")</f>
        <v>In Date</v>
      </c>
    </row>
    <row r="1187" spans="1:16" x14ac:dyDescent="0.25">
      <c r="A1187" s="1">
        <v>173</v>
      </c>
      <c r="B1187" s="1" t="s">
        <v>256</v>
      </c>
      <c r="C1187" s="1" t="s">
        <v>257</v>
      </c>
      <c r="D1187" s="1" t="s">
        <v>258</v>
      </c>
      <c r="E1187" s="1" t="s">
        <v>163</v>
      </c>
      <c r="F1187" s="1" t="s">
        <v>65</v>
      </c>
      <c r="G1187" s="1" t="s">
        <v>16</v>
      </c>
      <c r="H1187" s="1" t="s">
        <v>164</v>
      </c>
      <c r="I1187" s="1" t="s">
        <v>60</v>
      </c>
      <c r="J1187" s="1"/>
      <c r="K1187" s="1" t="s">
        <v>68</v>
      </c>
      <c r="L1187" s="3">
        <v>47981</v>
      </c>
      <c r="M1187" s="3">
        <v>46155</v>
      </c>
      <c r="N1187">
        <f>_xlfn.XLOOKUP(Data[[#This Row],[Status]],Compliance_Status[Status from OPMS],Compliance_Status[Status_Key],"")</f>
        <v>4</v>
      </c>
      <c r="O1187">
        <f>_xlfn.XLOOKUP(Data[[#This Row],[Status]],Compliance_Status[Status from OPMS],Compliance_Status[Has Course booking],"")</f>
        <v>0</v>
      </c>
      <c r="P1187" t="str">
        <f>_xlfn.XLOOKUP(Data[[#This Row],[StatusKey]],Status_Key[Status_Key],Status_Key[Name],"")</f>
        <v>In Date</v>
      </c>
    </row>
    <row r="1188" spans="1:16" x14ac:dyDescent="0.25">
      <c r="A1188" s="1">
        <v>173</v>
      </c>
      <c r="B1188" s="1" t="s">
        <v>256</v>
      </c>
      <c r="C1188" s="1" t="s">
        <v>257</v>
      </c>
      <c r="D1188" s="1" t="s">
        <v>258</v>
      </c>
      <c r="E1188" s="1" t="s">
        <v>136</v>
      </c>
      <c r="F1188" s="1"/>
      <c r="G1188" s="1" t="s">
        <v>16</v>
      </c>
      <c r="H1188" s="1" t="s">
        <v>164</v>
      </c>
      <c r="I1188" s="1" t="s">
        <v>60</v>
      </c>
      <c r="J1188" s="1" t="s">
        <v>67</v>
      </c>
      <c r="K1188" s="1" t="s">
        <v>68</v>
      </c>
      <c r="L1188" s="3">
        <v>47981</v>
      </c>
      <c r="M1188" s="3">
        <v>46155</v>
      </c>
      <c r="N1188">
        <f>_xlfn.XLOOKUP(Data[[#This Row],[Status]],Compliance_Status[Status from OPMS],Compliance_Status[Status_Key],"")</f>
        <v>4</v>
      </c>
      <c r="O1188">
        <f>_xlfn.XLOOKUP(Data[[#This Row],[Status]],Compliance_Status[Status from OPMS],Compliance_Status[Has Course booking],"")</f>
        <v>0</v>
      </c>
      <c r="P1188" t="str">
        <f>_xlfn.XLOOKUP(Data[[#This Row],[StatusKey]],Status_Key[Status_Key],Status_Key[Name],"")</f>
        <v>In Date</v>
      </c>
    </row>
    <row r="1189" spans="1:16" x14ac:dyDescent="0.25">
      <c r="A1189" s="1">
        <v>173</v>
      </c>
      <c r="B1189" s="1" t="s">
        <v>256</v>
      </c>
      <c r="C1189" s="1" t="s">
        <v>257</v>
      </c>
      <c r="D1189" s="1" t="s">
        <v>258</v>
      </c>
      <c r="E1189" s="1" t="s">
        <v>131</v>
      </c>
      <c r="F1189" s="1" t="s">
        <v>72</v>
      </c>
      <c r="G1189" s="1" t="s">
        <v>16</v>
      </c>
      <c r="H1189" s="1" t="s">
        <v>164</v>
      </c>
      <c r="I1189" s="1" t="s">
        <v>60</v>
      </c>
      <c r="J1189" s="1" t="s">
        <v>67</v>
      </c>
      <c r="K1189" s="1" t="s">
        <v>68</v>
      </c>
      <c r="L1189" s="3">
        <v>46590</v>
      </c>
      <c r="M1189" s="3">
        <v>45005</v>
      </c>
      <c r="N1189">
        <f>_xlfn.XLOOKUP(Data[[#This Row],[Status]],Compliance_Status[Status from OPMS],Compliance_Status[Status_Key],"")</f>
        <v>4</v>
      </c>
      <c r="O1189">
        <f>_xlfn.XLOOKUP(Data[[#This Row],[Status]],Compliance_Status[Status from OPMS],Compliance_Status[Has Course booking],"")</f>
        <v>0</v>
      </c>
      <c r="P1189" t="str">
        <f>_xlfn.XLOOKUP(Data[[#This Row],[StatusKey]],Status_Key[Status_Key],Status_Key[Name],"")</f>
        <v>In Date</v>
      </c>
    </row>
    <row r="1190" spans="1:16" x14ac:dyDescent="0.25">
      <c r="A1190" s="1">
        <v>173</v>
      </c>
      <c r="B1190" s="1" t="s">
        <v>256</v>
      </c>
      <c r="C1190" s="1" t="s">
        <v>257</v>
      </c>
      <c r="D1190" s="1" t="s">
        <v>258</v>
      </c>
      <c r="E1190" s="1" t="s">
        <v>69</v>
      </c>
      <c r="F1190" s="1"/>
      <c r="G1190" s="1" t="s">
        <v>16</v>
      </c>
      <c r="H1190" s="1" t="s">
        <v>164</v>
      </c>
      <c r="I1190" s="1" t="s">
        <v>60</v>
      </c>
      <c r="J1190" s="1" t="s">
        <v>67</v>
      </c>
      <c r="K1190" s="1" t="s">
        <v>68</v>
      </c>
      <c r="L1190" s="3">
        <v>48015</v>
      </c>
      <c r="M1190" s="3">
        <v>46190</v>
      </c>
      <c r="N1190">
        <f>_xlfn.XLOOKUP(Data[[#This Row],[Status]],Compliance_Status[Status from OPMS],Compliance_Status[Status_Key],"")</f>
        <v>4</v>
      </c>
      <c r="O1190">
        <f>_xlfn.XLOOKUP(Data[[#This Row],[Status]],Compliance_Status[Status from OPMS],Compliance_Status[Has Course booking],"")</f>
        <v>0</v>
      </c>
      <c r="P1190" t="str">
        <f>_xlfn.XLOOKUP(Data[[#This Row],[StatusKey]],Status_Key[Status_Key],Status_Key[Name],"")</f>
        <v>In Date</v>
      </c>
    </row>
    <row r="1191" spans="1:16" x14ac:dyDescent="0.25">
      <c r="A1191" s="1">
        <v>173</v>
      </c>
      <c r="B1191" s="1" t="s">
        <v>256</v>
      </c>
      <c r="C1191" s="1" t="s">
        <v>257</v>
      </c>
      <c r="D1191" s="1" t="s">
        <v>258</v>
      </c>
      <c r="E1191" s="1" t="s">
        <v>71</v>
      </c>
      <c r="F1191" s="1" t="s">
        <v>72</v>
      </c>
      <c r="G1191" s="1" t="s">
        <v>18</v>
      </c>
      <c r="H1191" s="1" t="s">
        <v>164</v>
      </c>
      <c r="I1191" s="1" t="s">
        <v>60</v>
      </c>
      <c r="J1191" s="1"/>
      <c r="K1191" s="1" t="s">
        <v>68</v>
      </c>
      <c r="L1191" s="3"/>
      <c r="M1191" s="3"/>
      <c r="N1191">
        <f>_xlfn.XLOOKUP(Data[[#This Row],[Status]],Compliance_Status[Status from OPMS],Compliance_Status[Status_Key],"")</f>
        <v>2</v>
      </c>
      <c r="O1191">
        <f>_xlfn.XLOOKUP(Data[[#This Row],[Status]],Compliance_Status[Status from OPMS],Compliance_Status[Has Course booking],"")</f>
        <v>0</v>
      </c>
      <c r="P1191" t="str">
        <f>_xlfn.XLOOKUP(Data[[#This Row],[StatusKey]],Status_Key[Status_Key],Status_Key[Name],"")</f>
        <v>Outstanding</v>
      </c>
    </row>
    <row r="1192" spans="1:16" x14ac:dyDescent="0.25">
      <c r="A1192" s="1">
        <v>173</v>
      </c>
      <c r="B1192" s="1" t="s">
        <v>256</v>
      </c>
      <c r="C1192" s="1" t="s">
        <v>257</v>
      </c>
      <c r="D1192" s="1" t="s">
        <v>258</v>
      </c>
      <c r="E1192" s="1" t="s">
        <v>73</v>
      </c>
      <c r="F1192" s="1" t="s">
        <v>65</v>
      </c>
      <c r="G1192" s="1" t="s">
        <v>16</v>
      </c>
      <c r="H1192" s="1" t="s">
        <v>164</v>
      </c>
      <c r="I1192" s="1" t="s">
        <v>60</v>
      </c>
      <c r="J1192" s="1" t="s">
        <v>67</v>
      </c>
      <c r="K1192" s="1" t="s">
        <v>68</v>
      </c>
      <c r="L1192" s="3">
        <v>46773</v>
      </c>
      <c r="M1192" s="3">
        <v>46043</v>
      </c>
      <c r="N1192">
        <f>_xlfn.XLOOKUP(Data[[#This Row],[Status]],Compliance_Status[Status from OPMS],Compliance_Status[Status_Key],"")</f>
        <v>4</v>
      </c>
      <c r="O1192">
        <f>_xlfn.XLOOKUP(Data[[#This Row],[Status]],Compliance_Status[Status from OPMS],Compliance_Status[Has Course booking],"")</f>
        <v>0</v>
      </c>
      <c r="P1192" t="str">
        <f>_xlfn.XLOOKUP(Data[[#This Row],[StatusKey]],Status_Key[Status_Key],Status_Key[Name],"")</f>
        <v>In Date</v>
      </c>
    </row>
    <row r="1193" spans="1:16" x14ac:dyDescent="0.25">
      <c r="A1193" s="1">
        <v>173</v>
      </c>
      <c r="B1193" s="1" t="s">
        <v>256</v>
      </c>
      <c r="C1193" s="1" t="s">
        <v>257</v>
      </c>
      <c r="D1193" s="1" t="s">
        <v>258</v>
      </c>
      <c r="E1193" s="1" t="s">
        <v>74</v>
      </c>
      <c r="F1193" s="1" t="s">
        <v>65</v>
      </c>
      <c r="G1193" s="1" t="s">
        <v>16</v>
      </c>
      <c r="H1193" s="1" t="s">
        <v>164</v>
      </c>
      <c r="I1193" s="1" t="s">
        <v>60</v>
      </c>
      <c r="J1193" s="1" t="s">
        <v>67</v>
      </c>
      <c r="K1193" s="1" t="s">
        <v>68</v>
      </c>
      <c r="L1193" s="3">
        <v>47300</v>
      </c>
      <c r="M1193" s="3">
        <v>46204</v>
      </c>
      <c r="N1193">
        <f>_xlfn.XLOOKUP(Data[[#This Row],[Status]],Compliance_Status[Status from OPMS],Compliance_Status[Status_Key],"")</f>
        <v>4</v>
      </c>
      <c r="O1193">
        <f>_xlfn.XLOOKUP(Data[[#This Row],[Status]],Compliance_Status[Status from OPMS],Compliance_Status[Has Course booking],"")</f>
        <v>0</v>
      </c>
      <c r="P1193" t="str">
        <f>_xlfn.XLOOKUP(Data[[#This Row],[StatusKey]],Status_Key[Status_Key],Status_Key[Name],"")</f>
        <v>In Date</v>
      </c>
    </row>
    <row r="1194" spans="1:16" x14ac:dyDescent="0.25">
      <c r="A1194" s="1">
        <v>173</v>
      </c>
      <c r="B1194" s="1" t="s">
        <v>256</v>
      </c>
      <c r="C1194" s="1" t="s">
        <v>257</v>
      </c>
      <c r="D1194" s="1" t="s">
        <v>258</v>
      </c>
      <c r="E1194" s="1" t="s">
        <v>75</v>
      </c>
      <c r="F1194" s="1" t="s">
        <v>72</v>
      </c>
      <c r="G1194" s="1" t="s">
        <v>18</v>
      </c>
      <c r="H1194" s="1" t="s">
        <v>164</v>
      </c>
      <c r="I1194" s="1" t="s">
        <v>60</v>
      </c>
      <c r="J1194" s="1"/>
      <c r="K1194" s="1" t="s">
        <v>68</v>
      </c>
      <c r="L1194" s="3"/>
      <c r="M1194" s="3"/>
      <c r="N1194">
        <f>_xlfn.XLOOKUP(Data[[#This Row],[Status]],Compliance_Status[Status from OPMS],Compliance_Status[Status_Key],"")</f>
        <v>2</v>
      </c>
      <c r="O1194">
        <f>_xlfn.XLOOKUP(Data[[#This Row],[Status]],Compliance_Status[Status from OPMS],Compliance_Status[Has Course booking],"")</f>
        <v>0</v>
      </c>
      <c r="P1194" t="str">
        <f>_xlfn.XLOOKUP(Data[[#This Row],[StatusKey]],Status_Key[Status_Key],Status_Key[Name],"")</f>
        <v>Outstanding</v>
      </c>
    </row>
    <row r="1195" spans="1:16" x14ac:dyDescent="0.25">
      <c r="A1195" s="1">
        <v>173</v>
      </c>
      <c r="B1195" s="1" t="s">
        <v>256</v>
      </c>
      <c r="C1195" s="1" t="s">
        <v>257</v>
      </c>
      <c r="D1195" s="1" t="s">
        <v>258</v>
      </c>
      <c r="E1195" s="1" t="s">
        <v>165</v>
      </c>
      <c r="F1195" s="1" t="s">
        <v>72</v>
      </c>
      <c r="G1195" s="1" t="s">
        <v>18</v>
      </c>
      <c r="H1195" s="1" t="s">
        <v>164</v>
      </c>
      <c r="I1195" s="1" t="s">
        <v>60</v>
      </c>
      <c r="J1195" s="1"/>
      <c r="K1195" s="1" t="s">
        <v>68</v>
      </c>
      <c r="L1195" s="3"/>
      <c r="M1195" s="3"/>
      <c r="N1195">
        <f>_xlfn.XLOOKUP(Data[[#This Row],[Status]],Compliance_Status[Status from OPMS],Compliance_Status[Status_Key],"")</f>
        <v>2</v>
      </c>
      <c r="O1195">
        <f>_xlfn.XLOOKUP(Data[[#This Row],[Status]],Compliance_Status[Status from OPMS],Compliance_Status[Has Course booking],"")</f>
        <v>0</v>
      </c>
      <c r="P1195" t="str">
        <f>_xlfn.XLOOKUP(Data[[#This Row],[StatusKey]],Status_Key[Status_Key],Status_Key[Name],"")</f>
        <v>Outstanding</v>
      </c>
    </row>
    <row r="1196" spans="1:16" x14ac:dyDescent="0.25">
      <c r="A1196" s="1">
        <v>173</v>
      </c>
      <c r="B1196" s="1" t="s">
        <v>256</v>
      </c>
      <c r="C1196" s="1" t="s">
        <v>257</v>
      </c>
      <c r="D1196" s="1" t="s">
        <v>258</v>
      </c>
      <c r="E1196" s="1" t="s">
        <v>76</v>
      </c>
      <c r="F1196" s="1" t="s">
        <v>65</v>
      </c>
      <c r="G1196" s="1" t="s">
        <v>16</v>
      </c>
      <c r="H1196" s="1" t="s">
        <v>164</v>
      </c>
      <c r="I1196" s="1" t="s">
        <v>60</v>
      </c>
      <c r="J1196" s="1" t="s">
        <v>67</v>
      </c>
      <c r="K1196" s="1" t="s">
        <v>77</v>
      </c>
      <c r="L1196" s="3">
        <v>46904</v>
      </c>
      <c r="M1196" s="3">
        <v>46143</v>
      </c>
      <c r="N1196">
        <f>_xlfn.XLOOKUP(Data[[#This Row],[Status]],Compliance_Status[Status from OPMS],Compliance_Status[Status_Key],"")</f>
        <v>4</v>
      </c>
      <c r="O1196">
        <f>_xlfn.XLOOKUP(Data[[#This Row],[Status]],Compliance_Status[Status from OPMS],Compliance_Status[Has Course booking],"")</f>
        <v>0</v>
      </c>
      <c r="P1196" t="str">
        <f>_xlfn.XLOOKUP(Data[[#This Row],[StatusKey]],Status_Key[Status_Key],Status_Key[Name],"")</f>
        <v>In Date</v>
      </c>
    </row>
    <row r="1197" spans="1:16" x14ac:dyDescent="0.25">
      <c r="A1197" s="1">
        <v>173</v>
      </c>
      <c r="B1197" s="1" t="s">
        <v>256</v>
      </c>
      <c r="C1197" s="1" t="s">
        <v>257</v>
      </c>
      <c r="D1197" s="1" t="s">
        <v>258</v>
      </c>
      <c r="E1197" s="1" t="s">
        <v>80</v>
      </c>
      <c r="F1197" s="1" t="s">
        <v>65</v>
      </c>
      <c r="G1197" s="1" t="s">
        <v>18</v>
      </c>
      <c r="H1197" s="1" t="s">
        <v>164</v>
      </c>
      <c r="I1197" s="1" t="s">
        <v>60</v>
      </c>
      <c r="J1197" s="1"/>
      <c r="K1197" s="1" t="s">
        <v>77</v>
      </c>
      <c r="L1197" s="3"/>
      <c r="M1197" s="3"/>
      <c r="N1197">
        <f>_xlfn.XLOOKUP(Data[[#This Row],[Status]],Compliance_Status[Status from OPMS],Compliance_Status[Status_Key],"")</f>
        <v>2</v>
      </c>
      <c r="O1197">
        <f>_xlfn.XLOOKUP(Data[[#This Row],[Status]],Compliance_Status[Status from OPMS],Compliance_Status[Has Course booking],"")</f>
        <v>0</v>
      </c>
      <c r="P1197" t="str">
        <f>_xlfn.XLOOKUP(Data[[#This Row],[StatusKey]],Status_Key[Status_Key],Status_Key[Name],"")</f>
        <v>Outstanding</v>
      </c>
    </row>
    <row r="1198" spans="1:16" x14ac:dyDescent="0.25">
      <c r="A1198" s="1">
        <v>173</v>
      </c>
      <c r="B1198" s="1" t="s">
        <v>256</v>
      </c>
      <c r="C1198" s="1" t="s">
        <v>257</v>
      </c>
      <c r="D1198" s="1" t="s">
        <v>258</v>
      </c>
      <c r="E1198" s="1" t="s">
        <v>84</v>
      </c>
      <c r="F1198" s="1" t="s">
        <v>65</v>
      </c>
      <c r="G1198" s="1" t="s">
        <v>16</v>
      </c>
      <c r="H1198" s="1" t="s">
        <v>164</v>
      </c>
      <c r="I1198" s="1" t="s">
        <v>60</v>
      </c>
      <c r="J1198" s="1" t="s">
        <v>67</v>
      </c>
      <c r="K1198" s="1" t="s">
        <v>83</v>
      </c>
      <c r="L1198" s="3">
        <v>46732</v>
      </c>
      <c r="M1198" s="3">
        <v>46002</v>
      </c>
      <c r="N1198">
        <f>_xlfn.XLOOKUP(Data[[#This Row],[Status]],Compliance_Status[Status from OPMS],Compliance_Status[Status_Key],"")</f>
        <v>4</v>
      </c>
      <c r="O1198">
        <f>_xlfn.XLOOKUP(Data[[#This Row],[Status]],Compliance_Status[Status from OPMS],Compliance_Status[Has Course booking],"")</f>
        <v>0</v>
      </c>
      <c r="P1198" t="str">
        <f>_xlfn.XLOOKUP(Data[[#This Row],[StatusKey]],Status_Key[Status_Key],Status_Key[Name],"")</f>
        <v>In Date</v>
      </c>
    </row>
    <row r="1199" spans="1:16" x14ac:dyDescent="0.25">
      <c r="A1199" s="1">
        <v>173</v>
      </c>
      <c r="B1199" s="1" t="s">
        <v>256</v>
      </c>
      <c r="C1199" s="1" t="s">
        <v>257</v>
      </c>
      <c r="D1199" s="1" t="s">
        <v>258</v>
      </c>
      <c r="E1199" s="1" t="s">
        <v>93</v>
      </c>
      <c r="F1199" s="1" t="s">
        <v>65</v>
      </c>
      <c r="G1199" s="1" t="s">
        <v>16</v>
      </c>
      <c r="H1199" s="1" t="s">
        <v>164</v>
      </c>
      <c r="I1199" s="1" t="s">
        <v>60</v>
      </c>
      <c r="J1199" s="1" t="s">
        <v>67</v>
      </c>
      <c r="K1199" s="1" t="s">
        <v>94</v>
      </c>
      <c r="L1199" s="3">
        <v>46732</v>
      </c>
      <c r="M1199" s="3">
        <v>46002</v>
      </c>
      <c r="N1199">
        <f>_xlfn.XLOOKUP(Data[[#This Row],[Status]],Compliance_Status[Status from OPMS],Compliance_Status[Status_Key],"")</f>
        <v>4</v>
      </c>
      <c r="O1199">
        <f>_xlfn.XLOOKUP(Data[[#This Row],[Status]],Compliance_Status[Status from OPMS],Compliance_Status[Has Course booking],"")</f>
        <v>0</v>
      </c>
      <c r="P1199" t="str">
        <f>_xlfn.XLOOKUP(Data[[#This Row],[StatusKey]],Status_Key[Status_Key],Status_Key[Name],"")</f>
        <v>In Date</v>
      </c>
    </row>
    <row r="1200" spans="1:16" x14ac:dyDescent="0.25">
      <c r="A1200" s="1">
        <v>173</v>
      </c>
      <c r="B1200" s="1" t="s">
        <v>256</v>
      </c>
      <c r="C1200" s="1" t="s">
        <v>257</v>
      </c>
      <c r="D1200" s="1" t="s">
        <v>258</v>
      </c>
      <c r="E1200" s="1" t="s">
        <v>95</v>
      </c>
      <c r="F1200" s="1" t="s">
        <v>65</v>
      </c>
      <c r="G1200" s="1" t="s">
        <v>16</v>
      </c>
      <c r="H1200" s="1" t="s">
        <v>164</v>
      </c>
      <c r="I1200" s="1" t="s">
        <v>60</v>
      </c>
      <c r="J1200" s="1" t="s">
        <v>67</v>
      </c>
      <c r="K1200" s="1" t="s">
        <v>94</v>
      </c>
      <c r="L1200" s="3">
        <v>46732</v>
      </c>
      <c r="M1200" s="3">
        <v>46002</v>
      </c>
      <c r="N1200">
        <f>_xlfn.XLOOKUP(Data[[#This Row],[Status]],Compliance_Status[Status from OPMS],Compliance_Status[Status_Key],"")</f>
        <v>4</v>
      </c>
      <c r="O1200">
        <f>_xlfn.XLOOKUP(Data[[#This Row],[Status]],Compliance_Status[Status from OPMS],Compliance_Status[Has Course booking],"")</f>
        <v>0</v>
      </c>
      <c r="P1200" t="str">
        <f>_xlfn.XLOOKUP(Data[[#This Row],[StatusKey]],Status_Key[Status_Key],Status_Key[Name],"")</f>
        <v>In Date</v>
      </c>
    </row>
    <row r="1201" spans="1:16" x14ac:dyDescent="0.25">
      <c r="A1201" s="1">
        <v>173</v>
      </c>
      <c r="B1201" s="1" t="s">
        <v>256</v>
      </c>
      <c r="C1201" s="1" t="s">
        <v>257</v>
      </c>
      <c r="D1201" s="1" t="s">
        <v>258</v>
      </c>
      <c r="E1201" s="1" t="s">
        <v>156</v>
      </c>
      <c r="F1201" s="1" t="s">
        <v>65</v>
      </c>
      <c r="G1201" s="1" t="s">
        <v>18</v>
      </c>
      <c r="H1201" s="1" t="s">
        <v>164</v>
      </c>
      <c r="I1201" s="1" t="s">
        <v>60</v>
      </c>
      <c r="J1201" s="1"/>
      <c r="K1201" s="1" t="s">
        <v>125</v>
      </c>
      <c r="L1201" s="3"/>
      <c r="M1201" s="3"/>
      <c r="N1201">
        <f>_xlfn.XLOOKUP(Data[[#This Row],[Status]],Compliance_Status[Status from OPMS],Compliance_Status[Status_Key],"")</f>
        <v>2</v>
      </c>
      <c r="O1201">
        <f>_xlfn.XLOOKUP(Data[[#This Row],[Status]],Compliance_Status[Status from OPMS],Compliance_Status[Has Course booking],"")</f>
        <v>0</v>
      </c>
      <c r="P1201" t="str">
        <f>_xlfn.XLOOKUP(Data[[#This Row],[StatusKey]],Status_Key[Status_Key],Status_Key[Name],"")</f>
        <v>Outstanding</v>
      </c>
    </row>
    <row r="1202" spans="1:16" x14ac:dyDescent="0.25">
      <c r="A1202" s="1">
        <v>173</v>
      </c>
      <c r="B1202" s="1" t="s">
        <v>256</v>
      </c>
      <c r="C1202" s="1" t="s">
        <v>257</v>
      </c>
      <c r="D1202" s="1" t="s">
        <v>258</v>
      </c>
      <c r="E1202" s="1" t="s">
        <v>124</v>
      </c>
      <c r="F1202" s="1" t="s">
        <v>72</v>
      </c>
      <c r="G1202" s="1" t="s">
        <v>18</v>
      </c>
      <c r="H1202" s="1" t="s">
        <v>164</v>
      </c>
      <c r="I1202" s="1" t="s">
        <v>60</v>
      </c>
      <c r="J1202" s="1"/>
      <c r="K1202" s="1" t="s">
        <v>125</v>
      </c>
      <c r="L1202" s="3"/>
      <c r="M1202" s="3"/>
      <c r="N1202">
        <f>_xlfn.XLOOKUP(Data[[#This Row],[Status]],Compliance_Status[Status from OPMS],Compliance_Status[Status_Key],"")</f>
        <v>2</v>
      </c>
      <c r="O1202">
        <f>_xlfn.XLOOKUP(Data[[#This Row],[Status]],Compliance_Status[Status from OPMS],Compliance_Status[Has Course booking],"")</f>
        <v>0</v>
      </c>
      <c r="P1202" t="str">
        <f>_xlfn.XLOOKUP(Data[[#This Row],[StatusKey]],Status_Key[Status_Key],Status_Key[Name],"")</f>
        <v>Outstanding</v>
      </c>
    </row>
    <row r="1203" spans="1:16" x14ac:dyDescent="0.25">
      <c r="A1203" s="1">
        <v>173</v>
      </c>
      <c r="B1203" s="1" t="s">
        <v>256</v>
      </c>
      <c r="C1203" s="1" t="s">
        <v>257</v>
      </c>
      <c r="D1203" s="1" t="s">
        <v>258</v>
      </c>
      <c r="E1203" s="1" t="s">
        <v>97</v>
      </c>
      <c r="F1203" s="1" t="s">
        <v>65</v>
      </c>
      <c r="G1203" s="1" t="s">
        <v>16</v>
      </c>
      <c r="H1203" s="1" t="s">
        <v>164</v>
      </c>
      <c r="I1203" s="1" t="s">
        <v>60</v>
      </c>
      <c r="J1203" s="1" t="s">
        <v>67</v>
      </c>
      <c r="K1203" s="1" t="s">
        <v>98</v>
      </c>
      <c r="L1203" s="3">
        <v>47661</v>
      </c>
      <c r="M1203" s="3">
        <v>45835</v>
      </c>
      <c r="N1203">
        <f>_xlfn.XLOOKUP(Data[[#This Row],[Status]],Compliance_Status[Status from OPMS],Compliance_Status[Status_Key],"")</f>
        <v>4</v>
      </c>
      <c r="O1203">
        <f>_xlfn.XLOOKUP(Data[[#This Row],[Status]],Compliance_Status[Status from OPMS],Compliance_Status[Has Course booking],"")</f>
        <v>0</v>
      </c>
      <c r="P1203" t="str">
        <f>_xlfn.XLOOKUP(Data[[#This Row],[StatusKey]],Status_Key[Status_Key],Status_Key[Name],"")</f>
        <v>In Date</v>
      </c>
    </row>
    <row r="1204" spans="1:16" x14ac:dyDescent="0.25">
      <c r="A1204" s="1">
        <v>173</v>
      </c>
      <c r="B1204" s="1" t="s">
        <v>256</v>
      </c>
      <c r="C1204" s="1" t="s">
        <v>257</v>
      </c>
      <c r="D1204" s="1" t="s">
        <v>258</v>
      </c>
      <c r="E1204" s="1" t="s">
        <v>100</v>
      </c>
      <c r="F1204" s="1" t="s">
        <v>72</v>
      </c>
      <c r="G1204" s="1" t="s">
        <v>18</v>
      </c>
      <c r="H1204" s="1" t="s">
        <v>164</v>
      </c>
      <c r="I1204" s="1" t="s">
        <v>60</v>
      </c>
      <c r="J1204" s="1"/>
      <c r="K1204" s="1" t="s">
        <v>98</v>
      </c>
      <c r="L1204" s="3"/>
      <c r="M1204" s="3"/>
      <c r="N1204">
        <f>_xlfn.XLOOKUP(Data[[#This Row],[Status]],Compliance_Status[Status from OPMS],Compliance_Status[Status_Key],"")</f>
        <v>2</v>
      </c>
      <c r="O1204">
        <f>_xlfn.XLOOKUP(Data[[#This Row],[Status]],Compliance_Status[Status from OPMS],Compliance_Status[Has Course booking],"")</f>
        <v>0</v>
      </c>
      <c r="P1204" t="str">
        <f>_xlfn.XLOOKUP(Data[[#This Row],[StatusKey]],Status_Key[Status_Key],Status_Key[Name],"")</f>
        <v>Outstanding</v>
      </c>
    </row>
    <row r="1205" spans="1:16" x14ac:dyDescent="0.25">
      <c r="A1205" s="1">
        <v>173</v>
      </c>
      <c r="B1205" s="1" t="s">
        <v>256</v>
      </c>
      <c r="C1205" s="1" t="s">
        <v>257</v>
      </c>
      <c r="D1205" s="1" t="s">
        <v>258</v>
      </c>
      <c r="E1205" s="1" t="s">
        <v>101</v>
      </c>
      <c r="F1205" s="1" t="s">
        <v>65</v>
      </c>
      <c r="G1205" s="1" t="s">
        <v>16</v>
      </c>
      <c r="H1205" s="1" t="s">
        <v>164</v>
      </c>
      <c r="I1205" s="1" t="s">
        <v>60</v>
      </c>
      <c r="J1205" s="1" t="s">
        <v>67</v>
      </c>
      <c r="K1205" s="1" t="s">
        <v>102</v>
      </c>
      <c r="L1205" s="3" t="s">
        <v>79</v>
      </c>
      <c r="M1205" s="3">
        <v>45877</v>
      </c>
      <c r="N1205">
        <f>_xlfn.XLOOKUP(Data[[#This Row],[Status]],Compliance_Status[Status from OPMS],Compliance_Status[Status_Key],"")</f>
        <v>4</v>
      </c>
      <c r="O1205">
        <f>_xlfn.XLOOKUP(Data[[#This Row],[Status]],Compliance_Status[Status from OPMS],Compliance_Status[Has Course booking],"")</f>
        <v>0</v>
      </c>
      <c r="P1205" t="str">
        <f>_xlfn.XLOOKUP(Data[[#This Row],[StatusKey]],Status_Key[Status_Key],Status_Key[Name],"")</f>
        <v>In Date</v>
      </c>
    </row>
    <row r="1206" spans="1:16" x14ac:dyDescent="0.25">
      <c r="A1206" s="1">
        <v>173</v>
      </c>
      <c r="B1206" s="1" t="s">
        <v>256</v>
      </c>
      <c r="C1206" s="1" t="s">
        <v>257</v>
      </c>
      <c r="D1206" s="1" t="s">
        <v>258</v>
      </c>
      <c r="E1206" s="1" t="s">
        <v>103</v>
      </c>
      <c r="F1206" s="1" t="s">
        <v>65</v>
      </c>
      <c r="G1206" s="1" t="s">
        <v>16</v>
      </c>
      <c r="H1206" s="1" t="s">
        <v>164</v>
      </c>
      <c r="I1206" s="1" t="s">
        <v>60</v>
      </c>
      <c r="J1206" s="1" t="s">
        <v>67</v>
      </c>
      <c r="K1206" s="1" t="s">
        <v>102</v>
      </c>
      <c r="L1206" s="3">
        <v>46732</v>
      </c>
      <c r="M1206" s="3">
        <v>46002</v>
      </c>
      <c r="N1206">
        <f>_xlfn.XLOOKUP(Data[[#This Row],[Status]],Compliance_Status[Status from OPMS],Compliance_Status[Status_Key],"")</f>
        <v>4</v>
      </c>
      <c r="O1206">
        <f>_xlfn.XLOOKUP(Data[[#This Row],[Status]],Compliance_Status[Status from OPMS],Compliance_Status[Has Course booking],"")</f>
        <v>0</v>
      </c>
      <c r="P1206" t="str">
        <f>_xlfn.XLOOKUP(Data[[#This Row],[StatusKey]],Status_Key[Status_Key],Status_Key[Name],"")</f>
        <v>In Date</v>
      </c>
    </row>
    <row r="1207" spans="1:16" x14ac:dyDescent="0.25">
      <c r="A1207" s="1">
        <v>173</v>
      </c>
      <c r="B1207" s="1" t="s">
        <v>256</v>
      </c>
      <c r="C1207" s="1" t="s">
        <v>257</v>
      </c>
      <c r="D1207" s="1" t="s">
        <v>258</v>
      </c>
      <c r="E1207" s="1" t="s">
        <v>104</v>
      </c>
      <c r="F1207" s="1" t="s">
        <v>65</v>
      </c>
      <c r="G1207" s="1" t="s">
        <v>16</v>
      </c>
      <c r="H1207" s="1" t="s">
        <v>164</v>
      </c>
      <c r="I1207" s="1" t="s">
        <v>60</v>
      </c>
      <c r="J1207" s="1" t="s">
        <v>67</v>
      </c>
      <c r="K1207" s="1" t="s">
        <v>105</v>
      </c>
      <c r="L1207" s="3">
        <v>46564</v>
      </c>
      <c r="M1207" s="3">
        <v>45834</v>
      </c>
      <c r="N1207">
        <f>_xlfn.XLOOKUP(Data[[#This Row],[Status]],Compliance_Status[Status from OPMS],Compliance_Status[Status_Key],"")</f>
        <v>4</v>
      </c>
      <c r="O1207">
        <f>_xlfn.XLOOKUP(Data[[#This Row],[Status]],Compliance_Status[Status from OPMS],Compliance_Status[Has Course booking],"")</f>
        <v>0</v>
      </c>
      <c r="P1207" t="str">
        <f>_xlfn.XLOOKUP(Data[[#This Row],[StatusKey]],Status_Key[Status_Key],Status_Key[Name],"")</f>
        <v>In Date</v>
      </c>
    </row>
    <row r="1208" spans="1:16" x14ac:dyDescent="0.25">
      <c r="A1208" s="1">
        <v>173</v>
      </c>
      <c r="B1208" s="1" t="s">
        <v>256</v>
      </c>
      <c r="C1208" s="1" t="s">
        <v>257</v>
      </c>
      <c r="D1208" s="1" t="s">
        <v>258</v>
      </c>
      <c r="E1208" s="1" t="s">
        <v>106</v>
      </c>
      <c r="F1208" s="1" t="s">
        <v>65</v>
      </c>
      <c r="G1208" s="1" t="s">
        <v>16</v>
      </c>
      <c r="H1208" s="1" t="s">
        <v>164</v>
      </c>
      <c r="I1208" s="1" t="s">
        <v>60</v>
      </c>
      <c r="J1208" s="1" t="s">
        <v>67</v>
      </c>
      <c r="K1208" s="1" t="s">
        <v>105</v>
      </c>
      <c r="L1208" s="3">
        <v>47663</v>
      </c>
      <c r="M1208" s="3">
        <v>45837</v>
      </c>
      <c r="N1208">
        <f>_xlfn.XLOOKUP(Data[[#This Row],[Status]],Compliance_Status[Status from OPMS],Compliance_Status[Status_Key],"")</f>
        <v>4</v>
      </c>
      <c r="O1208">
        <f>_xlfn.XLOOKUP(Data[[#This Row],[Status]],Compliance_Status[Status from OPMS],Compliance_Status[Has Course booking],"")</f>
        <v>0</v>
      </c>
      <c r="P1208" t="str">
        <f>_xlfn.XLOOKUP(Data[[#This Row],[StatusKey]],Status_Key[Status_Key],Status_Key[Name],"")</f>
        <v>In Date</v>
      </c>
    </row>
    <row r="1209" spans="1:16" x14ac:dyDescent="0.25">
      <c r="A1209" s="1">
        <v>173</v>
      </c>
      <c r="B1209" s="1" t="s">
        <v>256</v>
      </c>
      <c r="C1209" s="1" t="s">
        <v>257</v>
      </c>
      <c r="D1209" s="1" t="s">
        <v>258</v>
      </c>
      <c r="E1209" s="1" t="s">
        <v>107</v>
      </c>
      <c r="F1209" s="1" t="s">
        <v>65</v>
      </c>
      <c r="G1209" s="1" t="s">
        <v>16</v>
      </c>
      <c r="H1209" s="1" t="s">
        <v>164</v>
      </c>
      <c r="I1209" s="1" t="s">
        <v>60</v>
      </c>
      <c r="J1209" s="1" t="s">
        <v>67</v>
      </c>
      <c r="K1209" s="1" t="s">
        <v>105</v>
      </c>
      <c r="L1209" s="3">
        <v>46932</v>
      </c>
      <c r="M1209" s="3">
        <v>45837</v>
      </c>
      <c r="N1209">
        <f>_xlfn.XLOOKUP(Data[[#This Row],[Status]],Compliance_Status[Status from OPMS],Compliance_Status[Status_Key],"")</f>
        <v>4</v>
      </c>
      <c r="O1209">
        <f>_xlfn.XLOOKUP(Data[[#This Row],[Status]],Compliance_Status[Status from OPMS],Compliance_Status[Has Course booking],"")</f>
        <v>0</v>
      </c>
      <c r="P1209" t="str">
        <f>_xlfn.XLOOKUP(Data[[#This Row],[StatusKey]],Status_Key[Status_Key],Status_Key[Name],"")</f>
        <v>In Date</v>
      </c>
    </row>
    <row r="1210" spans="1:16" x14ac:dyDescent="0.25">
      <c r="A1210" s="1">
        <v>173</v>
      </c>
      <c r="B1210" s="1" t="s">
        <v>256</v>
      </c>
      <c r="C1210" s="1" t="s">
        <v>257</v>
      </c>
      <c r="D1210" s="1" t="s">
        <v>258</v>
      </c>
      <c r="E1210" s="1" t="s">
        <v>108</v>
      </c>
      <c r="F1210" s="1" t="s">
        <v>65</v>
      </c>
      <c r="G1210" s="1" t="s">
        <v>24</v>
      </c>
      <c r="H1210" s="1" t="s">
        <v>164</v>
      </c>
      <c r="I1210" s="1" t="s">
        <v>60</v>
      </c>
      <c r="J1210" s="1" t="s">
        <v>67</v>
      </c>
      <c r="K1210" s="1" t="s">
        <v>105</v>
      </c>
      <c r="L1210" s="3">
        <v>46308</v>
      </c>
      <c r="M1210" s="3">
        <v>45837</v>
      </c>
      <c r="N1210">
        <f>_xlfn.XLOOKUP(Data[[#This Row],[Status]],Compliance_Status[Status from OPMS],Compliance_Status[Status_Key],"")</f>
        <v>3</v>
      </c>
      <c r="O1210">
        <f>_xlfn.XLOOKUP(Data[[#This Row],[Status]],Compliance_Status[Status from OPMS],Compliance_Status[Has Course booking],"")</f>
        <v>0</v>
      </c>
      <c r="P1210" t="str">
        <f>_xlfn.XLOOKUP(Data[[#This Row],[StatusKey]],Status_Key[Status_Key],Status_Key[Name],"")</f>
        <v>About to expire</v>
      </c>
    </row>
    <row r="1211" spans="1:16" x14ac:dyDescent="0.25">
      <c r="A1211" s="1">
        <v>173</v>
      </c>
      <c r="B1211" s="1" t="s">
        <v>256</v>
      </c>
      <c r="C1211" s="1" t="s">
        <v>257</v>
      </c>
      <c r="D1211" s="1" t="s">
        <v>258</v>
      </c>
      <c r="E1211" s="1" t="s">
        <v>109</v>
      </c>
      <c r="F1211" s="1" t="s">
        <v>65</v>
      </c>
      <c r="G1211" s="1" t="s">
        <v>16</v>
      </c>
      <c r="H1211" s="1" t="s">
        <v>164</v>
      </c>
      <c r="I1211" s="1" t="s">
        <v>60</v>
      </c>
      <c r="J1211" s="1" t="s">
        <v>67</v>
      </c>
      <c r="K1211" s="1" t="s">
        <v>105</v>
      </c>
      <c r="L1211" s="3">
        <v>46567</v>
      </c>
      <c r="M1211" s="3">
        <v>45837</v>
      </c>
      <c r="N1211">
        <f>_xlfn.XLOOKUP(Data[[#This Row],[Status]],Compliance_Status[Status from OPMS],Compliance_Status[Status_Key],"")</f>
        <v>4</v>
      </c>
      <c r="O1211">
        <f>_xlfn.XLOOKUP(Data[[#This Row],[Status]],Compliance_Status[Status from OPMS],Compliance_Status[Has Course booking],"")</f>
        <v>0</v>
      </c>
      <c r="P1211" t="str">
        <f>_xlfn.XLOOKUP(Data[[#This Row],[StatusKey]],Status_Key[Status_Key],Status_Key[Name],"")</f>
        <v>In Date</v>
      </c>
    </row>
    <row r="1212" spans="1:16" x14ac:dyDescent="0.25">
      <c r="A1212" s="1">
        <v>173</v>
      </c>
      <c r="B1212" s="1" t="s">
        <v>256</v>
      </c>
      <c r="C1212" s="1" t="s">
        <v>257</v>
      </c>
      <c r="D1212" s="1" t="s">
        <v>258</v>
      </c>
      <c r="E1212" s="1" t="s">
        <v>110</v>
      </c>
      <c r="F1212" s="1" t="s">
        <v>65</v>
      </c>
      <c r="G1212" s="1" t="s">
        <v>16</v>
      </c>
      <c r="H1212" s="1" t="s">
        <v>164</v>
      </c>
      <c r="I1212" s="1" t="s">
        <v>60</v>
      </c>
      <c r="J1212" s="1" t="s">
        <v>67</v>
      </c>
      <c r="K1212" s="1" t="s">
        <v>105</v>
      </c>
      <c r="L1212" s="3" t="s">
        <v>79</v>
      </c>
      <c r="M1212" s="3">
        <v>45848</v>
      </c>
      <c r="N1212">
        <f>_xlfn.XLOOKUP(Data[[#This Row],[Status]],Compliance_Status[Status from OPMS],Compliance_Status[Status_Key],"")</f>
        <v>4</v>
      </c>
      <c r="O1212">
        <f>_xlfn.XLOOKUP(Data[[#This Row],[Status]],Compliance_Status[Status from OPMS],Compliance_Status[Has Course booking],"")</f>
        <v>0</v>
      </c>
      <c r="P1212" t="str">
        <f>_xlfn.XLOOKUP(Data[[#This Row],[StatusKey]],Status_Key[Status_Key],Status_Key[Name],"")</f>
        <v>In Date</v>
      </c>
    </row>
    <row r="1213" spans="1:16" x14ac:dyDescent="0.25">
      <c r="A1213" s="1">
        <v>173</v>
      </c>
      <c r="B1213" s="1" t="s">
        <v>256</v>
      </c>
      <c r="C1213" s="1" t="s">
        <v>257</v>
      </c>
      <c r="D1213" s="1" t="s">
        <v>258</v>
      </c>
      <c r="E1213" s="1" t="s">
        <v>111</v>
      </c>
      <c r="F1213" s="1" t="s">
        <v>65</v>
      </c>
      <c r="G1213" s="1" t="s">
        <v>16</v>
      </c>
      <c r="H1213" s="1" t="s">
        <v>164</v>
      </c>
      <c r="I1213" s="1" t="s">
        <v>60</v>
      </c>
      <c r="J1213" s="1" t="s">
        <v>67</v>
      </c>
      <c r="K1213" s="1" t="s">
        <v>105</v>
      </c>
      <c r="L1213" s="3">
        <v>46732</v>
      </c>
      <c r="M1213" s="3">
        <v>46002</v>
      </c>
      <c r="N1213">
        <f>_xlfn.XLOOKUP(Data[[#This Row],[Status]],Compliance_Status[Status from OPMS],Compliance_Status[Status_Key],"")</f>
        <v>4</v>
      </c>
      <c r="O1213">
        <f>_xlfn.XLOOKUP(Data[[#This Row],[Status]],Compliance_Status[Status from OPMS],Compliance_Status[Has Course booking],"")</f>
        <v>0</v>
      </c>
      <c r="P1213" t="str">
        <f>_xlfn.XLOOKUP(Data[[#This Row],[StatusKey]],Status_Key[Status_Key],Status_Key[Name],"")</f>
        <v>In Date</v>
      </c>
    </row>
    <row r="1214" spans="1:16" x14ac:dyDescent="0.25">
      <c r="A1214" s="1">
        <v>173</v>
      </c>
      <c r="B1214" s="1" t="s">
        <v>256</v>
      </c>
      <c r="C1214" s="1" t="s">
        <v>257</v>
      </c>
      <c r="D1214" s="1" t="s">
        <v>258</v>
      </c>
      <c r="E1214" s="1" t="s">
        <v>112</v>
      </c>
      <c r="F1214" s="1" t="s">
        <v>65</v>
      </c>
      <c r="G1214" s="1" t="s">
        <v>16</v>
      </c>
      <c r="H1214" s="1" t="s">
        <v>164</v>
      </c>
      <c r="I1214" s="1" t="s">
        <v>60</v>
      </c>
      <c r="J1214" s="1" t="s">
        <v>67</v>
      </c>
      <c r="K1214" s="1" t="s">
        <v>105</v>
      </c>
      <c r="L1214" s="3">
        <v>46564</v>
      </c>
      <c r="M1214" s="3">
        <v>45834</v>
      </c>
      <c r="N1214">
        <f>_xlfn.XLOOKUP(Data[[#This Row],[Status]],Compliance_Status[Status from OPMS],Compliance_Status[Status_Key],"")</f>
        <v>4</v>
      </c>
      <c r="O1214">
        <f>_xlfn.XLOOKUP(Data[[#This Row],[Status]],Compliance_Status[Status from OPMS],Compliance_Status[Has Course booking],"")</f>
        <v>0</v>
      </c>
      <c r="P1214" t="str">
        <f>_xlfn.XLOOKUP(Data[[#This Row],[StatusKey]],Status_Key[Status_Key],Status_Key[Name],"")</f>
        <v>In Date</v>
      </c>
    </row>
    <row r="1215" spans="1:16" x14ac:dyDescent="0.25">
      <c r="A1215" s="1">
        <v>173</v>
      </c>
      <c r="B1215" s="1" t="s">
        <v>256</v>
      </c>
      <c r="C1215" s="1" t="s">
        <v>257</v>
      </c>
      <c r="D1215" s="1" t="s">
        <v>258</v>
      </c>
      <c r="E1215" s="1" t="s">
        <v>113</v>
      </c>
      <c r="F1215" s="1" t="s">
        <v>65</v>
      </c>
      <c r="G1215" s="1" t="s">
        <v>16</v>
      </c>
      <c r="H1215" s="1" t="s">
        <v>164</v>
      </c>
      <c r="I1215" s="1" t="s">
        <v>60</v>
      </c>
      <c r="J1215" s="1" t="s">
        <v>67</v>
      </c>
      <c r="K1215" s="1" t="s">
        <v>105</v>
      </c>
      <c r="L1215" s="3">
        <v>46774</v>
      </c>
      <c r="M1215" s="3">
        <v>46044</v>
      </c>
      <c r="N1215">
        <f>_xlfn.XLOOKUP(Data[[#This Row],[Status]],Compliance_Status[Status from OPMS],Compliance_Status[Status_Key],"")</f>
        <v>4</v>
      </c>
      <c r="O1215">
        <f>_xlfn.XLOOKUP(Data[[#This Row],[Status]],Compliance_Status[Status from OPMS],Compliance_Status[Has Course booking],"")</f>
        <v>0</v>
      </c>
      <c r="P1215" t="str">
        <f>_xlfn.XLOOKUP(Data[[#This Row],[StatusKey]],Status_Key[Status_Key],Status_Key[Name],"")</f>
        <v>In Date</v>
      </c>
    </row>
    <row r="1216" spans="1:16" x14ac:dyDescent="0.25">
      <c r="A1216" s="1">
        <v>178</v>
      </c>
      <c r="B1216" s="1" t="s">
        <v>259</v>
      </c>
      <c r="C1216" s="1" t="s">
        <v>260</v>
      </c>
      <c r="D1216" s="1" t="s">
        <v>261</v>
      </c>
      <c r="E1216" s="1" t="s">
        <v>163</v>
      </c>
      <c r="F1216" s="1" t="s">
        <v>65</v>
      </c>
      <c r="G1216" s="1" t="s">
        <v>16</v>
      </c>
      <c r="H1216" s="1" t="s">
        <v>164</v>
      </c>
      <c r="I1216" s="1" t="s">
        <v>60</v>
      </c>
      <c r="J1216" s="1"/>
      <c r="K1216" s="1" t="s">
        <v>68</v>
      </c>
      <c r="L1216" s="3">
        <v>47701</v>
      </c>
      <c r="M1216" s="3">
        <v>45876</v>
      </c>
      <c r="N1216">
        <f>_xlfn.XLOOKUP(Data[[#This Row],[Status]],Compliance_Status[Status from OPMS],Compliance_Status[Status_Key],"")</f>
        <v>4</v>
      </c>
      <c r="O1216">
        <f>_xlfn.XLOOKUP(Data[[#This Row],[Status]],Compliance_Status[Status from OPMS],Compliance_Status[Has Course booking],"")</f>
        <v>0</v>
      </c>
      <c r="P1216" t="str">
        <f>_xlfn.XLOOKUP(Data[[#This Row],[StatusKey]],Status_Key[Status_Key],Status_Key[Name],"")</f>
        <v>In Date</v>
      </c>
    </row>
    <row r="1217" spans="1:16" x14ac:dyDescent="0.25">
      <c r="A1217" s="1">
        <v>178</v>
      </c>
      <c r="B1217" s="1" t="s">
        <v>259</v>
      </c>
      <c r="C1217" s="1" t="s">
        <v>260</v>
      </c>
      <c r="D1217" s="1" t="s">
        <v>261</v>
      </c>
      <c r="E1217" s="1" t="s">
        <v>131</v>
      </c>
      <c r="F1217" s="1" t="s">
        <v>72</v>
      </c>
      <c r="G1217" s="1" t="s">
        <v>16</v>
      </c>
      <c r="H1217" s="1" t="s">
        <v>164</v>
      </c>
      <c r="I1217" s="1" t="s">
        <v>60</v>
      </c>
      <c r="J1217" s="1" t="s">
        <v>67</v>
      </c>
      <c r="K1217" s="1" t="s">
        <v>68</v>
      </c>
      <c r="L1217" s="3">
        <v>47513</v>
      </c>
      <c r="M1217" s="3">
        <v>45688</v>
      </c>
      <c r="N1217">
        <f>_xlfn.XLOOKUP(Data[[#This Row],[Status]],Compliance_Status[Status from OPMS],Compliance_Status[Status_Key],"")</f>
        <v>4</v>
      </c>
      <c r="O1217">
        <f>_xlfn.XLOOKUP(Data[[#This Row],[Status]],Compliance_Status[Status from OPMS],Compliance_Status[Has Course booking],"")</f>
        <v>0</v>
      </c>
      <c r="P1217" t="str">
        <f>_xlfn.XLOOKUP(Data[[#This Row],[StatusKey]],Status_Key[Status_Key],Status_Key[Name],"")</f>
        <v>In Date</v>
      </c>
    </row>
    <row r="1218" spans="1:16" x14ac:dyDescent="0.25">
      <c r="A1218" s="1">
        <v>178</v>
      </c>
      <c r="B1218" s="1" t="s">
        <v>259</v>
      </c>
      <c r="C1218" s="1" t="s">
        <v>260</v>
      </c>
      <c r="D1218" s="1" t="s">
        <v>261</v>
      </c>
      <c r="E1218" s="1" t="s">
        <v>71</v>
      </c>
      <c r="F1218" s="1" t="s">
        <v>72</v>
      </c>
      <c r="G1218" s="1" t="s">
        <v>18</v>
      </c>
      <c r="H1218" s="1" t="s">
        <v>164</v>
      </c>
      <c r="I1218" s="1" t="s">
        <v>60</v>
      </c>
      <c r="J1218" s="1"/>
      <c r="K1218" s="1" t="s">
        <v>68</v>
      </c>
      <c r="L1218" s="3"/>
      <c r="M1218" s="3"/>
      <c r="N1218">
        <f>_xlfn.XLOOKUP(Data[[#This Row],[Status]],Compliance_Status[Status from OPMS],Compliance_Status[Status_Key],"")</f>
        <v>2</v>
      </c>
      <c r="O1218">
        <f>_xlfn.XLOOKUP(Data[[#This Row],[Status]],Compliance_Status[Status from OPMS],Compliance_Status[Has Course booking],"")</f>
        <v>0</v>
      </c>
      <c r="P1218" t="str">
        <f>_xlfn.XLOOKUP(Data[[#This Row],[StatusKey]],Status_Key[Status_Key],Status_Key[Name],"")</f>
        <v>Outstanding</v>
      </c>
    </row>
    <row r="1219" spans="1:16" x14ac:dyDescent="0.25">
      <c r="A1219" s="1">
        <v>178</v>
      </c>
      <c r="B1219" s="1" t="s">
        <v>259</v>
      </c>
      <c r="C1219" s="1" t="s">
        <v>260</v>
      </c>
      <c r="D1219" s="1" t="s">
        <v>261</v>
      </c>
      <c r="E1219" s="1" t="s">
        <v>73</v>
      </c>
      <c r="F1219" s="1" t="s">
        <v>65</v>
      </c>
      <c r="G1219" s="1" t="s">
        <v>16</v>
      </c>
      <c r="H1219" s="1" t="s">
        <v>164</v>
      </c>
      <c r="I1219" s="1" t="s">
        <v>60</v>
      </c>
      <c r="J1219" s="1" t="s">
        <v>67</v>
      </c>
      <c r="K1219" s="1" t="s">
        <v>68</v>
      </c>
      <c r="L1219" s="3">
        <v>46344</v>
      </c>
      <c r="M1219" s="3">
        <v>45614</v>
      </c>
      <c r="N1219">
        <f>_xlfn.XLOOKUP(Data[[#This Row],[Status]],Compliance_Status[Status from OPMS],Compliance_Status[Status_Key],"")</f>
        <v>4</v>
      </c>
      <c r="O1219">
        <f>_xlfn.XLOOKUP(Data[[#This Row],[Status]],Compliance_Status[Status from OPMS],Compliance_Status[Has Course booking],"")</f>
        <v>0</v>
      </c>
      <c r="P1219" t="str">
        <f>_xlfn.XLOOKUP(Data[[#This Row],[StatusKey]],Status_Key[Status_Key],Status_Key[Name],"")</f>
        <v>In Date</v>
      </c>
    </row>
    <row r="1220" spans="1:16" x14ac:dyDescent="0.25">
      <c r="A1220" s="1">
        <v>178</v>
      </c>
      <c r="B1220" s="1" t="s">
        <v>259</v>
      </c>
      <c r="C1220" s="1" t="s">
        <v>260</v>
      </c>
      <c r="D1220" s="1" t="s">
        <v>261</v>
      </c>
      <c r="E1220" s="1" t="s">
        <v>74</v>
      </c>
      <c r="F1220" s="1" t="s">
        <v>65</v>
      </c>
      <c r="G1220" s="1" t="s">
        <v>16</v>
      </c>
      <c r="H1220" s="1" t="s">
        <v>164</v>
      </c>
      <c r="I1220" s="1" t="s">
        <v>60</v>
      </c>
      <c r="J1220" s="1" t="s">
        <v>67</v>
      </c>
      <c r="K1220" s="1" t="s">
        <v>68</v>
      </c>
      <c r="L1220" s="3">
        <v>46710</v>
      </c>
      <c r="M1220" s="3">
        <v>45615</v>
      </c>
      <c r="N1220">
        <f>_xlfn.XLOOKUP(Data[[#This Row],[Status]],Compliance_Status[Status from OPMS],Compliance_Status[Status_Key],"")</f>
        <v>4</v>
      </c>
      <c r="O1220">
        <f>_xlfn.XLOOKUP(Data[[#This Row],[Status]],Compliance_Status[Status from OPMS],Compliance_Status[Has Course booking],"")</f>
        <v>0</v>
      </c>
      <c r="P1220" t="str">
        <f>_xlfn.XLOOKUP(Data[[#This Row],[StatusKey]],Status_Key[Status_Key],Status_Key[Name],"")</f>
        <v>In Date</v>
      </c>
    </row>
    <row r="1221" spans="1:16" x14ac:dyDescent="0.25">
      <c r="A1221" s="1">
        <v>178</v>
      </c>
      <c r="B1221" s="1" t="s">
        <v>259</v>
      </c>
      <c r="C1221" s="1" t="s">
        <v>260</v>
      </c>
      <c r="D1221" s="1" t="s">
        <v>261</v>
      </c>
      <c r="E1221" s="1" t="s">
        <v>75</v>
      </c>
      <c r="F1221" s="1" t="s">
        <v>72</v>
      </c>
      <c r="G1221" s="1" t="s">
        <v>18</v>
      </c>
      <c r="H1221" s="1" t="s">
        <v>164</v>
      </c>
      <c r="I1221" s="1" t="s">
        <v>60</v>
      </c>
      <c r="J1221" s="1"/>
      <c r="K1221" s="1" t="s">
        <v>68</v>
      </c>
      <c r="L1221" s="3"/>
      <c r="M1221" s="3"/>
      <c r="N1221">
        <f>_xlfn.XLOOKUP(Data[[#This Row],[Status]],Compliance_Status[Status from OPMS],Compliance_Status[Status_Key],"")</f>
        <v>2</v>
      </c>
      <c r="O1221">
        <f>_xlfn.XLOOKUP(Data[[#This Row],[Status]],Compliance_Status[Status from OPMS],Compliance_Status[Has Course booking],"")</f>
        <v>0</v>
      </c>
      <c r="P1221" t="str">
        <f>_xlfn.XLOOKUP(Data[[#This Row],[StatusKey]],Status_Key[Status_Key],Status_Key[Name],"")</f>
        <v>Outstanding</v>
      </c>
    </row>
    <row r="1222" spans="1:16" x14ac:dyDescent="0.25">
      <c r="A1222" s="1">
        <v>178</v>
      </c>
      <c r="B1222" s="1" t="s">
        <v>259</v>
      </c>
      <c r="C1222" s="1" t="s">
        <v>260</v>
      </c>
      <c r="D1222" s="1" t="s">
        <v>261</v>
      </c>
      <c r="E1222" s="1" t="s">
        <v>165</v>
      </c>
      <c r="F1222" s="1" t="s">
        <v>72</v>
      </c>
      <c r="G1222" s="1" t="s">
        <v>18</v>
      </c>
      <c r="H1222" s="1" t="s">
        <v>164</v>
      </c>
      <c r="I1222" s="1" t="s">
        <v>60</v>
      </c>
      <c r="J1222" s="1"/>
      <c r="K1222" s="1" t="s">
        <v>68</v>
      </c>
      <c r="L1222" s="3"/>
      <c r="M1222" s="3"/>
      <c r="N1222">
        <f>_xlfn.XLOOKUP(Data[[#This Row],[Status]],Compliance_Status[Status from OPMS],Compliance_Status[Status_Key],"")</f>
        <v>2</v>
      </c>
      <c r="O1222">
        <f>_xlfn.XLOOKUP(Data[[#This Row],[Status]],Compliance_Status[Status from OPMS],Compliance_Status[Has Course booking],"")</f>
        <v>0</v>
      </c>
      <c r="P1222" t="str">
        <f>_xlfn.XLOOKUP(Data[[#This Row],[StatusKey]],Status_Key[Status_Key],Status_Key[Name],"")</f>
        <v>Outstanding</v>
      </c>
    </row>
    <row r="1223" spans="1:16" x14ac:dyDescent="0.25">
      <c r="A1223" s="1">
        <v>178</v>
      </c>
      <c r="B1223" s="1" t="s">
        <v>259</v>
      </c>
      <c r="C1223" s="1" t="s">
        <v>260</v>
      </c>
      <c r="D1223" s="1" t="s">
        <v>261</v>
      </c>
      <c r="E1223" s="1" t="s">
        <v>76</v>
      </c>
      <c r="F1223" s="1" t="s">
        <v>65</v>
      </c>
      <c r="G1223" s="1" t="s">
        <v>16</v>
      </c>
      <c r="H1223" s="1" t="s">
        <v>164</v>
      </c>
      <c r="I1223" s="1" t="s">
        <v>60</v>
      </c>
      <c r="J1223" s="1" t="s">
        <v>67</v>
      </c>
      <c r="K1223" s="1" t="s">
        <v>77</v>
      </c>
      <c r="L1223" s="3">
        <v>46356</v>
      </c>
      <c r="M1223" s="3">
        <v>44895</v>
      </c>
      <c r="N1223">
        <f>_xlfn.XLOOKUP(Data[[#This Row],[Status]],Compliance_Status[Status from OPMS],Compliance_Status[Status_Key],"")</f>
        <v>4</v>
      </c>
      <c r="O1223">
        <f>_xlfn.XLOOKUP(Data[[#This Row],[Status]],Compliance_Status[Status from OPMS],Compliance_Status[Has Course booking],"")</f>
        <v>0</v>
      </c>
      <c r="P1223" t="str">
        <f>_xlfn.XLOOKUP(Data[[#This Row],[StatusKey]],Status_Key[Status_Key],Status_Key[Name],"")</f>
        <v>In Date</v>
      </c>
    </row>
    <row r="1224" spans="1:16" x14ac:dyDescent="0.25">
      <c r="A1224" s="1">
        <v>178</v>
      </c>
      <c r="B1224" s="1" t="s">
        <v>259</v>
      </c>
      <c r="C1224" s="1" t="s">
        <v>260</v>
      </c>
      <c r="D1224" s="1" t="s">
        <v>261</v>
      </c>
      <c r="E1224" s="1" t="s">
        <v>80</v>
      </c>
      <c r="F1224" s="1" t="s">
        <v>65</v>
      </c>
      <c r="G1224" s="1" t="s">
        <v>16</v>
      </c>
      <c r="H1224" s="1" t="s">
        <v>164</v>
      </c>
      <c r="I1224" s="1" t="s">
        <v>60</v>
      </c>
      <c r="J1224" s="1" t="s">
        <v>67</v>
      </c>
      <c r="K1224" s="1" t="s">
        <v>77</v>
      </c>
      <c r="L1224" s="3" t="s">
        <v>79</v>
      </c>
      <c r="M1224" s="3">
        <v>46076</v>
      </c>
      <c r="N1224">
        <f>_xlfn.XLOOKUP(Data[[#This Row],[Status]],Compliance_Status[Status from OPMS],Compliance_Status[Status_Key],"")</f>
        <v>4</v>
      </c>
      <c r="O1224">
        <f>_xlfn.XLOOKUP(Data[[#This Row],[Status]],Compliance_Status[Status from OPMS],Compliance_Status[Has Course booking],"")</f>
        <v>0</v>
      </c>
      <c r="P1224" t="str">
        <f>_xlfn.XLOOKUP(Data[[#This Row],[StatusKey]],Status_Key[Status_Key],Status_Key[Name],"")</f>
        <v>In Date</v>
      </c>
    </row>
    <row r="1225" spans="1:16" x14ac:dyDescent="0.25">
      <c r="A1225" s="1">
        <v>178</v>
      </c>
      <c r="B1225" s="1" t="s">
        <v>259</v>
      </c>
      <c r="C1225" s="1" t="s">
        <v>260</v>
      </c>
      <c r="D1225" s="1" t="s">
        <v>261</v>
      </c>
      <c r="E1225" s="1" t="s">
        <v>84</v>
      </c>
      <c r="F1225" s="1" t="s">
        <v>65</v>
      </c>
      <c r="G1225" s="1" t="s">
        <v>16</v>
      </c>
      <c r="H1225" s="1" t="s">
        <v>164</v>
      </c>
      <c r="I1225" s="1" t="s">
        <v>60</v>
      </c>
      <c r="J1225" s="1" t="s">
        <v>67</v>
      </c>
      <c r="K1225" s="1" t="s">
        <v>83</v>
      </c>
      <c r="L1225" s="3">
        <v>46717</v>
      </c>
      <c r="M1225" s="3">
        <v>45987</v>
      </c>
      <c r="N1225">
        <f>_xlfn.XLOOKUP(Data[[#This Row],[Status]],Compliance_Status[Status from OPMS],Compliance_Status[Status_Key],"")</f>
        <v>4</v>
      </c>
      <c r="O1225">
        <f>_xlfn.XLOOKUP(Data[[#This Row],[Status]],Compliance_Status[Status from OPMS],Compliance_Status[Has Course booking],"")</f>
        <v>0</v>
      </c>
      <c r="P1225" t="str">
        <f>_xlfn.XLOOKUP(Data[[#This Row],[StatusKey]],Status_Key[Status_Key],Status_Key[Name],"")</f>
        <v>In Date</v>
      </c>
    </row>
    <row r="1226" spans="1:16" x14ac:dyDescent="0.25">
      <c r="A1226" s="1">
        <v>178</v>
      </c>
      <c r="B1226" s="1" t="s">
        <v>259</v>
      </c>
      <c r="C1226" s="1" t="s">
        <v>260</v>
      </c>
      <c r="D1226" s="1" t="s">
        <v>261</v>
      </c>
      <c r="E1226" s="1" t="s">
        <v>93</v>
      </c>
      <c r="F1226" s="1" t="s">
        <v>65</v>
      </c>
      <c r="G1226" s="1" t="s">
        <v>16</v>
      </c>
      <c r="H1226" s="1" t="s">
        <v>164</v>
      </c>
      <c r="I1226" s="1" t="s">
        <v>60</v>
      </c>
      <c r="J1226" s="1" t="s">
        <v>67</v>
      </c>
      <c r="K1226" s="1" t="s">
        <v>94</v>
      </c>
      <c r="L1226" s="3">
        <v>46717</v>
      </c>
      <c r="M1226" s="3">
        <v>45987</v>
      </c>
      <c r="N1226">
        <f>_xlfn.XLOOKUP(Data[[#This Row],[Status]],Compliance_Status[Status from OPMS],Compliance_Status[Status_Key],"")</f>
        <v>4</v>
      </c>
      <c r="O1226">
        <f>_xlfn.XLOOKUP(Data[[#This Row],[Status]],Compliance_Status[Status from OPMS],Compliance_Status[Has Course booking],"")</f>
        <v>0</v>
      </c>
      <c r="P1226" t="str">
        <f>_xlfn.XLOOKUP(Data[[#This Row],[StatusKey]],Status_Key[Status_Key],Status_Key[Name],"")</f>
        <v>In Date</v>
      </c>
    </row>
    <row r="1227" spans="1:16" x14ac:dyDescent="0.25">
      <c r="A1227" s="1">
        <v>178</v>
      </c>
      <c r="B1227" s="1" t="s">
        <v>259</v>
      </c>
      <c r="C1227" s="1" t="s">
        <v>260</v>
      </c>
      <c r="D1227" s="1" t="s">
        <v>261</v>
      </c>
      <c r="E1227" s="1" t="s">
        <v>95</v>
      </c>
      <c r="F1227" s="1" t="s">
        <v>65</v>
      </c>
      <c r="G1227" s="1" t="s">
        <v>16</v>
      </c>
      <c r="H1227" s="1" t="s">
        <v>164</v>
      </c>
      <c r="I1227" s="1" t="s">
        <v>60</v>
      </c>
      <c r="J1227" s="1" t="s">
        <v>67</v>
      </c>
      <c r="K1227" s="1" t="s">
        <v>94</v>
      </c>
      <c r="L1227" s="3">
        <v>46717</v>
      </c>
      <c r="M1227" s="3">
        <v>45987</v>
      </c>
      <c r="N1227">
        <f>_xlfn.XLOOKUP(Data[[#This Row],[Status]],Compliance_Status[Status from OPMS],Compliance_Status[Status_Key],"")</f>
        <v>4</v>
      </c>
      <c r="O1227">
        <f>_xlfn.XLOOKUP(Data[[#This Row],[Status]],Compliance_Status[Status from OPMS],Compliance_Status[Has Course booking],"")</f>
        <v>0</v>
      </c>
      <c r="P1227" t="str">
        <f>_xlfn.XLOOKUP(Data[[#This Row],[StatusKey]],Status_Key[Status_Key],Status_Key[Name],"")</f>
        <v>In Date</v>
      </c>
    </row>
    <row r="1228" spans="1:16" x14ac:dyDescent="0.25">
      <c r="A1228" s="1">
        <v>178</v>
      </c>
      <c r="B1228" s="1" t="s">
        <v>259</v>
      </c>
      <c r="C1228" s="1" t="s">
        <v>260</v>
      </c>
      <c r="D1228" s="1" t="s">
        <v>261</v>
      </c>
      <c r="E1228" s="1" t="s">
        <v>156</v>
      </c>
      <c r="F1228" s="1" t="s">
        <v>65</v>
      </c>
      <c r="G1228" s="1" t="s">
        <v>16</v>
      </c>
      <c r="H1228" s="1" t="s">
        <v>164</v>
      </c>
      <c r="I1228" s="1" t="s">
        <v>60</v>
      </c>
      <c r="J1228" s="1" t="s">
        <v>67</v>
      </c>
      <c r="K1228" s="1" t="s">
        <v>125</v>
      </c>
      <c r="L1228" s="3">
        <v>48001</v>
      </c>
      <c r="M1228" s="3">
        <v>46175</v>
      </c>
      <c r="N1228">
        <f>_xlfn.XLOOKUP(Data[[#This Row],[Status]],Compliance_Status[Status from OPMS],Compliance_Status[Status_Key],"")</f>
        <v>4</v>
      </c>
      <c r="O1228">
        <f>_xlfn.XLOOKUP(Data[[#This Row],[Status]],Compliance_Status[Status from OPMS],Compliance_Status[Has Course booking],"")</f>
        <v>0</v>
      </c>
      <c r="P1228" t="str">
        <f>_xlfn.XLOOKUP(Data[[#This Row],[StatusKey]],Status_Key[Status_Key],Status_Key[Name],"")</f>
        <v>In Date</v>
      </c>
    </row>
    <row r="1229" spans="1:16" x14ac:dyDescent="0.25">
      <c r="A1229" s="1">
        <v>178</v>
      </c>
      <c r="B1229" s="1" t="s">
        <v>259</v>
      </c>
      <c r="C1229" s="1" t="s">
        <v>260</v>
      </c>
      <c r="D1229" s="1" t="s">
        <v>261</v>
      </c>
      <c r="E1229" s="1" t="s">
        <v>124</v>
      </c>
      <c r="F1229" s="1" t="s">
        <v>72</v>
      </c>
      <c r="G1229" s="1" t="s">
        <v>18</v>
      </c>
      <c r="H1229" s="1" t="s">
        <v>164</v>
      </c>
      <c r="I1229" s="1" t="s">
        <v>60</v>
      </c>
      <c r="J1229" s="1"/>
      <c r="K1229" s="1" t="s">
        <v>125</v>
      </c>
      <c r="L1229" s="3"/>
      <c r="M1229" s="3"/>
      <c r="N1229">
        <f>_xlfn.XLOOKUP(Data[[#This Row],[Status]],Compliance_Status[Status from OPMS],Compliance_Status[Status_Key],"")</f>
        <v>2</v>
      </c>
      <c r="O1229">
        <f>_xlfn.XLOOKUP(Data[[#This Row],[Status]],Compliance_Status[Status from OPMS],Compliance_Status[Has Course booking],"")</f>
        <v>0</v>
      </c>
      <c r="P1229" t="str">
        <f>_xlfn.XLOOKUP(Data[[#This Row],[StatusKey]],Status_Key[Status_Key],Status_Key[Name],"")</f>
        <v>Outstanding</v>
      </c>
    </row>
    <row r="1230" spans="1:16" x14ac:dyDescent="0.25">
      <c r="A1230" s="1">
        <v>178</v>
      </c>
      <c r="B1230" s="1" t="s">
        <v>259</v>
      </c>
      <c r="C1230" s="1" t="s">
        <v>260</v>
      </c>
      <c r="D1230" s="1" t="s">
        <v>261</v>
      </c>
      <c r="E1230" s="1" t="s">
        <v>97</v>
      </c>
      <c r="F1230" s="1" t="s">
        <v>65</v>
      </c>
      <c r="G1230" s="1" t="s">
        <v>16</v>
      </c>
      <c r="H1230" s="1" t="s">
        <v>164</v>
      </c>
      <c r="I1230" s="1" t="s">
        <v>60</v>
      </c>
      <c r="J1230" s="1" t="s">
        <v>67</v>
      </c>
      <c r="K1230" s="1" t="s">
        <v>98</v>
      </c>
      <c r="L1230" s="3">
        <v>47462</v>
      </c>
      <c r="M1230" s="3">
        <v>45636</v>
      </c>
      <c r="N1230">
        <f>_xlfn.XLOOKUP(Data[[#This Row],[Status]],Compliance_Status[Status from OPMS],Compliance_Status[Status_Key],"")</f>
        <v>4</v>
      </c>
      <c r="O1230">
        <f>_xlfn.XLOOKUP(Data[[#This Row],[Status]],Compliance_Status[Status from OPMS],Compliance_Status[Has Course booking],"")</f>
        <v>0</v>
      </c>
      <c r="P1230" t="str">
        <f>_xlfn.XLOOKUP(Data[[#This Row],[StatusKey]],Status_Key[Status_Key],Status_Key[Name],"")</f>
        <v>In Date</v>
      </c>
    </row>
    <row r="1231" spans="1:16" x14ac:dyDescent="0.25">
      <c r="A1231" s="1">
        <v>178</v>
      </c>
      <c r="B1231" s="1" t="s">
        <v>259</v>
      </c>
      <c r="C1231" s="1" t="s">
        <v>260</v>
      </c>
      <c r="D1231" s="1" t="s">
        <v>261</v>
      </c>
      <c r="E1231" s="1" t="s">
        <v>100</v>
      </c>
      <c r="F1231" s="1" t="s">
        <v>72</v>
      </c>
      <c r="G1231" s="1" t="s">
        <v>18</v>
      </c>
      <c r="H1231" s="1" t="s">
        <v>164</v>
      </c>
      <c r="I1231" s="1" t="s">
        <v>60</v>
      </c>
      <c r="J1231" s="1"/>
      <c r="K1231" s="1" t="s">
        <v>98</v>
      </c>
      <c r="L1231" s="3"/>
      <c r="M1231" s="3"/>
      <c r="N1231">
        <f>_xlfn.XLOOKUP(Data[[#This Row],[Status]],Compliance_Status[Status from OPMS],Compliance_Status[Status_Key],"")</f>
        <v>2</v>
      </c>
      <c r="O1231">
        <f>_xlfn.XLOOKUP(Data[[#This Row],[Status]],Compliance_Status[Status from OPMS],Compliance_Status[Has Course booking],"")</f>
        <v>0</v>
      </c>
      <c r="P1231" t="str">
        <f>_xlfn.XLOOKUP(Data[[#This Row],[StatusKey]],Status_Key[Status_Key],Status_Key[Name],"")</f>
        <v>Outstanding</v>
      </c>
    </row>
    <row r="1232" spans="1:16" x14ac:dyDescent="0.25">
      <c r="A1232" s="1">
        <v>178</v>
      </c>
      <c r="B1232" s="1" t="s">
        <v>259</v>
      </c>
      <c r="C1232" s="1" t="s">
        <v>260</v>
      </c>
      <c r="D1232" s="1" t="s">
        <v>261</v>
      </c>
      <c r="E1232" s="1" t="s">
        <v>101</v>
      </c>
      <c r="F1232" s="1" t="s">
        <v>65</v>
      </c>
      <c r="G1232" s="1" t="s">
        <v>16</v>
      </c>
      <c r="H1232" s="1" t="s">
        <v>164</v>
      </c>
      <c r="I1232" s="1" t="s">
        <v>60</v>
      </c>
      <c r="J1232" s="1" t="s">
        <v>67</v>
      </c>
      <c r="K1232" s="1" t="s">
        <v>102</v>
      </c>
      <c r="L1232" s="3" t="s">
        <v>79</v>
      </c>
      <c r="M1232" s="3">
        <v>45991</v>
      </c>
      <c r="N1232">
        <f>_xlfn.XLOOKUP(Data[[#This Row],[Status]],Compliance_Status[Status from OPMS],Compliance_Status[Status_Key],"")</f>
        <v>4</v>
      </c>
      <c r="O1232">
        <f>_xlfn.XLOOKUP(Data[[#This Row],[Status]],Compliance_Status[Status from OPMS],Compliance_Status[Has Course booking],"")</f>
        <v>0</v>
      </c>
      <c r="P1232" t="str">
        <f>_xlfn.XLOOKUP(Data[[#This Row],[StatusKey]],Status_Key[Status_Key],Status_Key[Name],"")</f>
        <v>In Date</v>
      </c>
    </row>
    <row r="1233" spans="1:16" x14ac:dyDescent="0.25">
      <c r="A1233" s="1">
        <v>178</v>
      </c>
      <c r="B1233" s="1" t="s">
        <v>259</v>
      </c>
      <c r="C1233" s="1" t="s">
        <v>260</v>
      </c>
      <c r="D1233" s="1" t="s">
        <v>261</v>
      </c>
      <c r="E1233" s="1" t="s">
        <v>103</v>
      </c>
      <c r="F1233" s="1" t="s">
        <v>65</v>
      </c>
      <c r="G1233" s="1" t="s">
        <v>16</v>
      </c>
      <c r="H1233" s="1" t="s">
        <v>164</v>
      </c>
      <c r="I1233" s="1" t="s">
        <v>60</v>
      </c>
      <c r="J1233" s="1" t="s">
        <v>67</v>
      </c>
      <c r="K1233" s="1" t="s">
        <v>102</v>
      </c>
      <c r="L1233" s="3">
        <v>46721</v>
      </c>
      <c r="M1233" s="3">
        <v>45991</v>
      </c>
      <c r="N1233">
        <f>_xlfn.XLOOKUP(Data[[#This Row],[Status]],Compliance_Status[Status from OPMS],Compliance_Status[Status_Key],"")</f>
        <v>4</v>
      </c>
      <c r="O1233">
        <f>_xlfn.XLOOKUP(Data[[#This Row],[Status]],Compliance_Status[Status from OPMS],Compliance_Status[Has Course booking],"")</f>
        <v>0</v>
      </c>
      <c r="P1233" t="str">
        <f>_xlfn.XLOOKUP(Data[[#This Row],[StatusKey]],Status_Key[Status_Key],Status_Key[Name],"")</f>
        <v>In Date</v>
      </c>
    </row>
    <row r="1234" spans="1:16" x14ac:dyDescent="0.25">
      <c r="A1234" s="1">
        <v>178</v>
      </c>
      <c r="B1234" s="1" t="s">
        <v>259</v>
      </c>
      <c r="C1234" s="1" t="s">
        <v>260</v>
      </c>
      <c r="D1234" s="1" t="s">
        <v>261</v>
      </c>
      <c r="E1234" s="1" t="s">
        <v>104</v>
      </c>
      <c r="F1234" s="1" t="s">
        <v>65</v>
      </c>
      <c r="G1234" s="1" t="s">
        <v>16</v>
      </c>
      <c r="H1234" s="1" t="s">
        <v>164</v>
      </c>
      <c r="I1234" s="1" t="s">
        <v>60</v>
      </c>
      <c r="J1234" s="1" t="s">
        <v>67</v>
      </c>
      <c r="K1234" s="1" t="s">
        <v>105</v>
      </c>
      <c r="L1234" s="3">
        <v>46768</v>
      </c>
      <c r="M1234" s="3">
        <v>46038</v>
      </c>
      <c r="N1234">
        <f>_xlfn.XLOOKUP(Data[[#This Row],[Status]],Compliance_Status[Status from OPMS],Compliance_Status[Status_Key],"")</f>
        <v>4</v>
      </c>
      <c r="O1234">
        <f>_xlfn.XLOOKUP(Data[[#This Row],[Status]],Compliance_Status[Status from OPMS],Compliance_Status[Has Course booking],"")</f>
        <v>0</v>
      </c>
      <c r="P1234" t="str">
        <f>_xlfn.XLOOKUP(Data[[#This Row],[StatusKey]],Status_Key[Status_Key],Status_Key[Name],"")</f>
        <v>In Date</v>
      </c>
    </row>
    <row r="1235" spans="1:16" x14ac:dyDescent="0.25">
      <c r="A1235" s="1">
        <v>178</v>
      </c>
      <c r="B1235" s="1" t="s">
        <v>259</v>
      </c>
      <c r="C1235" s="1" t="s">
        <v>260</v>
      </c>
      <c r="D1235" s="1" t="s">
        <v>261</v>
      </c>
      <c r="E1235" s="1" t="s">
        <v>106</v>
      </c>
      <c r="F1235" s="1" t="s">
        <v>65</v>
      </c>
      <c r="G1235" s="1" t="s">
        <v>16</v>
      </c>
      <c r="H1235" s="1" t="s">
        <v>164</v>
      </c>
      <c r="I1235" s="1" t="s">
        <v>60</v>
      </c>
      <c r="J1235" s="1" t="s">
        <v>67</v>
      </c>
      <c r="K1235" s="1" t="s">
        <v>105</v>
      </c>
      <c r="L1235" s="3">
        <v>47462</v>
      </c>
      <c r="M1235" s="3">
        <v>45636</v>
      </c>
      <c r="N1235">
        <f>_xlfn.XLOOKUP(Data[[#This Row],[Status]],Compliance_Status[Status from OPMS],Compliance_Status[Status_Key],"")</f>
        <v>4</v>
      </c>
      <c r="O1235">
        <f>_xlfn.XLOOKUP(Data[[#This Row],[Status]],Compliance_Status[Status from OPMS],Compliance_Status[Has Course booking],"")</f>
        <v>0</v>
      </c>
      <c r="P1235" t="str">
        <f>_xlfn.XLOOKUP(Data[[#This Row],[StatusKey]],Status_Key[Status_Key],Status_Key[Name],"")</f>
        <v>In Date</v>
      </c>
    </row>
    <row r="1236" spans="1:16" x14ac:dyDescent="0.25">
      <c r="A1236" s="1">
        <v>178</v>
      </c>
      <c r="B1236" s="1" t="s">
        <v>259</v>
      </c>
      <c r="C1236" s="1" t="s">
        <v>260</v>
      </c>
      <c r="D1236" s="1" t="s">
        <v>261</v>
      </c>
      <c r="E1236" s="1" t="s">
        <v>107</v>
      </c>
      <c r="F1236" s="1" t="s">
        <v>65</v>
      </c>
      <c r="G1236" s="1" t="s">
        <v>16</v>
      </c>
      <c r="H1236" s="1" t="s">
        <v>164</v>
      </c>
      <c r="I1236" s="1" t="s">
        <v>60</v>
      </c>
      <c r="J1236" s="1" t="s">
        <v>67</v>
      </c>
      <c r="K1236" s="1" t="s">
        <v>105</v>
      </c>
      <c r="L1236" s="3">
        <v>46731</v>
      </c>
      <c r="M1236" s="3">
        <v>45636</v>
      </c>
      <c r="N1236">
        <f>_xlfn.XLOOKUP(Data[[#This Row],[Status]],Compliance_Status[Status from OPMS],Compliance_Status[Status_Key],"")</f>
        <v>4</v>
      </c>
      <c r="O1236">
        <f>_xlfn.XLOOKUP(Data[[#This Row],[Status]],Compliance_Status[Status from OPMS],Compliance_Status[Has Course booking],"")</f>
        <v>0</v>
      </c>
      <c r="P1236" t="str">
        <f>_xlfn.XLOOKUP(Data[[#This Row],[StatusKey]],Status_Key[Status_Key],Status_Key[Name],"")</f>
        <v>In Date</v>
      </c>
    </row>
    <row r="1237" spans="1:16" x14ac:dyDescent="0.25">
      <c r="A1237" s="1">
        <v>178</v>
      </c>
      <c r="B1237" s="1" t="s">
        <v>259</v>
      </c>
      <c r="C1237" s="1" t="s">
        <v>260</v>
      </c>
      <c r="D1237" s="1" t="s">
        <v>261</v>
      </c>
      <c r="E1237" s="1" t="s">
        <v>108</v>
      </c>
      <c r="F1237" s="1" t="s">
        <v>65</v>
      </c>
      <c r="G1237" s="1" t="s">
        <v>24</v>
      </c>
      <c r="H1237" s="1" t="s">
        <v>164</v>
      </c>
      <c r="I1237" s="1" t="s">
        <v>60</v>
      </c>
      <c r="J1237" s="1" t="s">
        <v>67</v>
      </c>
      <c r="K1237" s="1" t="s">
        <v>105</v>
      </c>
      <c r="L1237" s="3">
        <v>46308</v>
      </c>
      <c r="M1237" s="3">
        <v>45636</v>
      </c>
      <c r="N1237">
        <f>_xlfn.XLOOKUP(Data[[#This Row],[Status]],Compliance_Status[Status from OPMS],Compliance_Status[Status_Key],"")</f>
        <v>3</v>
      </c>
      <c r="O1237">
        <f>_xlfn.XLOOKUP(Data[[#This Row],[Status]],Compliance_Status[Status from OPMS],Compliance_Status[Has Course booking],"")</f>
        <v>0</v>
      </c>
      <c r="P1237" t="str">
        <f>_xlfn.XLOOKUP(Data[[#This Row],[StatusKey]],Status_Key[Status_Key],Status_Key[Name],"")</f>
        <v>About to expire</v>
      </c>
    </row>
    <row r="1238" spans="1:16" x14ac:dyDescent="0.25">
      <c r="A1238" s="1">
        <v>178</v>
      </c>
      <c r="B1238" s="1" t="s">
        <v>259</v>
      </c>
      <c r="C1238" s="1" t="s">
        <v>260</v>
      </c>
      <c r="D1238" s="1" t="s">
        <v>261</v>
      </c>
      <c r="E1238" s="1" t="s">
        <v>109</v>
      </c>
      <c r="F1238" s="1" t="s">
        <v>65</v>
      </c>
      <c r="G1238" s="1" t="s">
        <v>16</v>
      </c>
      <c r="H1238" s="1" t="s">
        <v>164</v>
      </c>
      <c r="I1238" s="1" t="s">
        <v>60</v>
      </c>
      <c r="J1238" s="1" t="s">
        <v>67</v>
      </c>
      <c r="K1238" s="1" t="s">
        <v>105</v>
      </c>
      <c r="L1238" s="3">
        <v>46768</v>
      </c>
      <c r="M1238" s="3">
        <v>46038</v>
      </c>
      <c r="N1238">
        <f>_xlfn.XLOOKUP(Data[[#This Row],[Status]],Compliance_Status[Status from OPMS],Compliance_Status[Status_Key],"")</f>
        <v>4</v>
      </c>
      <c r="O1238">
        <f>_xlfn.XLOOKUP(Data[[#This Row],[Status]],Compliance_Status[Status from OPMS],Compliance_Status[Has Course booking],"")</f>
        <v>0</v>
      </c>
      <c r="P1238" t="str">
        <f>_xlfn.XLOOKUP(Data[[#This Row],[StatusKey]],Status_Key[Status_Key],Status_Key[Name],"")</f>
        <v>In Date</v>
      </c>
    </row>
    <row r="1239" spans="1:16" x14ac:dyDescent="0.25">
      <c r="A1239" s="1">
        <v>178</v>
      </c>
      <c r="B1239" s="1" t="s">
        <v>259</v>
      </c>
      <c r="C1239" s="1" t="s">
        <v>260</v>
      </c>
      <c r="D1239" s="1" t="s">
        <v>261</v>
      </c>
      <c r="E1239" s="1" t="s">
        <v>110</v>
      </c>
      <c r="F1239" s="1" t="s">
        <v>65</v>
      </c>
      <c r="G1239" s="1" t="s">
        <v>16</v>
      </c>
      <c r="H1239" s="1" t="s">
        <v>164</v>
      </c>
      <c r="I1239" s="1" t="s">
        <v>60</v>
      </c>
      <c r="J1239" s="1" t="s">
        <v>67</v>
      </c>
      <c r="K1239" s="1" t="s">
        <v>105</v>
      </c>
      <c r="L1239" s="3" t="s">
        <v>79</v>
      </c>
      <c r="M1239" s="3">
        <v>45988</v>
      </c>
      <c r="N1239">
        <f>_xlfn.XLOOKUP(Data[[#This Row],[Status]],Compliance_Status[Status from OPMS],Compliance_Status[Status_Key],"")</f>
        <v>4</v>
      </c>
      <c r="O1239">
        <f>_xlfn.XLOOKUP(Data[[#This Row],[Status]],Compliance_Status[Status from OPMS],Compliance_Status[Has Course booking],"")</f>
        <v>0</v>
      </c>
      <c r="P1239" t="str">
        <f>_xlfn.XLOOKUP(Data[[#This Row],[StatusKey]],Status_Key[Status_Key],Status_Key[Name],"")</f>
        <v>In Date</v>
      </c>
    </row>
    <row r="1240" spans="1:16" x14ac:dyDescent="0.25">
      <c r="A1240" s="1">
        <v>178</v>
      </c>
      <c r="B1240" s="1" t="s">
        <v>259</v>
      </c>
      <c r="C1240" s="1" t="s">
        <v>260</v>
      </c>
      <c r="D1240" s="1" t="s">
        <v>261</v>
      </c>
      <c r="E1240" s="1" t="s">
        <v>111</v>
      </c>
      <c r="F1240" s="1" t="s">
        <v>65</v>
      </c>
      <c r="G1240" s="1" t="s">
        <v>16</v>
      </c>
      <c r="H1240" s="1" t="s">
        <v>164</v>
      </c>
      <c r="I1240" s="1" t="s">
        <v>60</v>
      </c>
      <c r="J1240" s="1" t="s">
        <v>67</v>
      </c>
      <c r="K1240" s="1" t="s">
        <v>105</v>
      </c>
      <c r="L1240" s="3">
        <v>46769</v>
      </c>
      <c r="M1240" s="3">
        <v>46039</v>
      </c>
      <c r="N1240">
        <f>_xlfn.XLOOKUP(Data[[#This Row],[Status]],Compliance_Status[Status from OPMS],Compliance_Status[Status_Key],"")</f>
        <v>4</v>
      </c>
      <c r="O1240">
        <f>_xlfn.XLOOKUP(Data[[#This Row],[Status]],Compliance_Status[Status from OPMS],Compliance_Status[Has Course booking],"")</f>
        <v>0</v>
      </c>
      <c r="P1240" t="str">
        <f>_xlfn.XLOOKUP(Data[[#This Row],[StatusKey]],Status_Key[Status_Key],Status_Key[Name],"")</f>
        <v>In Date</v>
      </c>
    </row>
    <row r="1241" spans="1:16" x14ac:dyDescent="0.25">
      <c r="A1241" s="1">
        <v>178</v>
      </c>
      <c r="B1241" s="1" t="s">
        <v>259</v>
      </c>
      <c r="C1241" s="1" t="s">
        <v>260</v>
      </c>
      <c r="D1241" s="1" t="s">
        <v>261</v>
      </c>
      <c r="E1241" s="1" t="s">
        <v>112</v>
      </c>
      <c r="F1241" s="1" t="s">
        <v>65</v>
      </c>
      <c r="G1241" s="1" t="s">
        <v>16</v>
      </c>
      <c r="H1241" s="1" t="s">
        <v>164</v>
      </c>
      <c r="I1241" s="1" t="s">
        <v>60</v>
      </c>
      <c r="J1241" s="1" t="s">
        <v>67</v>
      </c>
      <c r="K1241" s="1" t="s">
        <v>105</v>
      </c>
      <c r="L1241" s="3">
        <v>46768</v>
      </c>
      <c r="M1241" s="3">
        <v>46038</v>
      </c>
      <c r="N1241">
        <f>_xlfn.XLOOKUP(Data[[#This Row],[Status]],Compliance_Status[Status from OPMS],Compliance_Status[Status_Key],"")</f>
        <v>4</v>
      </c>
      <c r="O1241">
        <f>_xlfn.XLOOKUP(Data[[#This Row],[Status]],Compliance_Status[Status from OPMS],Compliance_Status[Has Course booking],"")</f>
        <v>0</v>
      </c>
      <c r="P1241" t="str">
        <f>_xlfn.XLOOKUP(Data[[#This Row],[StatusKey]],Status_Key[Status_Key],Status_Key[Name],"")</f>
        <v>In Date</v>
      </c>
    </row>
    <row r="1242" spans="1:16" x14ac:dyDescent="0.25">
      <c r="A1242" s="1">
        <v>178</v>
      </c>
      <c r="B1242" s="1" t="s">
        <v>259</v>
      </c>
      <c r="C1242" s="1" t="s">
        <v>260</v>
      </c>
      <c r="D1242" s="1" t="s">
        <v>261</v>
      </c>
      <c r="E1242" s="1" t="s">
        <v>113</v>
      </c>
      <c r="F1242" s="1" t="s">
        <v>65</v>
      </c>
      <c r="G1242" s="1" t="s">
        <v>16</v>
      </c>
      <c r="H1242" s="1" t="s">
        <v>164</v>
      </c>
      <c r="I1242" s="1" t="s">
        <v>60</v>
      </c>
      <c r="J1242" s="1" t="s">
        <v>67</v>
      </c>
      <c r="K1242" s="1" t="s">
        <v>105</v>
      </c>
      <c r="L1242" s="3">
        <v>46403</v>
      </c>
      <c r="M1242" s="3">
        <v>46038</v>
      </c>
      <c r="N1242">
        <f>_xlfn.XLOOKUP(Data[[#This Row],[Status]],Compliance_Status[Status from OPMS],Compliance_Status[Status_Key],"")</f>
        <v>4</v>
      </c>
      <c r="O1242">
        <f>_xlfn.XLOOKUP(Data[[#This Row],[Status]],Compliance_Status[Status from OPMS],Compliance_Status[Has Course booking],"")</f>
        <v>0</v>
      </c>
      <c r="P1242" t="str">
        <f>_xlfn.XLOOKUP(Data[[#This Row],[StatusKey]],Status_Key[Status_Key],Status_Key[Name],"")</f>
        <v>In Date</v>
      </c>
    </row>
    <row r="1243" spans="1:16" x14ac:dyDescent="0.25">
      <c r="A1243" s="1">
        <v>322</v>
      </c>
      <c r="B1243" s="1" t="s">
        <v>262</v>
      </c>
      <c r="C1243" s="1"/>
      <c r="D1243" s="1"/>
      <c r="E1243" s="1" t="s">
        <v>263</v>
      </c>
      <c r="F1243" s="1" t="s">
        <v>65</v>
      </c>
      <c r="G1243" s="1" t="s">
        <v>18</v>
      </c>
      <c r="H1243" s="1" t="s">
        <v>264</v>
      </c>
      <c r="I1243" s="1" t="s">
        <v>60</v>
      </c>
      <c r="J1243" s="1"/>
      <c r="K1243" s="1" t="s">
        <v>265</v>
      </c>
      <c r="L1243" s="3"/>
      <c r="M1243" s="3"/>
      <c r="N1243">
        <f>_xlfn.XLOOKUP(Data[[#This Row],[Status]],Compliance_Status[Status from OPMS],Compliance_Status[Status_Key],"")</f>
        <v>2</v>
      </c>
      <c r="O1243">
        <f>_xlfn.XLOOKUP(Data[[#This Row],[Status]],Compliance_Status[Status from OPMS],Compliance_Status[Has Course booking],"")</f>
        <v>0</v>
      </c>
      <c r="P1243" t="str">
        <f>_xlfn.XLOOKUP(Data[[#This Row],[StatusKey]],Status_Key[Status_Key],Status_Key[Name],"")</f>
        <v>Outstanding</v>
      </c>
    </row>
    <row r="1244" spans="1:16" x14ac:dyDescent="0.25">
      <c r="P1244" t="str">
        <f>_xlfn.XLOOKUP(Data[[#This Row],[StatusKey]],Status_Key[Status_Key],Status_Key[Name],"")</f>
        <v/>
      </c>
    </row>
    <row r="1245" spans="1:16" x14ac:dyDescent="0.25">
      <c r="A1245" t="s">
        <v>36</v>
      </c>
      <c r="O1245">
        <f>SUBTOTAL(109,Data[Has Course booking])</f>
        <v>0</v>
      </c>
      <c r="P1245">
        <f>SUBTOTAL(103,Data[StatusNameKey])</f>
        <v>1239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workbookViewId="0">
      <selection activeCell="C48" sqref="C48"/>
    </sheetView>
  </sheetViews>
  <sheetFormatPr defaultColWidth="9" defaultRowHeight="15" x14ac:dyDescent="0.25"/>
  <cols>
    <col min="1" max="1" width="37.5703125" customWidth="1"/>
    <col min="2" max="2" width="22.140625" customWidth="1"/>
    <col min="3" max="3" width="22" customWidth="1"/>
    <col min="8" max="8" width="33.7109375" customWidth="1"/>
    <col min="9" max="9" width="29.7109375" customWidth="1"/>
  </cols>
  <sheetData>
    <row r="1" spans="1:9" x14ac:dyDescent="0.25">
      <c r="A1" s="9" t="s">
        <v>37</v>
      </c>
      <c r="B1" s="9"/>
    </row>
    <row r="2" spans="1:9" x14ac:dyDescent="0.25">
      <c r="A2" t="s">
        <v>27</v>
      </c>
      <c r="B2" t="s">
        <v>38</v>
      </c>
      <c r="C2" t="s">
        <v>30</v>
      </c>
      <c r="H2" t="s">
        <v>38</v>
      </c>
      <c r="I2" t="s">
        <v>34</v>
      </c>
    </row>
    <row r="3" spans="1:9" x14ac:dyDescent="0.25">
      <c r="A3" t="s">
        <v>15</v>
      </c>
      <c r="B3">
        <v>0</v>
      </c>
      <c r="C3">
        <v>1</v>
      </c>
      <c r="H3">
        <v>1</v>
      </c>
      <c r="I3" t="s">
        <v>25</v>
      </c>
    </row>
    <row r="4" spans="1:9" x14ac:dyDescent="0.25">
      <c r="A4" t="s">
        <v>16</v>
      </c>
      <c r="B4">
        <v>4</v>
      </c>
      <c r="C4">
        <v>0</v>
      </c>
      <c r="H4">
        <v>2</v>
      </c>
      <c r="I4" t="s">
        <v>18</v>
      </c>
    </row>
    <row r="5" spans="1:9" x14ac:dyDescent="0.25">
      <c r="A5" t="s">
        <v>17</v>
      </c>
      <c r="B5">
        <v>0</v>
      </c>
      <c r="C5">
        <v>0</v>
      </c>
      <c r="H5">
        <v>3</v>
      </c>
      <c r="I5" t="s">
        <v>39</v>
      </c>
    </row>
    <row r="6" spans="1:9" x14ac:dyDescent="0.25">
      <c r="A6" t="s">
        <v>18</v>
      </c>
      <c r="B6">
        <v>2</v>
      </c>
      <c r="C6">
        <v>0</v>
      </c>
      <c r="H6">
        <v>4</v>
      </c>
      <c r="I6" t="s">
        <v>16</v>
      </c>
    </row>
    <row r="7" spans="1:9" x14ac:dyDescent="0.25">
      <c r="A7" t="s">
        <v>19</v>
      </c>
      <c r="B7">
        <v>1</v>
      </c>
      <c r="C7">
        <v>1</v>
      </c>
    </row>
    <row r="8" spans="1:9" x14ac:dyDescent="0.25">
      <c r="A8" t="s">
        <v>20</v>
      </c>
      <c r="B8">
        <v>1</v>
      </c>
      <c r="C8">
        <v>1</v>
      </c>
    </row>
    <row r="9" spans="1:9" x14ac:dyDescent="0.25">
      <c r="A9" t="s">
        <v>21</v>
      </c>
      <c r="B9">
        <v>2</v>
      </c>
      <c r="C9">
        <v>1</v>
      </c>
    </row>
    <row r="10" spans="1:9" x14ac:dyDescent="0.25">
      <c r="A10" t="s">
        <v>22</v>
      </c>
      <c r="B10">
        <v>4</v>
      </c>
      <c r="C10">
        <v>0</v>
      </c>
    </row>
    <row r="11" spans="1:9" x14ac:dyDescent="0.25">
      <c r="A11" t="s">
        <v>23</v>
      </c>
      <c r="B11">
        <v>0</v>
      </c>
      <c r="C11">
        <v>1</v>
      </c>
    </row>
    <row r="12" spans="1:9" x14ac:dyDescent="0.25">
      <c r="A12" t="s">
        <v>24</v>
      </c>
      <c r="B12">
        <v>3</v>
      </c>
      <c r="C12">
        <v>0</v>
      </c>
    </row>
    <row r="13" spans="1:9" x14ac:dyDescent="0.25">
      <c r="A13" t="s">
        <v>25</v>
      </c>
      <c r="B13">
        <v>1</v>
      </c>
      <c r="C13">
        <v>0</v>
      </c>
    </row>
    <row r="14" spans="1:9" x14ac:dyDescent="0.25">
      <c r="A14" t="s">
        <v>26</v>
      </c>
      <c r="B14">
        <v>2</v>
      </c>
      <c r="C14">
        <v>1</v>
      </c>
    </row>
  </sheetData>
  <mergeCells count="1">
    <mergeCell ref="A1:B1"/>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15ED54C1-2D45-433B-B212-A00073A14586}">
  <ds:schemaRefs/>
</ds:datastoreItem>
</file>

<file path=customXml/itemProps2.xml><?xml version="1.0" encoding="utf-8"?>
<ds:datastoreItem xmlns:ds="http://schemas.openxmlformats.org/officeDocument/2006/customXml" ds:itemID="{A9D97483-A6C3-4349-90C4-FD26A181B746}">
  <ds:schemaRefs/>
</ds:datastoreItem>
</file>

<file path=customXml/itemProps3.xml><?xml version="1.0" encoding="utf-8"?>
<ds:datastoreItem xmlns:ds="http://schemas.openxmlformats.org/officeDocument/2006/customXml" ds:itemID="{EF72A0C9-50D5-4E91-9CD3-DFA315954646}">
  <ds:schemaRefs/>
</ds:datastoreItem>
</file>

<file path=customXml/itemProps4.xml><?xml version="1.0" encoding="utf-8"?>
<ds:datastoreItem xmlns:ds="http://schemas.openxmlformats.org/officeDocument/2006/customXml" ds:itemID="{C20108DB-5F48-4F95-A727-BC1624FF096B}">
  <ds:schemaRefs/>
</ds:datastoreItem>
</file>

<file path=customXml/itemProps5.xml><?xml version="1.0" encoding="utf-8"?>
<ds:datastoreItem xmlns:ds="http://schemas.openxmlformats.org/officeDocument/2006/customXml" ds:itemID="{486E9C53-C7A7-4EAC-9444-AE4CEA3CCC32}">
  <ds:schemaRefs/>
</ds:datastoreItem>
</file>

<file path=customXml/itemProps6.xml><?xml version="1.0" encoding="utf-8"?>
<ds:datastoreItem xmlns:ds="http://schemas.openxmlformats.org/officeDocument/2006/customXml" ds:itemID="{B3FE283B-2506-4C05-9B84-390E97F0E7D2}">
  <ds:schemaRefs/>
</ds:datastoreItem>
</file>

<file path=customXml/itemProps7.xml><?xml version="1.0" encoding="utf-8"?>
<ds:datastoreItem xmlns:ds="http://schemas.openxmlformats.org/officeDocument/2006/customXml" ds:itemID="{A9AB1A15-333E-40DB-85FD-430536D15039}">
  <ds:schemaRefs/>
</ds:datastoreItem>
</file>

<file path=customXml/itemProps8.xml><?xml version="1.0" encoding="utf-8"?>
<ds:datastoreItem xmlns:ds="http://schemas.openxmlformats.org/officeDocument/2006/customXml" ds:itemID="{B2972442-7B79-401F-8A14-F4E866145EDD}">
  <ds:schemaRefs/>
</ds:datastoreItem>
</file>

<file path=customXml/itemProps9.xml><?xml version="1.0" encoding="utf-8"?>
<ds:datastoreItem xmlns:ds="http://schemas.openxmlformats.org/officeDocument/2006/customXml" ds:itemID="{D064B108-98A4-4648-8051-2A18DA27F506}">
  <ds:schemaRefs/>
</ds:datastoreItem>
</file>

<file path=customXml/itemProps10.xml><?xml version="1.0" encoding="utf-8"?>
<ds:datastoreItem xmlns:ds="http://schemas.openxmlformats.org/officeDocument/2006/customXml" ds:itemID="{BCE4DC55-5DED-4270-80E8-208A9E4C6615}">
  <ds:schemaRefs/>
</ds:datastoreItem>
</file>

<file path=customXml/itemProps11.xml><?xml version="1.0" encoding="utf-8"?>
<ds:datastoreItem xmlns:ds="http://schemas.openxmlformats.org/officeDocument/2006/customXml" ds:itemID="{47A01D5A-A3D8-4638-8933-2EC2787A5AF4}">
  <ds:schemaRefs/>
</ds:datastoreItem>
</file>

<file path=customXml/itemProps12.xml><?xml version="1.0" encoding="utf-8"?>
<ds:datastoreItem xmlns:ds="http://schemas.openxmlformats.org/officeDocument/2006/customXml" ds:itemID="{F5391DEC-67B0-4E01-B07D-1ED5094A6B2E}">
  <ds:schemaRefs/>
</ds:datastoreItem>
</file>

<file path=customXml/itemProps13.xml><?xml version="1.0" encoding="utf-8"?>
<ds:datastoreItem xmlns:ds="http://schemas.openxmlformats.org/officeDocument/2006/customXml" ds:itemID="{4735443C-FB5A-42FC-B937-AE486B124A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List</vt:lpstr>
      <vt:lpstr>Data</vt:lpstr>
      <vt:lpstr>Helpers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 Tiisaar</dc:creator>
  <cp:lastModifiedBy>Kadri Haan</cp:lastModifiedBy>
  <cp:lastPrinted>2025-01-27T16:48:15Z</cp:lastPrinted>
  <dcterms:created xsi:type="dcterms:W3CDTF">2026-08-17T04:48:06Z</dcterms:created>
  <dcterms:modified xsi:type="dcterms:W3CDTF">2026-08-17T04:48:38Z</dcterms:modified>
</cp:coreProperties>
</file>