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always" defaultThemeVersion="202300"/>
  <mc:AlternateContent xmlns:mc="http://schemas.openxmlformats.org/markup-compatibility/2006">
    <mc:Choice Requires="x15">
      <x15ac:absPath xmlns:x15ac="http://schemas.microsoft.com/office/spreadsheetml/2010/11/ac" url="C:\Users\matthew.jones1\Desktop\portal\"/>
    </mc:Choice>
  </mc:AlternateContent>
  <xr:revisionPtr revIDLastSave="0" documentId="8_{18A5972B-1940-471B-B93C-A58EFCF736D9}" xr6:coauthVersionLast="47" xr6:coauthVersionMax="47" xr10:uidLastSave="{00000000-0000-0000-0000-000000000000}"/>
  <bookViews>
    <workbookView xWindow="-120" yWindow="-120" windowWidth="29040" windowHeight="15720" firstSheet="3" activeTab="3" xr2:uid="{2E6CBD6C-741C-43A2-9477-CD59BA7C306A}"/>
  </bookViews>
  <sheets>
    <sheet name="Instruction Sheet" sheetId="4" state="hidden" r:id="rId1"/>
    <sheet name="Template -Matrix Archive" sheetId="35" state="hidden" r:id="rId2"/>
    <sheet name="Lookup" sheetId="2" state="hidden" r:id="rId3"/>
    <sheet name="CREW EXPIRY DATES" sheetId="38" r:id="rId4"/>
    <sheet name="Template" sheetId="39" r:id="rId5"/>
    <sheet name="Template - Matrix" sheetId="11" state="hidden" r:id="rId6"/>
    <sheet name="Position Reference" sheetId="6" state="hidden" r:id="rId7"/>
    <sheet name="ID# Convention" sheetId="7" state="hidden" r:id="rId8"/>
  </sheets>
  <definedNames>
    <definedName name="_xlnm._FilterDatabase" localSheetId="3" hidden="1">'CREW EXPIRY DATES'!$A$15:$BK$55</definedName>
    <definedName name="_xlnm._FilterDatabase" localSheetId="2" hidden="1">Lookup!$A$1:$K$249</definedName>
    <definedName name="_xlnm._FilterDatabase" localSheetId="6" hidden="1">'Position Reference'!$A$1:$D$1</definedName>
    <definedName name="_xlnm._FilterDatabase" localSheetId="4" hidden="1">Template!$C$18:$BJ$18</definedName>
    <definedName name="_xlnm._FilterDatabase" localSheetId="5" hidden="1">'Template - Matrix'!$A$15:$EE$15</definedName>
    <definedName name="_xlnm._FilterDatabase" localSheetId="1" hidden="1">'Template -Matrix Archive'!$B$18:$BJ$18</definedName>
    <definedName name="Category" localSheetId="3">#REF!</definedName>
    <definedName name="Category" localSheetId="4">#REF!</definedName>
    <definedName name="Category" localSheetId="1">#REF!</definedName>
    <definedName name="Category">Lookup!$S$2:$S$6</definedName>
    <definedName name="M_1" localSheetId="3">'CREW EXPIRY DATES'!#REF!</definedName>
    <definedName name="M_1" localSheetId="4">Template!#REF!</definedName>
    <definedName name="M_1" localSheetId="1">'Template -Matrix Archive'!$G$42</definedName>
    <definedName name="M_1">#REF!</definedName>
    <definedName name="M_2" localSheetId="3">'CREW EXPIRY DATES'!#REF!</definedName>
    <definedName name="M_2" localSheetId="4">Template!#REF!</definedName>
    <definedName name="M_2" localSheetId="1">'Template -Matrix Archive'!$G$44</definedName>
    <definedName name="M_2">#REF!</definedName>
    <definedName name="M_3" localSheetId="3">'CREW EXPIRY DATES'!#REF!</definedName>
    <definedName name="M_3" localSheetId="4">Template!#REF!</definedName>
    <definedName name="M_3" localSheetId="1">'Template -Matrix Archive'!$G$46</definedName>
    <definedName name="M_3">#REF!</definedName>
    <definedName name="M_4" localSheetId="3">'CREW EXPIRY DATES'!#REF!</definedName>
    <definedName name="M_4" localSheetId="4">Template!#REF!</definedName>
    <definedName name="M_4" localSheetId="1">'Template -Matrix Archive'!$G$48</definedName>
    <definedName name="M_4">#REF!</definedName>
    <definedName name="M_5" localSheetId="3">'CREW EXPIRY DATES'!#REF!</definedName>
    <definedName name="M_5" localSheetId="4">Template!#REF!</definedName>
    <definedName name="M_5" localSheetId="1">'Template -Matrix Archive'!$G$50</definedName>
    <definedName name="M_5">#REF!</definedName>
    <definedName name="M_6" localSheetId="3">'CREW EXPIRY DATES'!#REF!</definedName>
    <definedName name="M_6" localSheetId="4">Template!#REF!</definedName>
    <definedName name="M_6" localSheetId="1">'Template -Matrix Archive'!$G$52</definedName>
    <definedName name="M_6">#REF!</definedName>
    <definedName name="M_7" localSheetId="3">'CREW EXPIRY DATES'!#REF!</definedName>
    <definedName name="M_7" localSheetId="4">Template!#REF!</definedName>
    <definedName name="M_7" localSheetId="1">'Template -Matrix Archive'!$G$54</definedName>
    <definedName name="M_7">#REF!</definedName>
    <definedName name="Name" localSheetId="3">#REF!</definedName>
    <definedName name="Name" localSheetId="4">#REF!</definedName>
    <definedName name="Name" localSheetId="5">#REF!</definedName>
    <definedName name="Name" localSheetId="1">#REF!</definedName>
    <definedName name="Name">Lookup!$I$2:$I$249</definedName>
    <definedName name="NameList" localSheetId="3">OFFSET(#REF!,MATCH(#REF!,#REF!,0)-1,0,COUNTIF(#REF!,#REF!),1)</definedName>
    <definedName name="NameList" localSheetId="4">OFFSET(#REF!,MATCH(#REF!,#REF!,0)-1,0,COUNTIF(#REF!,#REF!),1)</definedName>
    <definedName name="NameList" localSheetId="1">OFFSET(#REF!,MATCH(#REF!,#REF!,0)-1,0,COUNTIF(#REF!,#REF!),1)</definedName>
    <definedName name="NameList">OFFSET(     Lookup!$I$2,     MATCH(INDIRECT("Master!$H"&amp;ROW()), Lookup!$K$2:$K$504, 0)-1,     0,     COUNTIF(Lookup!$K$2:$K$504, INDIRECT("Master!$H"&amp;ROW())),     1 )</definedName>
    <definedName name="NameListMatrix" localSheetId="3">OFFSET(#REF!, MATCH(#REF!,#REF!, 0)-1, 0, COUNTIF(#REF!,#REF!), 1)</definedName>
    <definedName name="NameListMatrix" localSheetId="4">OFFSET(#REF!, MATCH(#REF!,#REF!, 0)-1, 0, COUNTIF(#REF!,#REF!), 1)</definedName>
    <definedName name="NameListMatrix" localSheetId="1">OFFSET(#REF!, MATCH(#REF!,#REF!, 0)-1, 0, COUNTIF(#REF!,#REF!), 1)</definedName>
    <definedName name="NameListMatrix">OFFSET(Lookup!$I$2, MATCH('Template - Matrix'!$B$5, Lookup!$K:$K, 0)-1, 0, COUNTIF(Lookup!$K:$K, 'Template - Matrix'!$B$5), 1)</definedName>
    <definedName name="PartnershipList" localSheetId="3">#REF!</definedName>
    <definedName name="PartnershipList" localSheetId="4">#REF!</definedName>
    <definedName name="PartnershipList" localSheetId="1">#REF!</definedName>
    <definedName name="PartnershipList">Lookup!$G$2:$G$6</definedName>
    <definedName name="Position" localSheetId="3">#REF!</definedName>
    <definedName name="Position" localSheetId="4">#REF!</definedName>
    <definedName name="Position" localSheetId="1">#REF!</definedName>
    <definedName name="Position">#REF!</definedName>
    <definedName name="PositionList" localSheetId="3">#REF!</definedName>
    <definedName name="PositionList" localSheetId="4">#REF!</definedName>
    <definedName name="PositionList" localSheetId="1">#REF!</definedName>
    <definedName name="PositionList">Lookup!$C$2:$C$9</definedName>
    <definedName name="_xlnm.Print_Area" localSheetId="3">'CREW EXPIRY DATES'!$I$11:$AZ$55</definedName>
    <definedName name="_xlnm.Print_Area" localSheetId="4">Template!$M$15:$BC$37</definedName>
    <definedName name="_xlnm.Print_Area" localSheetId="5">'Template - Matrix'!$I$1:$AZ$38</definedName>
    <definedName name="_xlnm.Print_Area" localSheetId="1">'Template -Matrix Archive'!$M$15:$BC$37</definedName>
    <definedName name="Reference" localSheetId="3">#REF!</definedName>
    <definedName name="Reference" localSheetId="4">#REF!</definedName>
    <definedName name="Reference" localSheetId="1">#REF!</definedName>
    <definedName name="Reference">Lookup!$E$2:$E$20</definedName>
    <definedName name="ReferenceList" localSheetId="3">OFFSET(#REF!,MATCH(#REF!,#REF!,0)-1,0,COUNTIF(#REF!,#REF!),1)</definedName>
    <definedName name="ReferenceList" localSheetId="4">OFFSET(#REF!,MATCH(#REF!,#REF!,0)-1,0,COUNTIF(#REF!,#REF!),1)</definedName>
    <definedName name="ReferenceList" localSheetId="1">OFFSET(#REF!,MATCH(#REF!,#REF!,0)-1,0,COUNTIF(#REF!,#REF!),1)</definedName>
    <definedName name="ReferenceList">OFFSET(     Lookup!$E$2,     MATCH(INDIRECT("Master!L" &amp; ROW()), Lookup!$D$2:$D$20, 0) - 1,     0,     COUNTIF(Lookup!$D$2:$D$20, INDIRECT("Master!L" &amp; ROW())),     1 )</definedName>
    <definedName name="SamNo" localSheetId="3">#REF!</definedName>
    <definedName name="SamNo" localSheetId="4">#REF!</definedName>
    <definedName name="SamNo" localSheetId="1">#REF!</definedName>
    <definedName name="SamNo">Lookup!$J$2:$J$249</definedName>
    <definedName name="Shift">Lookup!$B$2:$B$3</definedName>
    <definedName name="Shift_1">#REF!</definedName>
    <definedName name="ShiftList" localSheetId="3">OFFSET(#REF!,MATCH(#REF!,#REF!,0)-1,0,COUNTIF(#REF!,#REF!),1)</definedName>
    <definedName name="ShiftList" localSheetId="4">OFFSET(#REF!,MATCH(#REF!,#REF!,0)-1,0,COUNTIF(#REF!,#REF!),1)</definedName>
    <definedName name="ShiftList" localSheetId="1">OFFSET(#REF!,MATCH(#REF!,#REF!,0)-1,0,COUNTIF(#REF!,#REF!),1)</definedName>
    <definedName name="ShiftList">OFFSET(     Lookup!$F$2,     MATCH(INDIRECT("Master!L" &amp; ROW()), Lookup!$D$2:$D$20, 0) - 1,     0,     COUNTIF(Lookup!$D$2:$D$20, INDIRECT("Master!L" &amp; ROW())),     1 )</definedName>
    <definedName name="Status" localSheetId="3">#REF!</definedName>
    <definedName name="Status" localSheetId="4">#REF!</definedName>
    <definedName name="Status" localSheetId="1">#REF!</definedName>
    <definedName name="Status">Lookup!$T$2:$T$8</definedName>
    <definedName name="TMItem" localSheetId="3">#REF!</definedName>
    <definedName name="TMItem" localSheetId="4">#REF!</definedName>
    <definedName name="TMItem" localSheetId="1">#REF!</definedName>
    <definedName name="TMItem">Lookup!$A$2:$A$60</definedName>
    <definedName name="Type" localSheetId="3">#REF!</definedName>
    <definedName name="Type" localSheetId="4">#REF!</definedName>
    <definedName name="Type" localSheetId="1">#REF!</definedName>
    <definedName name="Type">Lookup!$R$2:$R$6</definedName>
    <definedName name="Vessel" localSheetId="3">#REF!</definedName>
    <definedName name="Vessel" localSheetId="4">#REF!</definedName>
    <definedName name="Vessel" localSheetId="1">#REF!</definedName>
    <definedName name="Vessel">Lookup!$H$2:$H$6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39" l="1"/>
  <c r="F37" i="39"/>
  <c r="G36" i="39"/>
  <c r="F36" i="39"/>
  <c r="G35" i="39"/>
  <c r="F35" i="39"/>
  <c r="G34" i="39"/>
  <c r="F34" i="39"/>
  <c r="G33" i="39"/>
  <c r="F33" i="39"/>
  <c r="G32" i="39"/>
  <c r="F32" i="39"/>
  <c r="G31" i="39"/>
  <c r="F31" i="39"/>
  <c r="G30" i="39"/>
  <c r="F30" i="39"/>
  <c r="G29" i="39"/>
  <c r="F29" i="39"/>
  <c r="G28" i="39"/>
  <c r="F28" i="39"/>
  <c r="G27" i="39"/>
  <c r="F27" i="39"/>
  <c r="G26" i="39"/>
  <c r="F26" i="39"/>
  <c r="G25" i="39"/>
  <c r="F25" i="39"/>
  <c r="G24" i="39"/>
  <c r="F24" i="39"/>
  <c r="G23" i="39"/>
  <c r="F23" i="39"/>
  <c r="G22" i="39"/>
  <c r="F22" i="39"/>
  <c r="G21" i="39"/>
  <c r="F21" i="39"/>
  <c r="G20" i="39"/>
  <c r="F20" i="39"/>
  <c r="J19" i="39"/>
  <c r="G19" i="39"/>
  <c r="F19" i="39"/>
  <c r="F19" i="35" l="1"/>
  <c r="G19" i="35"/>
  <c r="F20" i="35"/>
  <c r="G20" i="35"/>
  <c r="F21" i="35"/>
  <c r="G21" i="35"/>
  <c r="F22" i="35"/>
  <c r="G22" i="35"/>
  <c r="F23" i="35"/>
  <c r="G23" i="35"/>
  <c r="F24" i="35"/>
  <c r="G24" i="35"/>
  <c r="F25" i="35"/>
  <c r="G25" i="35"/>
  <c r="F26" i="35"/>
  <c r="G26" i="35"/>
  <c r="F27" i="35"/>
  <c r="G27" i="35"/>
  <c r="F28" i="35"/>
  <c r="G28" i="35"/>
  <c r="F29" i="35"/>
  <c r="G29" i="35"/>
  <c r="F30" i="35"/>
  <c r="G30" i="35"/>
  <c r="F31" i="35"/>
  <c r="G31" i="35"/>
  <c r="F32" i="35"/>
  <c r="G32" i="35"/>
  <c r="F33" i="35"/>
  <c r="G33" i="35"/>
  <c r="F34" i="35"/>
  <c r="G34" i="35"/>
  <c r="F35" i="35"/>
  <c r="G35" i="35"/>
  <c r="F36" i="35"/>
  <c r="G36" i="35"/>
  <c r="F37" i="35"/>
  <c r="G37" i="35"/>
  <c r="B6" i="11" l="1" a="1"/>
  <c r="B8" i="11" a="1"/>
  <c r="F24" i="11" l="1"/>
  <c r="E17" i="11"/>
  <c r="E16" i="11"/>
  <c r="F17" i="11"/>
  <c r="F18" i="11"/>
  <c r="F19" i="11"/>
  <c r="F20" i="11"/>
  <c r="F21" i="11"/>
  <c r="F22" i="11"/>
  <c r="F23" i="11"/>
  <c r="F25" i="11"/>
  <c r="F26" i="11"/>
  <c r="F27" i="11"/>
  <c r="F28" i="11"/>
  <c r="F29" i="11"/>
  <c r="F30" i="11"/>
  <c r="F31" i="11"/>
  <c r="F32" i="11"/>
  <c r="F33" i="11"/>
  <c r="F34" i="11"/>
  <c r="F16" i="11"/>
  <c r="E18" i="11"/>
  <c r="E19" i="11"/>
  <c r="E20" i="11"/>
  <c r="E21" i="11"/>
  <c r="E22" i="11"/>
  <c r="E23" i="11"/>
  <c r="E24" i="11"/>
  <c r="E25" i="11"/>
  <c r="E26" i="11"/>
  <c r="E27" i="11"/>
  <c r="E28" i="11"/>
  <c r="E29" i="11"/>
  <c r="E30" i="11"/>
  <c r="E31" i="11"/>
  <c r="E32" i="11"/>
  <c r="E33" i="11"/>
  <c r="E34" i="11"/>
  <c r="J53" i="11"/>
  <c r="J51" i="11"/>
  <c r="J49" i="11"/>
  <c r="J47" i="11"/>
  <c r="J45" i="11"/>
  <c r="J43" i="11"/>
  <c r="E28" i="7"/>
  <c r="E29" i="7"/>
  <c r="E30" i="7"/>
  <c r="E27" i="7"/>
  <c r="E24" i="7"/>
  <c r="E25" i="7"/>
  <c r="E26" i="7"/>
  <c r="E23" i="7"/>
  <c r="G28" i="11" l="1"/>
  <c r="G29" i="11"/>
  <c r="G17" i="11"/>
  <c r="G27" i="11"/>
  <c r="G18" i="11"/>
  <c r="G30" i="11"/>
  <c r="G19" i="11"/>
  <c r="G31" i="11"/>
  <c r="G32" i="11"/>
  <c r="G24" i="11"/>
  <c r="G26" i="11"/>
  <c r="G20" i="11"/>
  <c r="G21" i="11"/>
  <c r="G33" i="11"/>
  <c r="G22" i="11"/>
  <c r="G34" i="11"/>
  <c r="G25" i="11"/>
  <c r="G23" i="11"/>
  <c r="G16" i="11"/>
  <c r="B8" i="11"/>
  <c r="B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tc={4E7CC224-B8D7-4AF7-B972-B5C42A28053B}</author>
    <author>tc={406D5BAE-0089-4C47-8B31-2CBE46299B7A}</author>
  </authors>
  <commentList>
    <comment ref="G27" authorId="0" shapeId="0" xr:uid="{4E7CC224-B8D7-4AF7-B972-B5C42A28053B}">
      <text>
        <t>[Threaded comment]
Your version of Excel allows you to read this threaded comment; however, any edits to it will get removed if the file is opened in a newer version of Excel. Learn more: https://go.microsoft.com/fwlink/?linkid=870924
Comment:
    Master 500GT</t>
      </text>
    </comment>
    <comment ref="T51" authorId="1" shapeId="0" xr:uid="{406D5BAE-0089-4C47-8B31-2CBE46299B7A}">
      <text>
        <t>[Threaded comment]
Your version of Excel allows you to read this threaded comment; however, any edits to it will get removed if the file is opened in a newer version of Excel. Learn more: https://go.microsoft.com/fwlink/?linkid=870924
Comment:
    NOT AMSA ENDORSED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tc={54DCFCBA-DA69-4D8E-BA42-3CAACD289B09}</author>
    <author>tc={CFD163E1-B985-4F05-86D6-9A7CFEDB1C47}</author>
    <author>tc={E1AFF393-77EE-4A59-AB5E-32E746147D38}</author>
    <author>tc={0E9E2492-E4A4-46D2-AC0A-3AC9E7752001}</author>
    <author>tc={90894E76-CD52-47BF-A5BF-CF85C5B5E045}</author>
    <author>tc={12F9A0D9-9AB0-44D1-823C-1E9FA7A8B0FD}</author>
    <author>tc={BA7D5B4F-FCBC-4A3B-99FE-C5D426DFE7AD}</author>
    <author>tc={10FAF8FC-62E8-4683-AC47-0E254A28A7F3}</author>
  </authors>
  <commentList>
    <comment ref="X9" authorId="0" shapeId="0" xr:uid="{54DCFCBA-DA69-4D8E-BA42-3CAACD289B09}">
      <text>
        <t>[Threaded comment]
Your version of Excel allows you to read this threaded comment; however, any edits to it will get removed if the file is opened in a newer version of Excel. Learn more: https://go.microsoft.com/fwlink/?linkid=870924
Comment:
    AMSA FRC Endorsement or FRC Course Completion?</t>
      </text>
    </comment>
    <comment ref="AI9" authorId="1" shapeId="0" xr:uid="{CFD163E1-B985-4F05-86D6-9A7CFEDB1C47}">
      <text>
        <t>[Threaded comment]
Your version of Excel allows you to read this threaded comment; however, any edits to it will get removed if the file is opened in a newer version of Excel. Learn more: https://go.microsoft.com/fwlink/?linkid=870924
Comment:
    This, I believe, is the theory PPA exam that the Master / Mate needs to complete to be issued a PEC along with the PEC runs.  6 Month limit and not a SW Phase 1 matter</t>
      </text>
    </comment>
    <comment ref="AL9" authorId="2" shapeId="0" xr:uid="{E1AFF393-77EE-4A59-AB5E-32E746147D38}">
      <text>
        <t>[Threaded comment]
Your version of Excel allows you to read this threaded comment; however, any edits to it will get removed if the file is opened in a newer version of Excel. Learn more: https://go.microsoft.com/fwlink/?linkid=870924
Comment:
    There are two Phase 4s: 
Phase 4A - ASD tug driving + In &amp; Out of the Notch + Connecting tow over the tug’s stern to the ATB’s bow.
Phase 4B - ATB driving including berthing &amp; sailing from MRLT &amp; OGV + Pilbara Ports’ PEC.</t>
      </text>
    </comment>
    <comment ref="AM9" authorId="3" shapeId="0" xr:uid="{0E9E2492-E4A4-46D2-AC0A-3AC9E7752001}">
      <text>
        <t>[Threaded comment]
Your version of Excel allows you to read this threaded comment; however, any edits to it will get removed if the file is opened in a newer version of Excel. Learn more: https://go.microsoft.com/fwlink/?linkid=870924
Comment:
    Is the HRW Simulator Phase 5a?</t>
      </text>
    </comment>
    <comment ref="AN9" authorId="4" shapeId="0" xr:uid="{90894E76-CD52-47BF-A5BF-CF85C5B5E045}">
      <text>
        <t>[Threaded comment]
Your version of Excel allows you to read this threaded comment; however, any edits to it will get removed if the file is opened in a newer version of Excel. Learn more: https://go.microsoft.com/fwlink/?linkid=870924
Comment:
    Is this the Day and night Passing training?</t>
      </text>
    </comment>
    <comment ref="BM15" authorId="5" shapeId="0" xr:uid="{12F9A0D9-9AB0-44D1-823C-1E9FA7A8B0FD}">
      <text>
        <t>[Threaded comment]
Your version of Excel allows you to read this threaded comment; however, any edits to it will get removed if the file is opened in a newer version of Excel. Learn more: https://go.microsoft.com/fwlink/?linkid=870924
Comment:
    Exempt until DDMar
Reply:
    DUE 19/3/26</t>
      </text>
    </comment>
    <comment ref="AO16" authorId="6" shapeId="0" xr:uid="{BA7D5B4F-FCBC-4A3B-99FE-C5D426DFE7AD}">
      <text>
        <t>[Threaded comment]
Your version of Excel allows you to read this threaded comment; however, any edits to it will get removed if the file is opened in a newer version of Excel. Learn more: https://go.microsoft.com/fwlink/?linkid=870924
Comment:
    within 6months</t>
      </text>
    </comment>
    <comment ref="AO17" authorId="7" shapeId="0" xr:uid="{10FAF8FC-62E8-4683-AC47-0E254A28A7F3}">
      <text>
        <t>[Threaded comment]
Your version of Excel allows you to read this threaded comment; however, any edits to it will get removed if the file is opened in a newer version of Excel. Learn more: https://go.microsoft.com/fwlink/?linkid=870924
Comment:
    within 6months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<sst xmlns="http://schemas.openxmlformats.org/spreadsheetml/2006/main" count="3749" uniqueCount="568">
  <si>
    <t xml:space="preserve">Spreadsheet Tab Overview: </t>
  </si>
  <si>
    <t>Instruction Sheet</t>
  </si>
  <si>
    <t>Overview of the process and guidance on field input requirements</t>
  </si>
  <si>
    <t>Master</t>
  </si>
  <si>
    <t>Master sheet to be used for requests</t>
  </si>
  <si>
    <t>Template Matrix</t>
  </si>
  <si>
    <t>Sheet to be used for providing Crew Change compliance matrix</t>
  </si>
  <si>
    <t>Crew Change Dates</t>
  </si>
  <si>
    <t>info page containing crew change dates</t>
  </si>
  <si>
    <t>Position Reference</t>
  </si>
  <si>
    <t>info page containing position reference guidance</t>
  </si>
  <si>
    <t>ID# Convention</t>
  </si>
  <si>
    <t>info page on naming convention to use when creating ID # on Master tab column A "ID #"</t>
  </si>
  <si>
    <t>Instructions</t>
  </si>
  <si>
    <t>Master:</t>
  </si>
  <si>
    <t xml:space="preserve">On tab Master work from left to right starting in column B 'Status'. Use the legend below to check which fields you need to fill out. </t>
  </si>
  <si>
    <t>Legend for Master tab</t>
  </si>
  <si>
    <t>Person entering exemption/query to input</t>
  </si>
  <si>
    <t>Portways Input Field</t>
  </si>
  <si>
    <t>MRL Input Field</t>
  </si>
  <si>
    <t>Calculated field -do not input</t>
  </si>
  <si>
    <t>Field not required - do not input</t>
  </si>
  <si>
    <t>Master Tab Column Information</t>
  </si>
  <si>
    <t>Column</t>
  </si>
  <si>
    <t>Field Type</t>
  </si>
  <si>
    <t>Field Input</t>
  </si>
  <si>
    <t>Description</t>
  </si>
  <si>
    <t>ID#</t>
  </si>
  <si>
    <t>Free Text</t>
  </si>
  <si>
    <t xml:space="preserve">see tab naming convention </t>
  </si>
  <si>
    <t>Create ID for request based on naming convention guidance</t>
  </si>
  <si>
    <t>Status</t>
  </si>
  <si>
    <t>Dropdown</t>
  </si>
  <si>
    <t>Open - PW</t>
  </si>
  <si>
    <t>Item open awaiting action from PW</t>
  </si>
  <si>
    <t>Open - MRL</t>
  </si>
  <si>
    <t>Item open awaiting action from MRL</t>
  </si>
  <si>
    <t>Closed - PW</t>
  </si>
  <si>
    <t>Item closed by MRL</t>
  </si>
  <si>
    <t>Closed - MRL</t>
  </si>
  <si>
    <t>Item closed by PW</t>
  </si>
  <si>
    <t>Type</t>
  </si>
  <si>
    <t>Exemption Request - PW</t>
  </si>
  <si>
    <t>Exemption requested by PW</t>
  </si>
  <si>
    <t>Exemption Request - MRL Query</t>
  </si>
  <si>
    <t>Exemption requested by PW following an MRL Query</t>
  </si>
  <si>
    <t>MRL Query</t>
  </si>
  <si>
    <t>Query submitted by MRL for PW Action</t>
  </si>
  <si>
    <t>PW Query</t>
  </si>
  <si>
    <t xml:space="preserve">Query submitted by PW for MRL info only </t>
  </si>
  <si>
    <t>Date Exemption Requested</t>
  </si>
  <si>
    <t>Date Input</t>
  </si>
  <si>
    <t>Enter the date you submit the exemption request via email notification</t>
  </si>
  <si>
    <t>Date Query PW</t>
  </si>
  <si>
    <t>Enter the date you submit the query via email notification</t>
  </si>
  <si>
    <t>Date Query MRL</t>
  </si>
  <si>
    <t>Closeout Date</t>
  </si>
  <si>
    <t>Enter the date the action is closed out via email notification</t>
  </si>
  <si>
    <t>Partnership</t>
  </si>
  <si>
    <t>Select the relevant partnership from the dropdown</t>
  </si>
  <si>
    <t>Vessel</t>
  </si>
  <si>
    <t>Calculated column</t>
  </si>
  <si>
    <t>Automatic field based on partnership inputted in previous cell</t>
  </si>
  <si>
    <t>Name</t>
  </si>
  <si>
    <t>Select the relevant name from the dropdown</t>
  </si>
  <si>
    <t>Sam #</t>
  </si>
  <si>
    <t>Automatic field based on name inputted in previous cell</t>
  </si>
  <si>
    <t>Position</t>
  </si>
  <si>
    <t>Select the relevant MRL Operational Manning position from the dropdown</t>
  </si>
  <si>
    <t>Dropdown - dependent</t>
  </si>
  <si>
    <t>see tab position reference</t>
  </si>
  <si>
    <t>Select the relevant MRL Operational Manning position reference number from the dropdown. This field will restrict based on the position selected in previous position column. See tab Position Reference for overview of position reference assignments by position</t>
  </si>
  <si>
    <t>Shift</t>
  </si>
  <si>
    <t>Automatic field based on the position reference entered</t>
  </si>
  <si>
    <t>Training Matrix Title</t>
  </si>
  <si>
    <t>Select the relevant Training Matrix item from the dropdown</t>
  </si>
  <si>
    <t>Effective From</t>
  </si>
  <si>
    <t>Enter the date you request the exemption to start from</t>
  </si>
  <si>
    <t>CC Reference</t>
  </si>
  <si>
    <t>see tab crew change dates</t>
  </si>
  <si>
    <t>Automatic field based on Effective From date entered in previous column. See tab Crew Change Dates for overview of Crew change periods.</t>
  </si>
  <si>
    <t>Effective To</t>
  </si>
  <si>
    <t xml:space="preserve">Enter the date you request the exemption to end on. This field will not let you Input a date that exceeds the crew change period. </t>
  </si>
  <si>
    <t>Booking Confirmation Date</t>
  </si>
  <si>
    <t>Input the date course has been booked to rectify compliance</t>
  </si>
  <si>
    <t>Application Lodgement Date</t>
  </si>
  <si>
    <t>Input the date application for cert/qual was lodged</t>
  </si>
  <si>
    <t>PW Notes</t>
  </si>
  <si>
    <t>Input comment if relevant or N/A</t>
  </si>
  <si>
    <t>&lt; Start Here</t>
  </si>
  <si>
    <t>Crew Change</t>
  </si>
  <si>
    <t/>
  </si>
  <si>
    <t>Crew Change From</t>
  </si>
  <si>
    <t>Crew Change To</t>
  </si>
  <si>
    <t xml:space="preserve">Legend: </t>
  </si>
  <si>
    <t>M</t>
  </si>
  <si>
    <t>Mandatory</t>
  </si>
  <si>
    <t>Mˣ</t>
  </si>
  <si>
    <t>Mandatory if applicable — see notes below</t>
  </si>
  <si>
    <t>R</t>
  </si>
  <si>
    <t>Recommended</t>
  </si>
  <si>
    <t>Not Required</t>
  </si>
  <si>
    <t>From Date</t>
  </si>
  <si>
    <t>To Date</t>
  </si>
  <si>
    <t>Comments</t>
  </si>
  <si>
    <t>1. Qualification</t>
  </si>
  <si>
    <t>2. Vessel Specific</t>
  </si>
  <si>
    <t>3. Project Specific</t>
  </si>
  <si>
    <t>4. Master Specific</t>
  </si>
  <si>
    <t>5. Cargo System</t>
  </si>
  <si>
    <t>6. High Risk Work Licence (HRWL)</t>
  </si>
  <si>
    <t>7. Permit to Work</t>
  </si>
  <si>
    <t>8. Vessel Induction</t>
  </si>
  <si>
    <t>9. Project Induction</t>
  </si>
  <si>
    <t>QL-01</t>
  </si>
  <si>
    <t>QL-02</t>
  </si>
  <si>
    <t>QL-03</t>
  </si>
  <si>
    <t>QL-04</t>
  </si>
  <si>
    <t>QL-05</t>
  </si>
  <si>
    <t>QL-06</t>
  </si>
  <si>
    <t>QL-07</t>
  </si>
  <si>
    <t>QL-08</t>
  </si>
  <si>
    <t>QL-09</t>
  </si>
  <si>
    <t>QL-10</t>
  </si>
  <si>
    <t>QL-11</t>
  </si>
  <si>
    <t>QL-12</t>
  </si>
  <si>
    <t>QL-13</t>
  </si>
  <si>
    <t>QL-14</t>
  </si>
  <si>
    <t>QL-15</t>
  </si>
  <si>
    <t>QL-16</t>
  </si>
  <si>
    <t>QL-17</t>
  </si>
  <si>
    <t>QL-18</t>
  </si>
  <si>
    <t>QL-19</t>
  </si>
  <si>
    <t>QL-20</t>
  </si>
  <si>
    <t>VS-01</t>
  </si>
  <si>
    <t>VS-02</t>
  </si>
  <si>
    <t>VS-04</t>
  </si>
  <si>
    <t>VS-05</t>
  </si>
  <si>
    <t>PS-01</t>
  </si>
  <si>
    <t>PS-02</t>
  </si>
  <si>
    <t>MS-01</t>
  </si>
  <si>
    <t>MS-02</t>
  </si>
  <si>
    <t>MS-03</t>
  </si>
  <si>
    <t>MS-04</t>
  </si>
  <si>
    <t>MS-05</t>
  </si>
  <si>
    <t>MS-06</t>
  </si>
  <si>
    <t>MS-07</t>
  </si>
  <si>
    <t>CS-01</t>
  </si>
  <si>
    <t>CS-02</t>
  </si>
  <si>
    <t>CS-03</t>
  </si>
  <si>
    <t>CS-04</t>
  </si>
  <si>
    <t>HR-01</t>
  </si>
  <si>
    <t>HR-02</t>
  </si>
  <si>
    <t>PT-01</t>
  </si>
  <si>
    <t>PT-02</t>
  </si>
  <si>
    <t>PT-03</t>
  </si>
  <si>
    <t>VI-01</t>
  </si>
  <si>
    <t>VI-02</t>
  </si>
  <si>
    <t>PI-01</t>
  </si>
  <si>
    <t>PI-02</t>
  </si>
  <si>
    <t>PI-03</t>
  </si>
  <si>
    <t>PI-04</t>
  </si>
  <si>
    <t>PI-05</t>
  </si>
  <si>
    <t>PI-06</t>
  </si>
  <si>
    <t>PI-07</t>
  </si>
  <si>
    <t>PI-08</t>
  </si>
  <si>
    <t>PI-09</t>
  </si>
  <si>
    <t>PI-10</t>
  </si>
  <si>
    <t>Chief Mate</t>
  </si>
  <si>
    <t>Master &lt;100m NC</t>
  </si>
  <si>
    <t>Master &lt;45m NC</t>
  </si>
  <si>
    <t>Engineer Class 1, Chief Engineer (Motor)</t>
  </si>
  <si>
    <t>Engineer Class 2, Second Engineer, Chief Engineer &lt;3000 kW (Motor)</t>
  </si>
  <si>
    <t>Engineer Class 3 NC</t>
  </si>
  <si>
    <t>Master &lt;24m NC</t>
  </si>
  <si>
    <t>Marine Engine Driver Grade 2 NC</t>
  </si>
  <si>
    <t>Integrated Rating, Able Seafarer - Deck, Able Seafarer - Engineer (STCW Reg II/5 &amp; III/5)</t>
  </si>
  <si>
    <t xml:space="preserve">Marine Cook </t>
  </si>
  <si>
    <t>Certificate of Safety Training (COST)</t>
  </si>
  <si>
    <t>ECDIS - STCW Reg II/1 &amp; II/2</t>
  </si>
  <si>
    <t>GMDSS - STCW Reg IV/2</t>
  </si>
  <si>
    <t>Long Range Operator Certificate of Proficiency (LROCP)</t>
  </si>
  <si>
    <t>Fast Rescue Craft (FRC)</t>
  </si>
  <si>
    <t>AMSA Certificate of Medical Fitness - Form 303</t>
  </si>
  <si>
    <t>Provide First Aid - HLTAID011</t>
  </si>
  <si>
    <t>Adv Resuscitation and Oxygen Therapy - HLTIAD015</t>
  </si>
  <si>
    <t>Use hygienic practices for food safety - SITXFSA005</t>
  </si>
  <si>
    <t>Maritime Security Identification Card</t>
  </si>
  <si>
    <t>ECDIS Type Specific - Furuno ECDIS, FMD series</t>
  </si>
  <si>
    <t>Helm CONNECT - Crew Basic + Jobs</t>
  </si>
  <si>
    <t>MRN - Connecting Tug to Barge Articouple System</t>
  </si>
  <si>
    <t>MRN - Marine Fauna Observer</t>
  </si>
  <si>
    <t>MinRes - Mooring Operations Awareness - Onslow</t>
  </si>
  <si>
    <t>Phase 1 - ASD and ATB Theory &amp; Assessment</t>
  </si>
  <si>
    <t>Phase 2 - Simulator Training &amp; Practical Assessment ASD</t>
  </si>
  <si>
    <t>Phase 3 - Simulator Training &amp; Practical Assessment ATB</t>
  </si>
  <si>
    <t>Phase 4a - On-Water Training &amp; Practical Assessment ASD</t>
  </si>
  <si>
    <t>Phase 4b - On-Water Training &amp; Practical Assessment ATB</t>
  </si>
  <si>
    <t>Phase 5 - On-Water Passing in the LNG Swing Basin</t>
  </si>
  <si>
    <t>Pilbara Ports Port of Ashburton Pilotage Exemption Certificate</t>
  </si>
  <si>
    <t>MRN - EMS Tech Material Handling Systems - Single Point Loading System</t>
  </si>
  <si>
    <t>MRN - EMS Tech Material Handling Systems - Self-Unloading System</t>
  </si>
  <si>
    <t>Cargo System - Operator - Practical</t>
  </si>
  <si>
    <t>Cargo System - Trainer - Practical</t>
  </si>
  <si>
    <t>HRWL - Dogging - Dogging (DG)</t>
  </si>
  <si>
    <t>HRWL - Vehicle loading crane (CV)</t>
  </si>
  <si>
    <t>MinRes - Lock Holder, Isolation and Tagging</t>
  </si>
  <si>
    <t xml:space="preserve">Enter and Work in Confined Spaces - RIIWHS202E </t>
  </si>
  <si>
    <t xml:space="preserve">Work Safely at Heights - RIIWHS204E </t>
  </si>
  <si>
    <t>Onboard induction, familiarisation and training - Tug and Barge</t>
  </si>
  <si>
    <t>MRN - Tug and Barge Induction</t>
  </si>
  <si>
    <t>MinRes - Code of Conduct &amp; Business Integrity</t>
  </si>
  <si>
    <t>MinRes - Corporate Safety Induction</t>
  </si>
  <si>
    <t>MinRes - Hazard Report Card, Take Time &amp; JHA</t>
  </si>
  <si>
    <t>MinRes - Manual Handling</t>
  </si>
  <si>
    <t>MinRes - Operational Health and Safety Induction</t>
  </si>
  <si>
    <t>MinRes - Safe and Respectful Behaviours</t>
  </si>
  <si>
    <t>MinRes - Welcome to MinRes</t>
  </si>
  <si>
    <t>MinRes - Cybersecurity Awareness Training</t>
  </si>
  <si>
    <t>MinRes - Critical Risk Management (CRM) Awareness</t>
  </si>
  <si>
    <t>MinRes - Airborne Contaminant Awareness Training</t>
  </si>
  <si>
    <t>Shift 1</t>
  </si>
  <si>
    <t>M³</t>
  </si>
  <si>
    <t>M⁴</t>
  </si>
  <si>
    <t>Shift 2</t>
  </si>
  <si>
    <t>Chief Officer</t>
  </si>
  <si>
    <t>M⁶</t>
  </si>
  <si>
    <t>Second Mate</t>
  </si>
  <si>
    <t>Chief Engineer</t>
  </si>
  <si>
    <t>First Engineer</t>
  </si>
  <si>
    <t>Assistant Engineer</t>
  </si>
  <si>
    <t>GPH</t>
  </si>
  <si>
    <t>M¹</t>
  </si>
  <si>
    <t>M²</t>
  </si>
  <si>
    <t>M⁵</t>
  </si>
  <si>
    <t>M⁷</t>
  </si>
  <si>
    <t>Cook</t>
  </si>
  <si>
    <t>N/A</t>
  </si>
  <si>
    <t>Notes:</t>
  </si>
  <si>
    <t>Mandatory if applicable</t>
  </si>
  <si>
    <t>Training Matrix Item</t>
  </si>
  <si>
    <t>Required Number of Position to Hold Requirement</t>
  </si>
  <si>
    <t>QL-08 Master &lt;24m NC
QL-09 Marine Engine Driver Grade 2 NC
QL-10 Integrated Rating, Able Seafarer - Deck, Able Seafarer Engineer (STCW Reg II/5 &amp; III/5)</t>
  </si>
  <si>
    <t>Number Required</t>
  </si>
  <si>
    <t>All must hold at least one of the listed Certificates of Proficiency or Certificates of Competency</t>
  </si>
  <si>
    <t>QL-12 Certificate of Safety Training (COST)</t>
  </si>
  <si>
    <t>Required if GPH holds Master &lt;24 NC or Marine Engine Driver Grade 2 NC. All non STCW CoC/CoR must have COST.</t>
  </si>
  <si>
    <t>QL-16 Fast Rescue Craft (FRC)</t>
  </si>
  <si>
    <t>Any Position</t>
  </si>
  <si>
    <t>QL-19 Adv Resuscitation and Oxygen Therapy - HLTIAD015</t>
  </si>
  <si>
    <t>QL-20 Use hygienic practices for food safety - SITXFSA005</t>
  </si>
  <si>
    <t>HR-02 HRWL - Vehicle loading crane (CV)</t>
  </si>
  <si>
    <t>Chief Officer or Second Mate or Assistant Engineer or GPH</t>
  </si>
  <si>
    <t xml:space="preserve">PT-03 Work Safely at Heights - RIIWHS204E </t>
  </si>
  <si>
    <t>TMItem</t>
  </si>
  <si>
    <t>PositionList</t>
  </si>
  <si>
    <t>Reference</t>
  </si>
  <si>
    <t>PartnershipList</t>
  </si>
  <si>
    <t>SAM #</t>
  </si>
  <si>
    <t>ID #</t>
  </si>
  <si>
    <t>From</t>
  </si>
  <si>
    <t>To</t>
  </si>
  <si>
    <t>Category</t>
  </si>
  <si>
    <t>Norse Marine PTY LTD</t>
  </si>
  <si>
    <t>Airlie/Odin</t>
  </si>
  <si>
    <t>CC01</t>
  </si>
  <si>
    <t>Info Required</t>
  </si>
  <si>
    <t>Sindri</t>
  </si>
  <si>
    <t>Montebello/Balder</t>
  </si>
  <si>
    <t>CC02</t>
  </si>
  <si>
    <t>Admin Action</t>
  </si>
  <si>
    <t>Optima Marine Pty Ltd</t>
  </si>
  <si>
    <t>Rosily/Bessie</t>
  </si>
  <si>
    <t>CC03</t>
  </si>
  <si>
    <t>Exemption Request - UNI</t>
  </si>
  <si>
    <t>Open UNI</t>
  </si>
  <si>
    <t>United Marine Pty Ltd</t>
  </si>
  <si>
    <t>Coolibah/Thor</t>
  </si>
  <si>
    <t>CC04</t>
  </si>
  <si>
    <t>Approved</t>
  </si>
  <si>
    <t>Complete before joining</t>
  </si>
  <si>
    <t>ShipMates Maritime Group Pty Ltd</t>
  </si>
  <si>
    <t>Peak/Vidar</t>
  </si>
  <si>
    <t>CC05</t>
  </si>
  <si>
    <t>Not Approved</t>
  </si>
  <si>
    <t>Closed UNI</t>
  </si>
  <si>
    <t>Engineer Class 2, Second Engineer &lt;3000kW (Motor)</t>
  </si>
  <si>
    <t>CC06</t>
  </si>
  <si>
    <t>Close before joining</t>
  </si>
  <si>
    <t>CC07</t>
  </si>
  <si>
    <t>CC08</t>
  </si>
  <si>
    <t>CC09</t>
  </si>
  <si>
    <t>Integrated Rating, Able Seafarer - Deck, Able Seafarer Engine</t>
  </si>
  <si>
    <t>CC10</t>
  </si>
  <si>
    <t>CC11</t>
  </si>
  <si>
    <t>CC12</t>
  </si>
  <si>
    <t>ECDIS—STCW Reg II/1 &amp; II/2</t>
  </si>
  <si>
    <t>CC13</t>
  </si>
  <si>
    <t>CC14</t>
  </si>
  <si>
    <t>GMDSS—STCW Reg IV/2</t>
  </si>
  <si>
    <t>CC15</t>
  </si>
  <si>
    <t>Proficiency in fast rescue boats—STCW Regulation VI/2 Code A -VI/2 table A-VI/2-2</t>
  </si>
  <si>
    <t>CC16</t>
  </si>
  <si>
    <t>CC17</t>
  </si>
  <si>
    <t>CC18</t>
  </si>
  <si>
    <t>CC19</t>
  </si>
  <si>
    <t>CC20</t>
  </si>
  <si>
    <t>CC21</t>
  </si>
  <si>
    <t>Theory and user training in DUKC® Series 5</t>
  </si>
  <si>
    <t>CC22</t>
  </si>
  <si>
    <t>Helm Crew - Basic &amp; Crew Jobs</t>
  </si>
  <si>
    <t>CC23</t>
  </si>
  <si>
    <t>CC24</t>
  </si>
  <si>
    <t>LMS - MinRes - Mooring Operations Awareness - Onslow</t>
  </si>
  <si>
    <t>CC25</t>
  </si>
  <si>
    <t>MRN - Effective Use of Tugs for Pilot Exempt Masters</t>
  </si>
  <si>
    <t>CC26</t>
  </si>
  <si>
    <t>MRN - Good Practice Guideline for Pilots</t>
  </si>
  <si>
    <t>CC27</t>
  </si>
  <si>
    <t xml:space="preserve">ASD TUG HANDLING (TugSim) </t>
  </si>
  <si>
    <t>CC28</t>
  </si>
  <si>
    <t>ARTICULATED TUG &amp; BARGE (ATB) MANOEUVRING &amp; PEC (TugSim)</t>
  </si>
  <si>
    <t>CC29</t>
  </si>
  <si>
    <t>ASD/ATB MANOEUVRING, PORT OPERATIONS AND PEC TRAINING – Onboard</t>
  </si>
  <si>
    <t>CC30</t>
  </si>
  <si>
    <t>Passing in the LNG Swing Basin - Simulator</t>
  </si>
  <si>
    <t>Passing in the LNG Swing Basin - Onboard</t>
  </si>
  <si>
    <t>Materials Handling Equipment Training (SharePoint)</t>
  </si>
  <si>
    <t>MRN - Marine Contractor Health and Safety</t>
  </si>
  <si>
    <t>LMS - MinRes - Cybersecurity Awareness Training</t>
  </si>
  <si>
    <t>DO NOT USE 02/26 - Bridge Resource Management</t>
  </si>
  <si>
    <t>DO NOT USE 02/26 - Rigging</t>
  </si>
  <si>
    <t>ASANGE, Kyle</t>
  </si>
  <si>
    <t>a84343A</t>
  </si>
  <si>
    <t>ATHIHE, Savio</t>
  </si>
  <si>
    <t>a84346A</t>
  </si>
  <si>
    <t>AVASARALA, Srinivas</t>
  </si>
  <si>
    <t>a84445A</t>
  </si>
  <si>
    <t>AYERS, Christopher James</t>
  </si>
  <si>
    <t>a90100A</t>
  </si>
  <si>
    <t>BATERNA, Eric</t>
  </si>
  <si>
    <t>b93089B</t>
  </si>
  <si>
    <t>BAUTISTA, John Leo</t>
  </si>
  <si>
    <t>b91092B</t>
  </si>
  <si>
    <t>BOLAR, Guru</t>
  </si>
  <si>
    <t>b84421B</t>
  </si>
  <si>
    <t>BUTLER, David Robert</t>
  </si>
  <si>
    <t>b92561B</t>
  </si>
  <si>
    <t>CHALLIS, Thomas</t>
  </si>
  <si>
    <t>c84285C</t>
  </si>
  <si>
    <t>CLEMONES, Leon</t>
  </si>
  <si>
    <t>c91093C</t>
  </si>
  <si>
    <t>COOK, Jack</t>
  </si>
  <si>
    <t>c84297C</t>
  </si>
  <si>
    <t>DOUGLAS, Michael</t>
  </si>
  <si>
    <t>d84356D</t>
  </si>
  <si>
    <t>DWYER, Matthew</t>
  </si>
  <si>
    <t>d84488D</t>
  </si>
  <si>
    <t>ENGLISH, Jake</t>
  </si>
  <si>
    <t>e84431E</t>
  </si>
  <si>
    <t>ENGLISH, Zane</t>
  </si>
  <si>
    <t>e84357E</t>
  </si>
  <si>
    <t>EVANS, Brenton</t>
  </si>
  <si>
    <t>e91754E</t>
  </si>
  <si>
    <t>EVANS, Dylan</t>
  </si>
  <si>
    <t>e84287E</t>
  </si>
  <si>
    <t>FARMER, Evan</t>
  </si>
  <si>
    <t>f86373F</t>
  </si>
  <si>
    <t>HARRAGON, Peter</t>
  </si>
  <si>
    <t>h90533H</t>
  </si>
  <si>
    <t>HEARFIELD, Bradd</t>
  </si>
  <si>
    <t>h84290H</t>
  </si>
  <si>
    <t>JITENDER, Rohin</t>
  </si>
  <si>
    <t>j84281J</t>
  </si>
  <si>
    <t>JONES, Matthew James</t>
  </si>
  <si>
    <t>j83385J</t>
  </si>
  <si>
    <t>KUMARASINGHE, Chaminda Damith</t>
  </si>
  <si>
    <t>k95042K</t>
  </si>
  <si>
    <t>KEELEY, Finn</t>
  </si>
  <si>
    <t>k88211K</t>
  </si>
  <si>
    <t>KEOGH, Cornelius James</t>
  </si>
  <si>
    <t>k97556K</t>
  </si>
  <si>
    <t>KINGDON, Matthew</t>
  </si>
  <si>
    <t>k84420K</t>
  </si>
  <si>
    <t>KOCEINATURAGA, Clinton</t>
  </si>
  <si>
    <t>k84298K</t>
  </si>
  <si>
    <t>KUMAR, Preetham</t>
  </si>
  <si>
    <t>k83381K</t>
  </si>
  <si>
    <t>MACDONALD, Justin</t>
  </si>
  <si>
    <t xml:space="preserve">m99351M </t>
  </si>
  <si>
    <t>MACKNAMARA, Luke</t>
  </si>
  <si>
    <t>m84293M</t>
  </si>
  <si>
    <t>MACLURCAN, James</t>
  </si>
  <si>
    <t>m91753M</t>
  </si>
  <si>
    <t>MATA, Marlou</t>
  </si>
  <si>
    <t>m62159M</t>
  </si>
  <si>
    <t>MICHALZIC, Travis</t>
  </si>
  <si>
    <t>m94475M</t>
  </si>
  <si>
    <t>MILLER, Aaron</t>
  </si>
  <si>
    <t>m84345M</t>
  </si>
  <si>
    <t>MILLER, Jamie</t>
  </si>
  <si>
    <t>m84414M</t>
  </si>
  <si>
    <t>MISTRY, Sudhir</t>
  </si>
  <si>
    <t>m91780M</t>
  </si>
  <si>
    <t>MURUGESAN, Karthik</t>
  </si>
  <si>
    <t>m90534M</t>
  </si>
  <si>
    <t>NARAYANASAMY, Sankaramoorthy</t>
  </si>
  <si>
    <t>n84412N</t>
  </si>
  <si>
    <t>NUNEZ, Almer John Unabia</t>
  </si>
  <si>
    <t>n87044N</t>
  </si>
  <si>
    <t>OROSZ, Tamas</t>
  </si>
  <si>
    <t>o97557O</t>
  </si>
  <si>
    <t>OZHOGA, Andriy</t>
  </si>
  <si>
    <t>o84344O</t>
  </si>
  <si>
    <t>PATWARDHAN, Anand</t>
  </si>
  <si>
    <t>p84418P</t>
  </si>
  <si>
    <t>PEJIC, Anton</t>
  </si>
  <si>
    <t>p85920P</t>
  </si>
  <si>
    <t>ROGERS, Michael</t>
  </si>
  <si>
    <t>r83383R</t>
  </si>
  <si>
    <t>ROSE, Matthew</t>
  </si>
  <si>
    <t>r90898R</t>
  </si>
  <si>
    <t>RUBOCK, Zachary</t>
  </si>
  <si>
    <t>r84283R</t>
  </si>
  <si>
    <t>SITTIYOS, Kachin</t>
  </si>
  <si>
    <t>s84419S</t>
  </si>
  <si>
    <t>STEWART, Ryan</t>
  </si>
  <si>
    <t>s84589S</t>
  </si>
  <si>
    <t>TADIAMAN, Mark Jay</t>
  </si>
  <si>
    <t>t84295T</t>
  </si>
  <si>
    <t>TAPUAI, Mapu</t>
  </si>
  <si>
    <t>t84279T</t>
  </si>
  <si>
    <t>TYMOFEYEV, Arthur</t>
  </si>
  <si>
    <t>t83382T</t>
  </si>
  <si>
    <t>UOTA, Miyako</t>
  </si>
  <si>
    <t>u84292U</t>
  </si>
  <si>
    <t>WARHURST, Brent</t>
  </si>
  <si>
    <t>w84294W</t>
  </si>
  <si>
    <t>WITHARANA, Ruwan</t>
  </si>
  <si>
    <t>w83384W</t>
  </si>
  <si>
    <t>WRIGHT, Andrew</t>
  </si>
  <si>
    <t>w90518W</t>
  </si>
  <si>
    <t>Advanced Fire Fighting</t>
  </si>
  <si>
    <t>Y</t>
  </si>
  <si>
    <t>N</t>
  </si>
  <si>
    <t>?</t>
  </si>
  <si>
    <t>Chief Officer - Unlimited</t>
  </si>
  <si>
    <t>Chief Officer - 100m</t>
  </si>
  <si>
    <t xml:space="preserve"> k84420K</t>
  </si>
  <si>
    <t>y</t>
  </si>
  <si>
    <t>ASANGE,Kyle</t>
  </si>
  <si>
    <t>Crew Joining Matrix</t>
  </si>
  <si>
    <t>Legend</t>
  </si>
  <si>
    <t>Requirements to be confirmed in updated matrix</t>
  </si>
  <si>
    <t>Mandatory Requirement</t>
  </si>
  <si>
    <t>COMPETENT
DDMMYY</t>
  </si>
  <si>
    <t>Recommended Requirement</t>
  </si>
  <si>
    <t>Marine Order 71 – Certificate of Competency Master</t>
  </si>
  <si>
    <t>Marine Order 71 – Certificate of Competency Chief Mate</t>
  </si>
  <si>
    <t>Marine Order 505 – Certificate of Competency Master &lt;100m Near Coastal (NC)</t>
  </si>
  <si>
    <t>Marine Order 505 – Certificate of Competency Master &lt;45m Near Coastal (NC)</t>
  </si>
  <si>
    <t>Marine Order 72 – Certificate of Competency Engineer Class 1</t>
  </si>
  <si>
    <t>Marine Order 72 – Certificate of Competency Engineer Class 2</t>
  </si>
  <si>
    <t>Marine Order 505 – Certificate of Competency Engineer Class 3 Near Coastal (NC)</t>
  </si>
  <si>
    <t>Marine Order 505 – Certificate of Competency Master &lt;24m Near Coastal (NC)</t>
  </si>
  <si>
    <t>Marine Order 505 – Certificate of Competency Marine Engine Driver Grade 2 Near Coastal (NC)</t>
  </si>
  <si>
    <t>Marine Order 70 – Certificate of Proficiency Marine Cook</t>
  </si>
  <si>
    <t>Certificate of safety training (full course)—STCW Reg VI/1</t>
  </si>
  <si>
    <t>Marine Order 76 - Certificate of Medical Fitness (AMSA 303/ AMSA 1850?)</t>
  </si>
  <si>
    <t>HLTAID011 Provide first aid</t>
  </si>
  <si>
    <t>HLTAID015 Provide advanced resuscitation and oxygen therapy</t>
  </si>
  <si>
    <t>SITXFSA005 Use hygienic practices for food safety</t>
  </si>
  <si>
    <t>Phase 1a: ASD and ATB Theory Training/ MRN - Effective Use of Tugs for Pilot Exempt Masters</t>
  </si>
  <si>
    <t>Phase 1b: Pilbara Ports Authority (Port of Ashburton) Pilot
Exemption Certificate/ MRN - Effective Use of Tugs for Pilot Exempt Masters</t>
  </si>
  <si>
    <t>Phase 2: ASD Tug Handling</t>
  </si>
  <si>
    <t>Phase 3: Articulated Tug and Barge (ATB) Manoeuvring &amp; PEC</t>
  </si>
  <si>
    <t>Phase 4: ASD/ATB MANOEUVRING, PORT OPERATIONS AND PEC TRAINING</t>
  </si>
  <si>
    <t>Phase 5a: Channel Passing</t>
  </si>
  <si>
    <t>Phase 5b: Channel Passing</t>
  </si>
  <si>
    <t>ATB EMS Tech Cargo System Competence Assessment</t>
  </si>
  <si>
    <t>VOC Loading and discharging equipment</t>
  </si>
  <si>
    <t>High Risk Work License - Dogging (DG)</t>
  </si>
  <si>
    <t>High Risk Work License - Vehicle loading crane (CV)</t>
  </si>
  <si>
    <t>RIIWHS202E Enter and Work in Confined Spaces</t>
  </si>
  <si>
    <t>RIIWHS204E Work Safely at Heights</t>
  </si>
  <si>
    <t>Onboard induction, familiarisation and training</t>
  </si>
  <si>
    <t>Marine Order 71 – Certificate of Competency or Certificate of Recognition Master</t>
  </si>
  <si>
    <t>Marine Order 73 – Certificate of Proficiency Integrated Rating</t>
  </si>
  <si>
    <t>Marine Order 70 Certificate of Safety Training (COST)</t>
  </si>
  <si>
    <t>LMS - MRN - Connecting Tug to Barge Articouple Sys</t>
  </si>
  <si>
    <t>LMS - MinRes - Mooring Operations Awareness</t>
  </si>
  <si>
    <t>LMS - MRN - Effective Use of Tugs for Pilot Exempt</t>
  </si>
  <si>
    <t>LMS - MRN - Good Practice Guideline for Pilots</t>
  </si>
  <si>
    <t>Phase 5a: Channel Passing Sim</t>
  </si>
  <si>
    <t>Phase 5b: Channel Passing Onboard</t>
  </si>
  <si>
    <t>SharePoint Cargo Handling PowerPoint &amp; Quiz</t>
  </si>
  <si>
    <t>LMS - MRN - EMS Tech Mat Handling - Single Point</t>
  </si>
  <si>
    <t>LMS - MRN - EMS Tech Mat Handling - Self-Unloading</t>
  </si>
  <si>
    <t>LMS - MinRes - Lock Holder, Isolation and Tagging</t>
  </si>
  <si>
    <t>LMS - MRN - Tug and Barge Induction</t>
  </si>
  <si>
    <t>LMS - MRN - Marine Contractor Health and Safety</t>
  </si>
  <si>
    <t>LMS - MinRes - Operational Health and Safety Induc</t>
  </si>
  <si>
    <t>LMS - MinRes - Safe and Respectful Behaviours</t>
  </si>
  <si>
    <t>LMS - MinRes - Welcome to MinRes</t>
  </si>
  <si>
    <t>LMS - MinRes Code of Conduct &amp; Business Integrity</t>
  </si>
  <si>
    <t>LMS - MinRes Corporate Safety Induction</t>
  </si>
  <si>
    <t>LMS - MinRes Hazard ID, Take Time &amp; JHA Induction</t>
  </si>
  <si>
    <t>LMS - MinRes Manual Handling Induction</t>
  </si>
  <si>
    <t>LMS - CRM Awareness</t>
  </si>
  <si>
    <t>LMS - MinRes - Airborne Contaminant Awareness</t>
  </si>
  <si>
    <t>LMS - MRN - Marine Fauna Observer</t>
  </si>
  <si>
    <t>Qualifications</t>
  </si>
  <si>
    <t>Vessel Specific</t>
  </si>
  <si>
    <t>Master Specific</t>
  </si>
  <si>
    <t>Cargo System</t>
  </si>
  <si>
    <t>High Risk Work</t>
  </si>
  <si>
    <t>Permit to Work</t>
  </si>
  <si>
    <t>Vessel Induction</t>
  </si>
  <si>
    <t>Project Induction</t>
  </si>
  <si>
    <r>
      <t>M</t>
    </r>
    <r>
      <rPr>
        <b/>
        <vertAlign val="superscript"/>
        <sz val="10"/>
        <color rgb="FF000000"/>
        <rFont val="Century Gothic"/>
        <family val="2"/>
      </rPr>
      <t>3</t>
    </r>
  </si>
  <si>
    <r>
      <t>M</t>
    </r>
    <r>
      <rPr>
        <b/>
        <vertAlign val="superscript"/>
        <sz val="10"/>
        <color theme="1"/>
        <rFont val="Century Gothic"/>
        <family val="2"/>
      </rPr>
      <t>4</t>
    </r>
  </si>
  <si>
    <r>
      <t>M</t>
    </r>
    <r>
      <rPr>
        <b/>
        <vertAlign val="superscript"/>
        <sz val="10"/>
        <color theme="1"/>
        <rFont val="Century Gothic"/>
        <family val="2"/>
      </rPr>
      <t>6</t>
    </r>
  </si>
  <si>
    <r>
      <t>M</t>
    </r>
    <r>
      <rPr>
        <b/>
        <vertAlign val="superscript"/>
        <sz val="10"/>
        <color rgb="FF000000"/>
        <rFont val="Century Gothic"/>
        <family val="2"/>
      </rPr>
      <t>1</t>
    </r>
  </si>
  <si>
    <r>
      <t>M</t>
    </r>
    <r>
      <rPr>
        <b/>
        <vertAlign val="superscript"/>
        <sz val="10"/>
        <color rgb="FF000000"/>
        <rFont val="Century Gothic"/>
        <family val="2"/>
      </rPr>
      <t>2</t>
    </r>
  </si>
  <si>
    <r>
      <t>M</t>
    </r>
    <r>
      <rPr>
        <b/>
        <vertAlign val="superscript"/>
        <sz val="10"/>
        <color rgb="FF000000"/>
        <rFont val="Century Gothic"/>
        <family val="2"/>
      </rPr>
      <t>5</t>
    </r>
  </si>
  <si>
    <r>
      <t>M</t>
    </r>
    <r>
      <rPr>
        <b/>
        <vertAlign val="superscript"/>
        <sz val="10"/>
        <color theme="1"/>
        <rFont val="Century Gothic"/>
        <family val="2"/>
      </rPr>
      <t>7</t>
    </r>
  </si>
  <si>
    <t>#</t>
  </si>
  <si>
    <t>Master &lt;24m NC
Marine Engine Driver Grade 2 NC
Integrated Rating, Avle Seafarer - Deck, Able Seafarer Engineer</t>
  </si>
  <si>
    <t>Required if GPH holds Master &lt;24 NC or Marine Engine Driver Grade 2 NC must have COST</t>
  </si>
  <si>
    <t>Assistant Engineer or GPH</t>
  </si>
  <si>
    <t>.</t>
  </si>
  <si>
    <t>Note</t>
  </si>
  <si>
    <t>1200-0000</t>
  </si>
  <si>
    <t>0000-1200</t>
  </si>
  <si>
    <t>Position 15 can be Assistant Engineer or GPH</t>
  </si>
  <si>
    <t>Position 16 can be Assistant Engineer or GPH</t>
  </si>
  <si>
    <t>Create ID# Reference Naming Convention</t>
  </si>
  <si>
    <t>Tab Master ID# (Column A) create naming convention 
&gt; Partnership Abbreviation CC#-Ref #</t>
  </si>
  <si>
    <t>Partnership Abbreviation</t>
  </si>
  <si>
    <t>NOR</t>
  </si>
  <si>
    <t>SIN</t>
  </si>
  <si>
    <t>OPT</t>
  </si>
  <si>
    <t>UNI</t>
  </si>
  <si>
    <t>SMG</t>
  </si>
  <si>
    <t>CC #</t>
  </si>
  <si>
    <t>Example</t>
  </si>
  <si>
    <t>Get from Sheet Master Column Q - CC Reference. Note you will first need to fill in column P Effective From for this to populate</t>
  </si>
  <si>
    <t>Ref #</t>
  </si>
  <si>
    <t>Start at 01 for each CC#</t>
  </si>
  <si>
    <t>01</t>
  </si>
  <si>
    <t>02</t>
  </si>
  <si>
    <t>03</t>
  </si>
  <si>
    <t>04</t>
  </si>
  <si>
    <t>etc</t>
  </si>
  <si>
    <t>Worked Example</t>
  </si>
  <si>
    <t>Master ID# (Column A)</t>
  </si>
  <si>
    <t>Partnership Short</t>
  </si>
  <si>
    <t>Separator</t>
  </si>
  <si>
    <t>Number</t>
  </si>
  <si>
    <t xml:space="preserve"># ID </t>
  </si>
  <si>
    <t>-</t>
  </si>
  <si>
    <t>Shifts</t>
  </si>
  <si>
    <t>2400-1200</t>
  </si>
  <si>
    <t>AM</t>
  </si>
  <si>
    <t>1200-2400</t>
  </si>
  <si>
    <t>PM</t>
  </si>
  <si>
    <t>0600-1800</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</si>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</sst>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
    <numFmt numFmtId="165" formatCode="d/mm/yy;@"/>
  </numFmts>
  <fonts count="44">
    <font>
      <sz val="11"/>
      <color theme="1"/>
      <name val="Aptos Narrow"/>
      <family val="2"/>
      <scheme val="minor"/>
    </font>
    <font>
      <sz val="11"/>
      <color theme="1"/>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0"/>
      <color theme="1"/>
      <name val="Centu"/>
    </font>
    <font>
      <sz val="10"/>
      <name val="Arial"/>
      <family val="2"/>
    </font>
    <font>
      <sz val="10"/>
      <color theme="1"/>
      <name val="Arial"/>
      <family val="2"/>
    </font>
    <font>
      <sz val="11"/>
      <color indexed="62"/>
      <name val="Calibri"/>
      <family val="2"/>
    </font>
    <font>
      <sz val="11"/>
      <color rgb="FF000000"/>
      <name val="Calibri"/>
      <family val="2"/>
      <charset val="1"/>
    </font>
    <font>
      <sz val="11"/>
      <color theme="0"/>
      <name val="Calibri"/>
      <family val="2"/>
      <charset val="1"/>
    </font>
    <font>
      <sz val="10"/>
      <color theme="0"/>
      <name val="Arial"/>
      <family val="2"/>
    </font>
    <font>
      <sz val="11"/>
      <name val="Aptos Narrow"/>
      <family val="2"/>
      <scheme val="minor"/>
    </font>
    <font>
      <sz val="8"/>
      <name val="Aptos Narrow"/>
      <family val="2"/>
      <scheme val="minor"/>
    </font>
    <font>
      <b/>
      <sz val="10"/>
      <name val="Century Gothic"/>
      <family val="2"/>
    </font>
    <font>
      <sz val="10"/>
      <color theme="1"/>
      <name val="Century Gothic"/>
      <family val="2"/>
    </font>
    <font>
      <b/>
      <sz val="10"/>
      <color theme="1"/>
      <name val="Century Gothic"/>
      <family val="2"/>
    </font>
    <font>
      <b/>
      <sz val="10"/>
      <color theme="0"/>
      <name val="Century Gothic"/>
      <family val="2"/>
    </font>
    <font>
      <sz val="10"/>
      <name val="Century Gothic"/>
      <family val="2"/>
    </font>
    <font>
      <b/>
      <sz val="10"/>
      <color theme="0"/>
      <name val="Centu"/>
    </font>
    <font>
      <b/>
      <sz val="10"/>
      <color rgb="FF000000"/>
      <name val="Century Gothic"/>
      <family val="2"/>
    </font>
    <font>
      <b/>
      <vertAlign val="superscript"/>
      <sz val="10"/>
      <color rgb="FF000000"/>
      <name val="Century Gothic"/>
      <family val="2"/>
    </font>
    <font>
      <b/>
      <vertAlign val="superscript"/>
      <sz val="10"/>
      <color theme="1"/>
      <name val="Century Gothic"/>
      <family val="2"/>
    </font>
    <font>
      <b/>
      <sz val="10"/>
      <color rgb="FF3F3F76"/>
      <name val="Century Gothic"/>
      <family val="2"/>
    </font>
    <font>
      <b/>
      <sz val="11"/>
      <color theme="0"/>
      <name val="Century Gothic"/>
      <family val="2"/>
    </font>
    <font>
      <sz val="12"/>
      <color rgb="FF000000"/>
      <name val="Aptos"/>
      <family val="2"/>
    </font>
    <font>
      <sz val="10"/>
      <color rgb="FF000000"/>
      <name val="Century Gothic"/>
      <family val="2"/>
    </font>
    <font>
      <sz val="10"/>
      <color rgb="FF000000"/>
      <name val="Arial"/>
      <family val="2"/>
    </font>
    <font>
      <b/>
      <sz val="9"/>
      <name val="Century Gothic"/>
      <family val="2"/>
    </font>
    <font>
      <sz val="9"/>
      <color theme="1"/>
      <name val="Century Gothic"/>
      <family val="2"/>
    </font>
    <font>
      <b/>
      <sz val="12"/>
      <color theme="0"/>
      <name val="Centu"/>
    </font>
    <font>
      <b/>
      <sz val="14"/>
      <color theme="0"/>
      <name val="Centu"/>
    </font>
    <font>
      <b/>
      <sz val="11"/>
      <name val="Century Gothic"/>
      <family val="2"/>
    </font>
    <font>
      <sz val="11"/>
      <name val="Century Gothic"/>
      <family val="2"/>
    </font>
    <font>
      <b/>
      <sz val="12"/>
      <color theme="1"/>
      <name val="Century Gothic"/>
      <family val="2"/>
    </font>
    <font>
      <b/>
      <sz val="12"/>
      <name val="Century Gothic"/>
      <family val="2"/>
    </font>
    <font>
      <sz val="10"/>
      <color theme="1"/>
      <name val="Century Gothic"/>
      <family val="2"/>
    </font>
    <font>
      <sz val="10"/>
      <name val="Century Gothic"/>
      <family val="2"/>
    </font>
    <font>
      <u/>
      <sz val="11"/>
      <color theme="10"/>
      <name val="Aptos Narrow"/>
      <family val="2"/>
      <scheme val="minor"/>
    </font>
    <font>
      <sz val="11"/>
      <color theme="1"/>
      <name val="Century Gothic"/>
      <family val="2"/>
    </font>
    <font>
      <b/>
      <sz val="12"/>
      <color theme="0"/>
      <name val="Century Gothic"/>
      <family val="2"/>
    </font>
  </fonts>
  <fills count="32">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theme="4"/>
        <bgColor indexed="64"/>
      </patternFill>
    </fill>
    <fill>
      <patternFill patternType="solid">
        <fgColor rgb="FFFFFF00"/>
        <bgColor indexed="64"/>
      </patternFill>
    </fill>
    <fill>
      <patternFill patternType="solid">
        <fgColor indexed="47"/>
      </patternFill>
    </fill>
    <fill>
      <patternFill patternType="solid">
        <fgColor theme="2" tint="-9.9978637043366805E-2"/>
        <bgColor indexed="64"/>
      </patternFill>
    </fill>
    <fill>
      <patternFill patternType="solid">
        <fgColor theme="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2"/>
        <bgColor indexed="64"/>
      </patternFill>
    </fill>
    <fill>
      <patternFill patternType="solid">
        <fgColor theme="0"/>
        <bgColor indexed="64"/>
      </patternFill>
    </fill>
    <fill>
      <patternFill patternType="lightUp">
        <bgColor theme="2" tint="-9.9978637043366805E-2"/>
      </patternFill>
    </fill>
    <fill>
      <patternFill patternType="solid">
        <fgColor theme="6"/>
        <bgColor indexed="64"/>
      </patternFill>
    </fill>
    <fill>
      <patternFill patternType="solid">
        <fgColor theme="8"/>
        <bgColor indexed="64"/>
      </patternFill>
    </fill>
    <fill>
      <patternFill patternType="solid">
        <fgColor theme="7"/>
        <bgColor indexed="64"/>
      </patternFill>
    </fill>
    <fill>
      <patternFill patternType="solid">
        <fgColor rgb="FFE3E2DB"/>
        <bgColor indexed="64"/>
      </patternFill>
    </fill>
    <fill>
      <patternFill patternType="lightUp">
        <bgColor theme="7"/>
      </patternFill>
    </fill>
    <fill>
      <patternFill patternType="solid">
        <fgColor rgb="FF5FB3E4"/>
        <bgColor indexed="64"/>
      </patternFill>
    </fill>
    <fill>
      <patternFill patternType="solid">
        <fgColor theme="5"/>
        <bgColor indexed="64"/>
      </patternFill>
    </fill>
    <fill>
      <patternFill patternType="solid">
        <fgColor theme="4" tint="0.79998168889431442"/>
        <bgColor indexed="64"/>
      </patternFill>
    </fill>
    <fill>
      <patternFill patternType="solid">
        <fgColor rgb="FF4496AA"/>
        <bgColor indexed="64"/>
      </patternFill>
    </fill>
    <fill>
      <patternFill patternType="solid">
        <fgColor rgb="FF5FB3E3"/>
        <bgColor indexed="64"/>
      </patternFill>
    </fill>
    <fill>
      <patternFill patternType="solid">
        <fgColor rgb="FFE24353"/>
        <bgColor indexed="64"/>
      </patternFill>
    </fill>
    <fill>
      <patternFill patternType="solid">
        <fgColor rgb="FFB0D6DF"/>
        <bgColor indexed="64"/>
      </patternFill>
    </fill>
    <fill>
      <patternFill patternType="solid">
        <fgColor rgb="FFB1AF9C"/>
        <bgColor indexed="64"/>
      </patternFill>
    </fill>
    <fill>
      <patternFill patternType="solid">
        <fgColor rgb="FF8AC2D0"/>
        <bgColor indexed="64"/>
      </patternFill>
    </fill>
    <fill>
      <patternFill patternType="solid">
        <fgColor rgb="FF9FD0EE"/>
        <bgColor indexed="64"/>
      </patternFill>
    </fill>
    <fill>
      <patternFill patternType="solid">
        <fgColor rgb="FFEC828C"/>
        <bgColor indexed="64"/>
      </patternFill>
    </fill>
    <fill>
      <patternFill patternType="solid">
        <fgColor rgb="FFFFFFFF"/>
        <bgColor indexed="64"/>
      </patternFill>
    </fill>
  </fills>
  <borders count="68">
    <border>
      <left/>
      <right/>
      <top/>
      <bottom/>
      <diagonal/>
    </border>
    <border>
      <left style="thin">
        <color rgb="FF7F7F7F"/>
      </left>
      <right style="thin">
        <color rgb="FF7F7F7F"/>
      </right>
      <top style="thin">
        <color rgb="FF7F7F7F"/>
      </top>
      <bottom style="thin">
        <color rgb="FF7F7F7F"/>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s>
  <cellStyleXfs count="10">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9" fillId="0" borderId="0"/>
    <xf numFmtId="0" fontId="9" fillId="0" borderId="0"/>
    <xf numFmtId="0" fontId="1" fillId="0" borderId="0"/>
    <xf numFmtId="0" fontId="11" fillId="7" borderId="8" applyNumberFormat="0" applyAlignment="0" applyProtection="0"/>
    <xf numFmtId="0" fontId="12" fillId="0" borderId="0"/>
    <xf numFmtId="0" fontId="41" fillId="0" borderId="0" applyNumberFormat="0" applyFill="0" applyBorder="0" applyAlignment="0" applyProtection="0"/>
  </cellStyleXfs>
  <cellXfs count="459">
    <xf numFmtId="0" fontId="0" fillId="0" borderId="0" xfId="0"/>
    <xf numFmtId="0" fontId="0" fillId="0" borderId="4" xfId="0" applyBorder="1"/>
    <xf numFmtId="0" fontId="0" fillId="0" borderId="5" xfId="0" applyBorder="1"/>
    <xf numFmtId="0" fontId="0" fillId="0" borderId="6" xfId="0" applyBorder="1"/>
    <xf numFmtId="0" fontId="5" fillId="5" borderId="3" xfId="0" applyFont="1" applyFill="1" applyBorder="1"/>
    <xf numFmtId="0" fontId="7" fillId="5" borderId="0" xfId="0" applyFont="1" applyFill="1"/>
    <xf numFmtId="0" fontId="8" fillId="0" borderId="7" xfId="0" applyFont="1" applyBorder="1" applyAlignment="1">
      <alignment horizontal="left"/>
    </xf>
    <xf numFmtId="0" fontId="8" fillId="0" borderId="7" xfId="0" applyFont="1" applyBorder="1" applyAlignment="1">
      <alignment horizontal="left" vertical="center" wrapText="1"/>
    </xf>
    <xf numFmtId="0" fontId="0" fillId="0" borderId="7" xfId="0" applyBorder="1"/>
    <xf numFmtId="0" fontId="0" fillId="0" borderId="7" xfId="0" applyBorder="1" applyAlignment="1">
      <alignment horizontal="center"/>
    </xf>
    <xf numFmtId="0" fontId="9" fillId="0" borderId="7" xfId="0" applyFont="1" applyBorder="1"/>
    <xf numFmtId="14" fontId="0" fillId="0" borderId="0" xfId="0" applyNumberFormat="1"/>
    <xf numFmtId="0" fontId="13" fillId="9" borderId="7" xfId="8" applyFont="1" applyFill="1" applyBorder="1"/>
    <xf numFmtId="0" fontId="14" fillId="9" borderId="0" xfId="0" applyFont="1" applyFill="1"/>
    <xf numFmtId="0" fontId="0" fillId="6" borderId="7" xfId="0" applyFill="1" applyBorder="1"/>
    <xf numFmtId="0" fontId="0" fillId="8" borderId="7" xfId="0" applyFill="1" applyBorder="1"/>
    <xf numFmtId="0" fontId="7" fillId="9" borderId="0" xfId="0" applyFont="1" applyFill="1"/>
    <xf numFmtId="0" fontId="0" fillId="0" borderId="0" xfId="0" applyAlignment="1">
      <alignment wrapText="1"/>
    </xf>
    <xf numFmtId="0" fontId="7" fillId="9" borderId="0" xfId="0" applyFont="1" applyFill="1" applyAlignment="1">
      <alignment wrapText="1"/>
    </xf>
    <xf numFmtId="0" fontId="0" fillId="0" borderId="0" xfId="0" applyAlignment="1">
      <alignment horizontal="center"/>
    </xf>
    <xf numFmtId="0" fontId="0" fillId="0" borderId="7" xfId="0" applyBorder="1" applyAlignment="1">
      <alignment wrapText="1"/>
    </xf>
    <xf numFmtId="0" fontId="0" fillId="6" borderId="0" xfId="0" applyFill="1"/>
    <xf numFmtId="0" fontId="0" fillId="6" borderId="0" xfId="0" applyFill="1" applyAlignment="1">
      <alignment wrapText="1"/>
    </xf>
    <xf numFmtId="0" fontId="6" fillId="6" borderId="0" xfId="0" applyFont="1" applyFill="1" applyAlignment="1">
      <alignment vertical="center"/>
    </xf>
    <xf numFmtId="0" fontId="7" fillId="15" borderId="0" xfId="0" applyFont="1" applyFill="1"/>
    <xf numFmtId="0" fontId="7" fillId="16" borderId="0" xfId="0" applyFont="1" applyFill="1"/>
    <xf numFmtId="0" fontId="7" fillId="17" borderId="0" xfId="0" applyFont="1" applyFill="1"/>
    <xf numFmtId="0" fontId="15" fillId="13" borderId="0" xfId="0" applyFont="1" applyFill="1" applyAlignment="1">
      <alignment wrapText="1"/>
    </xf>
    <xf numFmtId="0" fontId="0" fillId="0" borderId="0" xfId="0" applyAlignment="1">
      <alignment vertical="center"/>
    </xf>
    <xf numFmtId="0" fontId="15" fillId="6" borderId="0" xfId="0" applyFont="1" applyFill="1"/>
    <xf numFmtId="49" fontId="0" fillId="0" borderId="0" xfId="0" applyNumberFormat="1" applyAlignment="1">
      <alignment horizontal="center"/>
    </xf>
    <xf numFmtId="0" fontId="15" fillId="6" borderId="0" xfId="0" applyFont="1" applyFill="1" applyAlignment="1">
      <alignment wrapText="1"/>
    </xf>
    <xf numFmtId="0" fontId="0" fillId="0" borderId="14" xfId="0" applyBorder="1"/>
    <xf numFmtId="0" fontId="0" fillId="0" borderId="15" xfId="0" applyBorder="1"/>
    <xf numFmtId="49" fontId="0" fillId="0" borderId="15" xfId="0" applyNumberFormat="1" applyBorder="1"/>
    <xf numFmtId="0" fontId="0" fillId="0" borderId="16" xfId="0" applyBorder="1"/>
    <xf numFmtId="0" fontId="0" fillId="0" borderId="9" xfId="0" applyBorder="1"/>
    <xf numFmtId="49" fontId="0" fillId="0" borderId="0" xfId="0" applyNumberFormat="1"/>
    <xf numFmtId="0" fontId="0" fillId="0" borderId="17" xfId="0" applyBorder="1"/>
    <xf numFmtId="0" fontId="0" fillId="0" borderId="18" xfId="0" applyBorder="1"/>
    <xf numFmtId="0" fontId="0" fillId="0" borderId="19" xfId="0" applyBorder="1"/>
    <xf numFmtId="49" fontId="0" fillId="0" borderId="19" xfId="0" applyNumberFormat="1" applyBorder="1"/>
    <xf numFmtId="0" fontId="0" fillId="0" borderId="20" xfId="0" applyBorder="1"/>
    <xf numFmtId="0" fontId="18" fillId="0" borderId="0" xfId="0" applyFont="1" applyAlignment="1" applyProtection="1">
      <alignment wrapText="1"/>
      <protection locked="0"/>
    </xf>
    <xf numFmtId="0" fontId="17" fillId="13" borderId="0" xfId="0" applyFont="1" applyFill="1" applyAlignment="1" applyProtection="1">
      <alignment horizontal="center" vertical="center" wrapText="1"/>
      <protection locked="0"/>
    </xf>
    <xf numFmtId="0" fontId="19" fillId="13" borderId="21" xfId="0" applyFont="1" applyFill="1" applyBorder="1" applyAlignment="1" applyProtection="1">
      <alignment horizontal="center" vertical="center" wrapText="1"/>
      <protection locked="0"/>
    </xf>
    <xf numFmtId="0" fontId="18" fillId="13" borderId="0" xfId="0" applyFont="1" applyFill="1" applyAlignment="1" applyProtection="1">
      <alignment wrapText="1"/>
      <protection locked="0"/>
    </xf>
    <xf numFmtId="0" fontId="19" fillId="13" borderId="23" xfId="0" applyFont="1" applyFill="1" applyBorder="1" applyAlignment="1" applyProtection="1">
      <alignment horizontal="center" vertical="center" wrapText="1"/>
      <protection locked="0"/>
    </xf>
    <xf numFmtId="0" fontId="17" fillId="13" borderId="0" xfId="0" applyFont="1" applyFill="1" applyAlignment="1" applyProtection="1">
      <alignment vertical="center" wrapText="1"/>
      <protection locked="0"/>
    </xf>
    <xf numFmtId="0" fontId="20" fillId="9" borderId="25" xfId="0" applyFont="1" applyFill="1" applyBorder="1" applyAlignment="1" applyProtection="1">
      <alignment textRotation="90" wrapText="1"/>
      <protection locked="0"/>
    </xf>
    <xf numFmtId="0" fontId="20" fillId="9" borderId="26" xfId="0" applyFont="1" applyFill="1" applyBorder="1" applyAlignment="1" applyProtection="1">
      <alignment textRotation="90" wrapText="1"/>
      <protection locked="0"/>
    </xf>
    <xf numFmtId="0" fontId="20" fillId="9" borderId="27" xfId="0" applyFont="1" applyFill="1" applyBorder="1" applyAlignment="1" applyProtection="1">
      <alignment textRotation="90" wrapText="1"/>
      <protection locked="0"/>
    </xf>
    <xf numFmtId="0" fontId="20" fillId="17" borderId="25" xfId="0" applyFont="1" applyFill="1" applyBorder="1" applyAlignment="1" applyProtection="1">
      <alignment textRotation="90" wrapText="1"/>
      <protection locked="0"/>
    </xf>
    <xf numFmtId="0" fontId="20" fillId="17" borderId="26" xfId="0" applyFont="1" applyFill="1" applyBorder="1" applyAlignment="1" applyProtection="1">
      <alignment textRotation="90" wrapText="1"/>
      <protection locked="0"/>
    </xf>
    <xf numFmtId="0" fontId="20" fillId="17" borderId="27" xfId="0" applyFont="1" applyFill="1" applyBorder="1" applyAlignment="1" applyProtection="1">
      <alignment textRotation="90" wrapText="1"/>
      <protection locked="0"/>
    </xf>
    <xf numFmtId="0" fontId="20" fillId="19" borderId="7" xfId="0" applyFont="1" applyFill="1" applyBorder="1" applyAlignment="1" applyProtection="1">
      <alignment textRotation="90" wrapText="1"/>
      <protection locked="0"/>
    </xf>
    <xf numFmtId="0" fontId="20" fillId="17" borderId="7" xfId="0" applyFont="1" applyFill="1" applyBorder="1" applyAlignment="1" applyProtection="1">
      <alignment textRotation="90" wrapText="1"/>
      <protection locked="0"/>
    </xf>
    <xf numFmtId="0" fontId="20" fillId="9" borderId="28" xfId="0" applyFont="1" applyFill="1" applyBorder="1" applyAlignment="1" applyProtection="1">
      <alignment textRotation="90" wrapText="1"/>
      <protection locked="0"/>
    </xf>
    <xf numFmtId="0" fontId="20" fillId="19" borderId="26" xfId="0" applyFont="1" applyFill="1" applyBorder="1" applyAlignment="1" applyProtection="1">
      <alignment textRotation="90" wrapText="1"/>
      <protection locked="0"/>
    </xf>
    <xf numFmtId="0" fontId="18" fillId="0" borderId="0" xfId="0" applyFont="1" applyAlignment="1" applyProtection="1">
      <alignment vertical="center" wrapText="1"/>
      <protection locked="0"/>
    </xf>
    <xf numFmtId="0" fontId="20" fillId="9" borderId="29" xfId="0" applyFont="1" applyFill="1" applyBorder="1" applyAlignment="1" applyProtection="1">
      <alignment textRotation="90" wrapText="1"/>
      <protection locked="0"/>
    </xf>
    <xf numFmtId="0" fontId="20" fillId="9" borderId="12" xfId="0" applyFont="1" applyFill="1" applyBorder="1" applyAlignment="1" applyProtection="1">
      <alignment textRotation="90" wrapText="1"/>
      <protection locked="0"/>
    </xf>
    <xf numFmtId="0" fontId="20" fillId="9" borderId="30" xfId="0" applyFont="1" applyFill="1" applyBorder="1" applyAlignment="1" applyProtection="1">
      <alignment textRotation="90" wrapText="1"/>
      <protection locked="0"/>
    </xf>
    <xf numFmtId="0" fontId="20" fillId="9" borderId="31" xfId="0" applyFont="1" applyFill="1" applyBorder="1" applyAlignment="1" applyProtection="1">
      <alignment textRotation="90" wrapText="1"/>
      <protection locked="0"/>
    </xf>
    <xf numFmtId="0" fontId="20" fillId="17" borderId="32" xfId="0" applyFont="1" applyFill="1" applyBorder="1" applyAlignment="1" applyProtection="1">
      <alignment textRotation="90" wrapText="1"/>
      <protection locked="0"/>
    </xf>
    <xf numFmtId="0" fontId="20" fillId="17" borderId="30" xfId="0" applyFont="1" applyFill="1" applyBorder="1" applyAlignment="1" applyProtection="1">
      <alignment textRotation="90" wrapText="1"/>
      <protection locked="0"/>
    </xf>
    <xf numFmtId="0" fontId="20" fillId="9" borderId="32" xfId="0" applyFont="1" applyFill="1" applyBorder="1" applyAlignment="1" applyProtection="1">
      <alignment textRotation="90" wrapText="1"/>
      <protection locked="0"/>
    </xf>
    <xf numFmtId="0" fontId="20" fillId="17" borderId="31" xfId="0" applyFont="1" applyFill="1" applyBorder="1" applyAlignment="1" applyProtection="1">
      <alignment textRotation="90" wrapText="1"/>
      <protection locked="0"/>
    </xf>
    <xf numFmtId="0" fontId="20" fillId="9" borderId="17" xfId="0" applyFont="1" applyFill="1" applyBorder="1" applyAlignment="1" applyProtection="1">
      <alignment textRotation="90" wrapText="1"/>
      <protection locked="0"/>
    </xf>
    <xf numFmtId="0" fontId="20" fillId="19" borderId="30" xfId="0" applyFont="1" applyFill="1" applyBorder="1" applyAlignment="1" applyProtection="1">
      <alignment textRotation="90" wrapText="1"/>
      <protection locked="0"/>
    </xf>
    <xf numFmtId="0" fontId="20" fillId="9" borderId="13" xfId="0" applyFont="1" applyFill="1" applyBorder="1" applyAlignment="1" applyProtection="1">
      <alignment horizontal="left" vertical="center" wrapText="1"/>
      <protection locked="0"/>
    </xf>
    <xf numFmtId="0" fontId="20" fillId="9" borderId="7" xfId="0" applyFont="1" applyFill="1" applyBorder="1" applyAlignment="1" applyProtection="1">
      <alignment horizontal="left" vertical="center" wrapText="1"/>
      <protection locked="0"/>
    </xf>
    <xf numFmtId="0" fontId="20" fillId="9" borderId="22" xfId="0" applyFont="1" applyFill="1" applyBorder="1" applyAlignment="1" applyProtection="1">
      <alignment horizontal="left" vertical="center" wrapText="1"/>
      <protection locked="0"/>
    </xf>
    <xf numFmtId="0" fontId="20" fillId="17" borderId="21" xfId="0" applyFont="1" applyFill="1" applyBorder="1" applyAlignment="1" applyProtection="1">
      <alignment horizontal="left" vertical="center" wrapText="1"/>
      <protection locked="0"/>
    </xf>
    <xf numFmtId="0" fontId="20" fillId="17" borderId="7" xfId="0" applyFont="1" applyFill="1" applyBorder="1" applyAlignment="1" applyProtection="1">
      <alignment horizontal="left" vertical="center" wrapText="1"/>
      <protection locked="0"/>
    </xf>
    <xf numFmtId="0" fontId="20" fillId="9" borderId="21" xfId="0" applyFont="1" applyFill="1" applyBorder="1" applyAlignment="1" applyProtection="1">
      <alignment horizontal="left" vertical="center" wrapText="1"/>
      <protection locked="0"/>
    </xf>
    <xf numFmtId="0" fontId="20" fillId="17" borderId="22" xfId="0" applyFont="1" applyFill="1" applyBorder="1" applyAlignment="1" applyProtection="1">
      <alignment horizontal="left" vertical="center" wrapText="1"/>
      <protection locked="0"/>
    </xf>
    <xf numFmtId="0" fontId="20" fillId="17" borderId="13" xfId="0" applyFont="1" applyFill="1" applyBorder="1" applyAlignment="1" applyProtection="1">
      <alignment horizontal="left" vertical="center" wrapText="1"/>
      <protection locked="0"/>
    </xf>
    <xf numFmtId="0" fontId="21" fillId="0" borderId="0" xfId="0" applyFont="1" applyAlignment="1" applyProtection="1">
      <alignment horizontal="center" wrapText="1"/>
      <protection locked="0"/>
    </xf>
    <xf numFmtId="0" fontId="18" fillId="0" borderId="0" xfId="0" applyFont="1" applyAlignment="1" applyProtection="1">
      <alignment horizontal="left" vertical="center" wrapText="1"/>
      <protection locked="0"/>
    </xf>
    <xf numFmtId="164" fontId="17" fillId="0" borderId="29" xfId="0" applyNumberFormat="1" applyFont="1" applyBorder="1" applyAlignment="1" applyProtection="1">
      <alignment horizontal="center" vertical="center" wrapText="1"/>
      <protection locked="0"/>
    </xf>
    <xf numFmtId="164" fontId="17" fillId="0" borderId="12" xfId="0" applyNumberFormat="1" applyFont="1" applyBorder="1" applyAlignment="1" applyProtection="1">
      <alignment horizontal="center" vertical="center" wrapText="1"/>
      <protection locked="0"/>
    </xf>
    <xf numFmtId="164" fontId="17" fillId="13" borderId="12" xfId="0" applyNumberFormat="1" applyFont="1" applyFill="1" applyBorder="1" applyAlignment="1" applyProtection="1">
      <alignment horizontal="center" vertical="center" wrapText="1"/>
      <protection locked="0"/>
    </xf>
    <xf numFmtId="0" fontId="23" fillId="13" borderId="7" xfId="0" applyFont="1" applyFill="1" applyBorder="1" applyAlignment="1">
      <alignment horizontal="center" vertical="center"/>
    </xf>
    <xf numFmtId="164" fontId="17" fillId="0" borderId="40" xfId="0" applyNumberFormat="1" applyFont="1" applyBorder="1" applyAlignment="1" applyProtection="1">
      <alignment horizontal="center" vertical="center" wrapText="1"/>
      <protection locked="0"/>
    </xf>
    <xf numFmtId="0" fontId="19" fillId="0" borderId="12" xfId="0" applyFont="1" applyBorder="1" applyAlignment="1" applyProtection="1">
      <alignment horizontal="center" vertical="center" wrapText="1"/>
      <protection locked="0"/>
    </xf>
    <xf numFmtId="164" fontId="17" fillId="13" borderId="40" xfId="0" applyNumberFormat="1" applyFont="1" applyFill="1" applyBorder="1" applyAlignment="1" applyProtection="1">
      <alignment horizontal="center" vertical="center" wrapText="1"/>
      <protection locked="0"/>
    </xf>
    <xf numFmtId="164" fontId="17" fillId="0" borderId="20" xfId="0" applyNumberFormat="1" applyFont="1" applyBorder="1" applyAlignment="1" applyProtection="1">
      <alignment horizontal="center" vertical="center" wrapText="1"/>
      <protection locked="0"/>
    </xf>
    <xf numFmtId="164" fontId="17" fillId="0" borderId="7" xfId="0" applyNumberFormat="1" applyFont="1" applyBorder="1" applyAlignment="1" applyProtection="1">
      <alignment horizontal="center" vertical="center" wrapText="1"/>
      <protection locked="0"/>
    </xf>
    <xf numFmtId="164" fontId="17" fillId="0" borderId="22" xfId="0" applyNumberFormat="1" applyFont="1" applyBorder="1" applyAlignment="1" applyProtection="1">
      <alignment horizontal="center" vertical="center" wrapText="1"/>
      <protection locked="0"/>
    </xf>
    <xf numFmtId="0" fontId="19" fillId="0" borderId="7" xfId="0" applyFont="1" applyBorder="1" applyAlignment="1" applyProtection="1">
      <alignment horizontal="center" vertical="center" wrapText="1"/>
      <protection locked="0"/>
    </xf>
    <xf numFmtId="164" fontId="19" fillId="13" borderId="7" xfId="1" applyNumberFormat="1" applyFont="1" applyFill="1" applyBorder="1" applyAlignment="1" applyProtection="1">
      <alignment horizontal="center" vertical="center" wrapText="1"/>
      <protection locked="0"/>
    </xf>
    <xf numFmtId="164" fontId="17" fillId="0" borderId="21" xfId="0" applyNumberFormat="1" applyFont="1" applyBorder="1" applyAlignment="1" applyProtection="1">
      <alignment horizontal="center" vertical="center" wrapText="1"/>
      <protection locked="0"/>
    </xf>
    <xf numFmtId="164" fontId="17" fillId="13" borderId="7" xfId="0" applyNumberFormat="1" applyFont="1" applyFill="1" applyBorder="1" applyAlignment="1" applyProtection="1">
      <alignment horizontal="center" vertical="center" wrapText="1"/>
      <protection locked="0"/>
    </xf>
    <xf numFmtId="164" fontId="17" fillId="13" borderId="22" xfId="0" applyNumberFormat="1" applyFont="1" applyFill="1" applyBorder="1" applyAlignment="1" applyProtection="1">
      <alignment horizontal="center" vertical="center" wrapText="1"/>
      <protection locked="0"/>
    </xf>
    <xf numFmtId="164" fontId="26" fillId="13" borderId="1" xfId="3" applyNumberFormat="1" applyFont="1" applyFill="1" applyAlignment="1" applyProtection="1">
      <alignment horizontal="center" vertical="center" wrapText="1"/>
      <protection locked="0"/>
    </xf>
    <xf numFmtId="164" fontId="17" fillId="0" borderId="10" xfId="0" applyNumberFormat="1" applyFont="1" applyBorder="1" applyAlignment="1" applyProtection="1">
      <alignment horizontal="center" vertical="center" wrapText="1"/>
      <protection locked="0"/>
    </xf>
    <xf numFmtId="0" fontId="17" fillId="0" borderId="22" xfId="0" applyFont="1" applyBorder="1" applyAlignment="1" applyProtection="1">
      <alignment horizontal="center" vertical="center" wrapText="1"/>
      <protection locked="0"/>
    </xf>
    <xf numFmtId="0" fontId="19" fillId="0" borderId="7" xfId="0" applyFont="1" applyBorder="1" applyAlignment="1" applyProtection="1">
      <alignment horizontal="center" wrapText="1"/>
      <protection locked="0"/>
    </xf>
    <xf numFmtId="0" fontId="19" fillId="0" borderId="7" xfId="0" applyFont="1" applyBorder="1" applyAlignment="1" applyProtection="1">
      <alignment wrapText="1"/>
      <protection locked="0"/>
    </xf>
    <xf numFmtId="0" fontId="19" fillId="13" borderId="7" xfId="0" applyFont="1" applyFill="1" applyBorder="1" applyAlignment="1" applyProtection="1">
      <alignment horizontal="center" vertical="center" wrapText="1"/>
      <protection locked="0"/>
    </xf>
    <xf numFmtId="164" fontId="19" fillId="13" borderId="12" xfId="2" applyNumberFormat="1" applyFont="1" applyFill="1" applyBorder="1" applyAlignment="1" applyProtection="1">
      <alignment horizontal="center" vertical="center" wrapText="1"/>
      <protection locked="0"/>
    </xf>
    <xf numFmtId="0" fontId="23" fillId="13" borderId="12" xfId="0" applyFont="1" applyFill="1" applyBorder="1" applyAlignment="1">
      <alignment horizontal="center" vertical="center"/>
    </xf>
    <xf numFmtId="164" fontId="17" fillId="0" borderId="41" xfId="0" applyNumberFormat="1" applyFont="1" applyBorder="1" applyAlignment="1" applyProtection="1">
      <alignment horizontal="center" vertical="center" wrapText="1"/>
      <protection locked="0"/>
    </xf>
    <xf numFmtId="164" fontId="17" fillId="0" borderId="42" xfId="0" applyNumberFormat="1" applyFont="1" applyBorder="1" applyAlignment="1" applyProtection="1">
      <alignment horizontal="center" vertical="center" wrapText="1"/>
      <protection locked="0"/>
    </xf>
    <xf numFmtId="164" fontId="17" fillId="13" borderId="42" xfId="0" applyNumberFormat="1" applyFont="1" applyFill="1" applyBorder="1" applyAlignment="1" applyProtection="1">
      <alignment horizontal="center" vertical="center" wrapText="1"/>
      <protection locked="0"/>
    </xf>
    <xf numFmtId="164" fontId="17" fillId="0" borderId="43" xfId="0" applyNumberFormat="1" applyFont="1" applyBorder="1" applyAlignment="1" applyProtection="1">
      <alignment horizontal="center" vertical="center" wrapText="1"/>
      <protection locked="0"/>
    </xf>
    <xf numFmtId="164" fontId="17" fillId="0" borderId="24" xfId="0" applyNumberFormat="1" applyFont="1" applyBorder="1" applyAlignment="1" applyProtection="1">
      <alignment horizontal="center" vertical="center" wrapText="1"/>
      <protection locked="0"/>
    </xf>
    <xf numFmtId="0" fontId="23" fillId="13" borderId="43" xfId="0" applyFont="1" applyFill="1" applyBorder="1" applyAlignment="1">
      <alignment horizontal="center" vertical="center"/>
    </xf>
    <xf numFmtId="0" fontId="17" fillId="0" borderId="44" xfId="0" applyFont="1" applyBorder="1" applyAlignment="1" applyProtection="1">
      <alignment horizontal="center" vertical="center" wrapText="1"/>
      <protection locked="0"/>
    </xf>
    <xf numFmtId="0" fontId="19" fillId="0" borderId="43" xfId="0" applyFont="1" applyBorder="1" applyAlignment="1" applyProtection="1">
      <alignment wrapText="1"/>
      <protection locked="0"/>
    </xf>
    <xf numFmtId="0" fontId="19" fillId="0" borderId="43" xfId="0" applyFont="1" applyBorder="1" applyAlignment="1" applyProtection="1">
      <alignment horizontal="center" vertical="center" wrapText="1"/>
      <protection locked="0"/>
    </xf>
    <xf numFmtId="164" fontId="17" fillId="0" borderId="23" xfId="0" applyNumberFormat="1" applyFont="1" applyBorder="1" applyAlignment="1" applyProtection="1">
      <alignment horizontal="center" vertical="center" wrapText="1"/>
      <protection locked="0"/>
    </xf>
    <xf numFmtId="164" fontId="17" fillId="0" borderId="44" xfId="0" applyNumberFormat="1" applyFont="1" applyBorder="1" applyAlignment="1" applyProtection="1">
      <alignment horizontal="center" vertical="center" wrapText="1"/>
      <protection locked="0"/>
    </xf>
    <xf numFmtId="164" fontId="17" fillId="0" borderId="45" xfId="0" applyNumberFormat="1" applyFont="1" applyBorder="1" applyAlignment="1" applyProtection="1">
      <alignment horizontal="center" vertical="center" wrapText="1"/>
      <protection locked="0"/>
    </xf>
    <xf numFmtId="0" fontId="17" fillId="0" borderId="0" xfId="0" applyFont="1" applyAlignment="1" applyProtection="1">
      <alignment horizontal="center" wrapText="1"/>
      <protection locked="0"/>
    </xf>
    <xf numFmtId="164" fontId="17" fillId="0" borderId="46" xfId="0" applyNumberFormat="1" applyFont="1" applyBorder="1" applyAlignment="1" applyProtection="1">
      <alignment horizontal="center" vertical="center" wrapText="1"/>
      <protection locked="0"/>
    </xf>
    <xf numFmtId="0" fontId="0" fillId="12" borderId="20" xfId="0" applyFill="1" applyBorder="1"/>
    <xf numFmtId="0" fontId="0" fillId="0" borderId="12" xfId="0" applyBorder="1" applyAlignment="1">
      <alignment horizontal="center"/>
    </xf>
    <xf numFmtId="0" fontId="8" fillId="0" borderId="12" xfId="0" applyFont="1" applyBorder="1" applyAlignment="1">
      <alignment horizontal="left"/>
    </xf>
    <xf numFmtId="0" fontId="0" fillId="0" borderId="12" xfId="0" applyBorder="1"/>
    <xf numFmtId="14" fontId="0" fillId="13" borderId="7" xfId="0" applyNumberFormat="1" applyFill="1" applyBorder="1"/>
    <xf numFmtId="0" fontId="19" fillId="18" borderId="33" xfId="0" applyFont="1" applyFill="1" applyBorder="1" applyAlignment="1" applyProtection="1">
      <alignment vertical="center" wrapText="1"/>
      <protection locked="0"/>
    </xf>
    <xf numFmtId="0" fontId="19" fillId="18" borderId="34" xfId="0" applyFont="1" applyFill="1" applyBorder="1" applyAlignment="1" applyProtection="1">
      <alignment vertical="center" wrapText="1"/>
      <protection locked="0"/>
    </xf>
    <xf numFmtId="0" fontId="19" fillId="18" borderId="35" xfId="0" applyFont="1" applyFill="1" applyBorder="1" applyAlignment="1" applyProtection="1">
      <alignment vertical="center" wrapText="1"/>
      <protection locked="0"/>
    </xf>
    <xf numFmtId="0" fontId="18" fillId="0" borderId="7" xfId="0" applyFont="1" applyBorder="1" applyAlignment="1" applyProtection="1">
      <alignment horizontal="left" vertical="center" wrapText="1"/>
      <protection locked="0"/>
    </xf>
    <xf numFmtId="14" fontId="18" fillId="13" borderId="7" xfId="0" applyNumberFormat="1" applyFont="1" applyFill="1" applyBorder="1" applyAlignment="1" applyProtection="1">
      <alignment horizontal="left" vertical="center" wrapText="1"/>
      <protection locked="0"/>
    </xf>
    <xf numFmtId="14" fontId="18" fillId="8" borderId="7" xfId="0" applyNumberFormat="1" applyFont="1" applyFill="1" applyBorder="1" applyAlignment="1" applyProtection="1">
      <alignment horizontal="left" vertical="center" wrapText="1"/>
      <protection locked="0"/>
    </xf>
    <xf numFmtId="0" fontId="18" fillId="8" borderId="7" xfId="0" applyFont="1" applyFill="1" applyBorder="1" applyAlignment="1" applyProtection="1">
      <alignment horizontal="left" vertical="center" wrapText="1"/>
      <protection locked="0"/>
    </xf>
    <xf numFmtId="0" fontId="17" fillId="6" borderId="0" xfId="0" applyFont="1" applyFill="1" applyAlignment="1" applyProtection="1">
      <alignment horizontal="center" vertical="center" wrapText="1"/>
      <protection locked="0"/>
    </xf>
    <xf numFmtId="0" fontId="0" fillId="0" borderId="7" xfId="0" applyBorder="1" applyAlignment="1">
      <alignment vertical="center"/>
    </xf>
    <xf numFmtId="0" fontId="0" fillId="0" borderId="7" xfId="0" applyBorder="1" applyAlignment="1">
      <alignment vertical="center" wrapText="1"/>
    </xf>
    <xf numFmtId="0" fontId="0" fillId="11" borderId="7" xfId="0" applyFill="1" applyBorder="1" applyAlignment="1">
      <alignment vertical="center"/>
    </xf>
    <xf numFmtId="0" fontId="0" fillId="10" borderId="7" xfId="0" applyFill="1" applyBorder="1" applyAlignment="1">
      <alignment vertical="center"/>
    </xf>
    <xf numFmtId="0" fontId="0" fillId="8" borderId="7" xfId="0" applyFill="1" applyBorder="1" applyAlignment="1">
      <alignment vertical="center"/>
    </xf>
    <xf numFmtId="0" fontId="0" fillId="14" borderId="7" xfId="0" applyFill="1" applyBorder="1" applyAlignment="1">
      <alignment vertical="center"/>
    </xf>
    <xf numFmtId="0" fontId="0" fillId="0" borderId="10" xfId="0" applyBorder="1"/>
    <xf numFmtId="0" fontId="7" fillId="5" borderId="33" xfId="0" applyFont="1" applyFill="1" applyBorder="1"/>
    <xf numFmtId="0" fontId="7" fillId="5" borderId="34" xfId="0" applyFont="1" applyFill="1" applyBorder="1"/>
    <xf numFmtId="0" fontId="7" fillId="5" borderId="35" xfId="0" applyFont="1" applyFill="1" applyBorder="1"/>
    <xf numFmtId="0" fontId="10" fillId="0" borderId="47" xfId="0" applyFont="1" applyBorder="1" applyAlignment="1">
      <alignment horizontal="left"/>
    </xf>
    <xf numFmtId="0" fontId="10" fillId="0" borderId="2" xfId="0" applyFont="1" applyBorder="1" applyAlignment="1">
      <alignment horizontal="left"/>
    </xf>
    <xf numFmtId="0" fontId="10" fillId="0" borderId="48" xfId="0" applyFont="1" applyBorder="1" applyAlignment="1">
      <alignment horizontal="left"/>
    </xf>
    <xf numFmtId="0" fontId="10" fillId="0" borderId="49" xfId="0" applyFont="1" applyBorder="1" applyAlignment="1">
      <alignment horizontal="left"/>
    </xf>
    <xf numFmtId="0" fontId="10" fillId="0" borderId="4" xfId="0" applyFont="1" applyBorder="1" applyAlignment="1">
      <alignment horizontal="left"/>
    </xf>
    <xf numFmtId="0" fontId="10" fillId="0" borderId="5" xfId="0" applyFont="1" applyBorder="1" applyAlignment="1">
      <alignment horizontal="left"/>
    </xf>
    <xf numFmtId="0" fontId="10" fillId="0" borderId="6" xfId="0" applyFont="1" applyBorder="1" applyAlignment="1">
      <alignment horizontal="left"/>
    </xf>
    <xf numFmtId="0" fontId="9" fillId="0" borderId="50" xfId="0" applyFont="1" applyBorder="1"/>
    <xf numFmtId="0" fontId="0" fillId="0" borderId="51" xfId="0" applyBorder="1"/>
    <xf numFmtId="0" fontId="0" fillId="0" borderId="52" xfId="0" applyBorder="1"/>
    <xf numFmtId="0" fontId="10" fillId="8" borderId="4" xfId="0" applyFont="1" applyFill="1" applyBorder="1" applyAlignment="1">
      <alignment horizontal="left"/>
    </xf>
    <xf numFmtId="0" fontId="10" fillId="8" borderId="5" xfId="0" applyFont="1" applyFill="1" applyBorder="1" applyAlignment="1">
      <alignment horizontal="left"/>
    </xf>
    <xf numFmtId="0" fontId="10" fillId="8" borderId="6" xfId="0" applyFont="1" applyFill="1" applyBorder="1" applyAlignment="1">
      <alignment horizontal="left"/>
    </xf>
    <xf numFmtId="164" fontId="17" fillId="21" borderId="7" xfId="0" applyNumberFormat="1" applyFont="1" applyFill="1" applyBorder="1" applyAlignment="1" applyProtection="1">
      <alignment horizontal="center" vertical="center" wrapText="1"/>
      <protection locked="0"/>
    </xf>
    <xf numFmtId="0" fontId="29" fillId="0" borderId="7" xfId="0" applyFont="1" applyBorder="1" applyAlignment="1">
      <alignment horizontal="left" vertical="center" wrapText="1"/>
    </xf>
    <xf numFmtId="0" fontId="28" fillId="0" borderId="0" xfId="0" applyFont="1"/>
    <xf numFmtId="0" fontId="30" fillId="0" borderId="2" xfId="0" applyFont="1" applyBorder="1" applyAlignment="1">
      <alignment horizontal="left"/>
    </xf>
    <xf numFmtId="0" fontId="17" fillId="0" borderId="7" xfId="0" applyFont="1" applyBorder="1" applyAlignment="1">
      <alignment horizontal="center" vertical="center" wrapText="1"/>
    </xf>
    <xf numFmtId="0" fontId="17" fillId="0" borderId="12" xfId="0" applyFont="1" applyBorder="1" applyAlignment="1">
      <alignment horizontal="center" vertical="center" wrapText="1"/>
    </xf>
    <xf numFmtId="0" fontId="30" fillId="0" borderId="47" xfId="0" applyFont="1" applyBorder="1" applyAlignment="1">
      <alignment horizontal="left"/>
    </xf>
    <xf numFmtId="0" fontId="30" fillId="0" borderId="5" xfId="0" applyFont="1" applyBorder="1" applyAlignment="1">
      <alignment horizontal="left"/>
    </xf>
    <xf numFmtId="0" fontId="17" fillId="0" borderId="22" xfId="0" applyFont="1" applyBorder="1" applyAlignment="1">
      <alignment horizontal="center" vertical="center" wrapText="1"/>
    </xf>
    <xf numFmtId="0" fontId="31" fillId="13" borderId="0" xfId="0" applyFont="1" applyFill="1" applyAlignment="1" applyProtection="1">
      <alignment horizontal="center" vertical="center" wrapText="1"/>
      <protection locked="0"/>
    </xf>
    <xf numFmtId="0" fontId="32" fillId="0" borderId="0" xfId="0" applyFont="1" applyAlignment="1" applyProtection="1">
      <alignment vertical="center" wrapText="1"/>
      <protection locked="0"/>
    </xf>
    <xf numFmtId="0" fontId="31" fillId="20" borderId="32" xfId="0" applyFont="1" applyFill="1" applyBorder="1" applyAlignment="1" applyProtection="1">
      <alignment horizontal="left" vertical="center" wrapText="1"/>
      <protection locked="0"/>
    </xf>
    <xf numFmtId="0" fontId="33" fillId="9" borderId="39" xfId="0" applyFont="1" applyFill="1" applyBorder="1" applyAlignment="1" applyProtection="1">
      <alignment horizontal="left" vertical="center" textRotation="90" wrapText="1"/>
      <protection locked="0"/>
    </xf>
    <xf numFmtId="0" fontId="33" fillId="9" borderId="37" xfId="0" applyFont="1" applyFill="1" applyBorder="1" applyAlignment="1" applyProtection="1">
      <alignment horizontal="left" vertical="center" textRotation="90" wrapText="1"/>
      <protection locked="0"/>
    </xf>
    <xf numFmtId="0" fontId="34" fillId="9" borderId="37" xfId="0" applyFont="1" applyFill="1" applyBorder="1" applyAlignment="1" applyProtection="1">
      <alignment horizontal="left" vertical="center" textRotation="90" wrapText="1"/>
      <protection locked="0"/>
    </xf>
    <xf numFmtId="0" fontId="34" fillId="9" borderId="38" xfId="0" applyFont="1" applyFill="1" applyBorder="1" applyAlignment="1" applyProtection="1">
      <alignment horizontal="left" vertical="center" textRotation="90" wrapText="1"/>
      <protection locked="0"/>
    </xf>
    <xf numFmtId="0" fontId="34" fillId="17" borderId="36" xfId="0" applyFont="1" applyFill="1" applyBorder="1" applyAlignment="1" applyProtection="1">
      <alignment horizontal="left" vertical="center" textRotation="90" wrapText="1"/>
      <protection locked="0"/>
    </xf>
    <xf numFmtId="0" fontId="34" fillId="17" borderId="37" xfId="0" applyFont="1" applyFill="1" applyBorder="1" applyAlignment="1" applyProtection="1">
      <alignment horizontal="left" vertical="center" textRotation="90" wrapText="1"/>
      <protection locked="0"/>
    </xf>
    <xf numFmtId="0" fontId="34" fillId="9" borderId="36" xfId="0" applyFont="1" applyFill="1" applyBorder="1" applyAlignment="1" applyProtection="1">
      <alignment horizontal="left" vertical="center" textRotation="90" wrapText="1"/>
      <protection locked="0"/>
    </xf>
    <xf numFmtId="0" fontId="34" fillId="21" borderId="38" xfId="0" applyFont="1" applyFill="1" applyBorder="1" applyAlignment="1" applyProtection="1">
      <alignment horizontal="left" vertical="center" textRotation="90" wrapText="1"/>
      <protection locked="0"/>
    </xf>
    <xf numFmtId="0" fontId="34" fillId="17" borderId="39" xfId="0" applyFont="1" applyFill="1" applyBorder="1" applyAlignment="1" applyProtection="1">
      <alignment horizontal="left" vertical="center" textRotation="90" wrapText="1"/>
      <protection locked="0"/>
    </xf>
    <xf numFmtId="0" fontId="34" fillId="17" borderId="38" xfId="0" applyFont="1" applyFill="1" applyBorder="1" applyAlignment="1" applyProtection="1">
      <alignment horizontal="left" vertical="center" textRotation="90" wrapText="1"/>
      <protection locked="0"/>
    </xf>
    <xf numFmtId="0" fontId="33" fillId="9" borderId="7" xfId="0" applyFont="1" applyFill="1" applyBorder="1" applyAlignment="1" applyProtection="1">
      <alignment vertical="center" wrapText="1"/>
      <protection locked="0"/>
    </xf>
    <xf numFmtId="0" fontId="36" fillId="22" borderId="7" xfId="0" applyFont="1" applyFill="1" applyBorder="1" applyAlignment="1" applyProtection="1">
      <alignment vertical="center" wrapText="1"/>
      <protection locked="0"/>
    </xf>
    <xf numFmtId="0" fontId="36" fillId="22" borderId="7" xfId="0" applyFont="1" applyFill="1" applyBorder="1" applyAlignment="1" applyProtection="1">
      <alignment horizontal="center" vertical="center" wrapText="1"/>
      <protection locked="0"/>
    </xf>
    <xf numFmtId="0" fontId="36" fillId="21" borderId="7" xfId="0" applyFont="1" applyFill="1" applyBorder="1" applyAlignment="1" applyProtection="1">
      <alignment vertical="center" wrapText="1"/>
      <protection locked="0"/>
    </xf>
    <xf numFmtId="0" fontId="36" fillId="21" borderId="7" xfId="0" applyFont="1" applyFill="1" applyBorder="1" applyAlignment="1" applyProtection="1">
      <alignment horizontal="center" vertical="center" wrapText="1"/>
      <protection locked="0"/>
    </xf>
    <xf numFmtId="0" fontId="37" fillId="18" borderId="33" xfId="0" applyFont="1" applyFill="1" applyBorder="1" applyAlignment="1" applyProtection="1">
      <alignment horizontal="center" vertical="center" wrapText="1"/>
      <protection locked="0"/>
    </xf>
    <xf numFmtId="0" fontId="38" fillId="18" borderId="34" xfId="0" applyFont="1" applyFill="1" applyBorder="1" applyAlignment="1" applyProtection="1">
      <alignment vertical="center" textRotation="90" wrapText="1"/>
      <protection locked="0"/>
    </xf>
    <xf numFmtId="0" fontId="38" fillId="18" borderId="34" xfId="0" applyFont="1" applyFill="1" applyBorder="1" applyAlignment="1" applyProtection="1">
      <alignment horizontal="center" vertical="center" textRotation="90" wrapText="1"/>
      <protection locked="0"/>
    </xf>
    <xf numFmtId="0" fontId="38" fillId="18" borderId="35" xfId="0" applyFont="1" applyFill="1" applyBorder="1" applyAlignment="1" applyProtection="1">
      <alignment horizontal="center" vertical="center" textRotation="90" wrapText="1"/>
      <protection locked="0"/>
    </xf>
    <xf numFmtId="0" fontId="39" fillId="0" borderId="0" xfId="0" applyFont="1" applyAlignment="1" applyProtection="1">
      <alignment wrapText="1"/>
      <protection locked="0"/>
    </xf>
    <xf numFmtId="0" fontId="40" fillId="0" borderId="0" xfId="0" applyFont="1" applyAlignment="1" applyProtection="1">
      <alignment horizontal="center" wrapText="1"/>
      <protection locked="0"/>
    </xf>
    <xf numFmtId="0" fontId="42" fillId="0" borderId="0" xfId="0" applyFont="1"/>
    <xf numFmtId="0" fontId="40" fillId="0" borderId="0" xfId="0" applyFont="1"/>
    <xf numFmtId="0" fontId="40" fillId="13" borderId="0" xfId="0" applyFont="1" applyFill="1"/>
    <xf numFmtId="0" fontId="40" fillId="13" borderId="0" xfId="0" applyFont="1" applyFill="1" applyAlignment="1" applyProtection="1">
      <alignment horizontal="center" wrapText="1"/>
      <protection locked="0"/>
    </xf>
    <xf numFmtId="0" fontId="43" fillId="9" borderId="61" xfId="0" applyFont="1" applyFill="1" applyBorder="1" applyAlignment="1">
      <alignment vertical="center" wrapText="1"/>
    </xf>
    <xf numFmtId="0" fontId="21" fillId="13" borderId="0" xfId="0" applyFont="1" applyFill="1" applyAlignment="1" applyProtection="1">
      <alignment horizontal="center" wrapText="1"/>
      <protection locked="0"/>
    </xf>
    <xf numFmtId="0" fontId="21" fillId="0" borderId="0" xfId="0" applyFont="1"/>
    <xf numFmtId="0" fontId="21" fillId="0" borderId="0" xfId="0" applyFont="1" applyAlignment="1" applyProtection="1">
      <alignment wrapText="1"/>
      <protection locked="0"/>
    </xf>
    <xf numFmtId="0" fontId="17" fillId="0" borderId="36" xfId="0" applyFont="1" applyBorder="1" applyAlignment="1">
      <alignment horizontal="center" wrapText="1"/>
    </xf>
    <xf numFmtId="0" fontId="21" fillId="0" borderId="38" xfId="0" applyFont="1" applyBorder="1" applyAlignment="1" applyProtection="1">
      <alignment wrapText="1"/>
      <protection locked="0"/>
    </xf>
    <xf numFmtId="0" fontId="17" fillId="0" borderId="21" xfId="0" applyFont="1" applyBorder="1" applyAlignment="1" applyProtection="1">
      <alignment horizontal="center" wrapText="1"/>
      <protection locked="0"/>
    </xf>
    <xf numFmtId="0" fontId="21" fillId="0" borderId="22" xfId="0" applyFont="1" applyBorder="1" applyAlignment="1" applyProtection="1">
      <alignment wrapText="1"/>
      <protection locked="0"/>
    </xf>
    <xf numFmtId="0" fontId="21" fillId="0" borderId="0" xfId="0" applyFont="1" applyAlignment="1">
      <alignment wrapText="1"/>
    </xf>
    <xf numFmtId="0" fontId="21" fillId="0" borderId="0" xfId="0" applyFont="1" applyAlignment="1">
      <alignment horizontal="center" wrapText="1"/>
    </xf>
    <xf numFmtId="0" fontId="21" fillId="13" borderId="0" xfId="0" applyFont="1" applyFill="1" applyAlignment="1">
      <alignment horizontal="center" wrapText="1"/>
    </xf>
    <xf numFmtId="0" fontId="17" fillId="0" borderId="0" xfId="0" applyFont="1" applyAlignment="1">
      <alignment horizontal="center" wrapText="1"/>
    </xf>
    <xf numFmtId="164" fontId="17" fillId="0" borderId="23" xfId="0" applyNumberFormat="1" applyFont="1" applyBorder="1" applyAlignment="1">
      <alignment horizontal="center" vertical="center" wrapText="1"/>
    </xf>
    <xf numFmtId="0" fontId="21" fillId="0" borderId="44" xfId="0" applyFont="1" applyBorder="1" applyAlignment="1" applyProtection="1">
      <alignment wrapText="1"/>
      <protection locked="0"/>
    </xf>
    <xf numFmtId="0" fontId="21" fillId="13" borderId="0" xfId="0" applyFont="1" applyFill="1" applyAlignment="1" applyProtection="1">
      <alignment horizontal="left" vertical="center" wrapText="1"/>
      <protection locked="0"/>
    </xf>
    <xf numFmtId="0" fontId="21" fillId="13" borderId="0" xfId="0" applyFont="1" applyFill="1" applyAlignment="1" applyProtection="1">
      <alignment wrapText="1"/>
      <protection locked="0"/>
    </xf>
    <xf numFmtId="0" fontId="21" fillId="23" borderId="32" xfId="0" applyFont="1" applyFill="1" applyBorder="1" applyAlignment="1">
      <alignment horizontal="center" vertical="center" wrapText="1"/>
    </xf>
    <xf numFmtId="0" fontId="21" fillId="23" borderId="30" xfId="0" applyFont="1" applyFill="1" applyBorder="1" applyAlignment="1">
      <alignment horizontal="center" vertical="center" wrapText="1"/>
    </xf>
    <xf numFmtId="0" fontId="21" fillId="23" borderId="31" xfId="0" applyFont="1" applyFill="1" applyBorder="1" applyAlignment="1">
      <alignment horizontal="center" vertical="center" wrapText="1"/>
    </xf>
    <xf numFmtId="0" fontId="21" fillId="24" borderId="32" xfId="0" applyFont="1" applyFill="1" applyBorder="1" applyAlignment="1">
      <alignment horizontal="center" vertical="center" wrapText="1"/>
    </xf>
    <xf numFmtId="0" fontId="21" fillId="24" borderId="30" xfId="0" applyFont="1" applyFill="1" applyBorder="1" applyAlignment="1">
      <alignment horizontal="center" vertical="center" wrapText="1"/>
    </xf>
    <xf numFmtId="0" fontId="21" fillId="24" borderId="9" xfId="0" applyFont="1" applyFill="1" applyBorder="1" applyAlignment="1">
      <alignment horizontal="center" vertical="center" wrapText="1"/>
    </xf>
    <xf numFmtId="0" fontId="21" fillId="25" borderId="9" xfId="0" applyFont="1" applyFill="1" applyBorder="1" applyAlignment="1">
      <alignment horizontal="center" vertical="center" wrapText="1"/>
    </xf>
    <xf numFmtId="0" fontId="21" fillId="26" borderId="32" xfId="0" applyFont="1" applyFill="1" applyBorder="1" applyAlignment="1">
      <alignment horizontal="center" vertical="center" wrapText="1"/>
    </xf>
    <xf numFmtId="0" fontId="21" fillId="26" borderId="30" xfId="0" applyFont="1" applyFill="1" applyBorder="1" applyAlignment="1">
      <alignment horizontal="center" vertical="center" wrapText="1"/>
    </xf>
    <xf numFmtId="0" fontId="21" fillId="26" borderId="31" xfId="0" applyFont="1" applyFill="1" applyBorder="1" applyAlignment="1">
      <alignment horizontal="center" vertical="center" wrapText="1"/>
    </xf>
    <xf numFmtId="0" fontId="21" fillId="27" borderId="32" xfId="0" applyFont="1" applyFill="1" applyBorder="1" applyAlignment="1">
      <alignment horizontal="center" vertical="center" wrapText="1"/>
    </xf>
    <xf numFmtId="0" fontId="21" fillId="27" borderId="30" xfId="0" applyFont="1" applyFill="1" applyBorder="1" applyAlignment="1">
      <alignment horizontal="center" vertical="center" wrapText="1"/>
    </xf>
    <xf numFmtId="0" fontId="21" fillId="27" borderId="31" xfId="0" applyFont="1" applyFill="1" applyBorder="1" applyAlignment="1">
      <alignment horizontal="center" vertical="center" wrapText="1"/>
    </xf>
    <xf numFmtId="0" fontId="21" fillId="28" borderId="32" xfId="0" applyFont="1" applyFill="1" applyBorder="1" applyAlignment="1">
      <alignment horizontal="center" vertical="center" wrapText="1"/>
    </xf>
    <xf numFmtId="0" fontId="21" fillId="28" borderId="31" xfId="0" applyFont="1" applyFill="1" applyBorder="1" applyAlignment="1">
      <alignment horizontal="center" vertical="center" wrapText="1"/>
    </xf>
    <xf numFmtId="0" fontId="21" fillId="18" borderId="32" xfId="0" applyFont="1" applyFill="1" applyBorder="1" applyAlignment="1">
      <alignment horizontal="center" vertical="center" wrapText="1"/>
    </xf>
    <xf numFmtId="0" fontId="21" fillId="18" borderId="30" xfId="0" applyFont="1" applyFill="1" applyBorder="1" applyAlignment="1">
      <alignment horizontal="center" vertical="center" wrapText="1"/>
    </xf>
    <xf numFmtId="0" fontId="21" fillId="18" borderId="31" xfId="0" applyFont="1" applyFill="1" applyBorder="1" applyAlignment="1">
      <alignment horizontal="center" vertical="center" wrapText="1"/>
    </xf>
    <xf numFmtId="0" fontId="21" fillId="29" borderId="32" xfId="0" applyFont="1" applyFill="1" applyBorder="1" applyAlignment="1">
      <alignment horizontal="center" vertical="center" wrapText="1"/>
    </xf>
    <xf numFmtId="0" fontId="21" fillId="29" borderId="31" xfId="0" applyFont="1" applyFill="1" applyBorder="1" applyAlignment="1">
      <alignment horizontal="center" vertical="center" wrapText="1"/>
    </xf>
    <xf numFmtId="0" fontId="21" fillId="30" borderId="32" xfId="0" applyFont="1" applyFill="1" applyBorder="1" applyAlignment="1">
      <alignment horizontal="center" vertical="center" wrapText="1"/>
    </xf>
    <xf numFmtId="0" fontId="21" fillId="30" borderId="30" xfId="0" applyFont="1" applyFill="1" applyBorder="1" applyAlignment="1">
      <alignment horizontal="center" vertical="center" wrapText="1"/>
    </xf>
    <xf numFmtId="0" fontId="21" fillId="30" borderId="31" xfId="0" applyFont="1" applyFill="1" applyBorder="1" applyAlignment="1">
      <alignment horizontal="center" vertical="center" wrapText="1"/>
    </xf>
    <xf numFmtId="0" fontId="21" fillId="23" borderId="41" xfId="0" applyFont="1" applyFill="1" applyBorder="1" applyAlignment="1">
      <alignment horizontal="center" vertical="center" wrapText="1"/>
    </xf>
    <xf numFmtId="0" fontId="21" fillId="23" borderId="42" xfId="0" applyFont="1" applyFill="1" applyBorder="1" applyAlignment="1">
      <alignment horizontal="center" vertical="center" wrapText="1"/>
    </xf>
    <xf numFmtId="0" fontId="21" fillId="23" borderId="57" xfId="0" applyFont="1" applyFill="1" applyBorder="1" applyAlignment="1">
      <alignment horizontal="center" vertical="center" wrapText="1"/>
    </xf>
    <xf numFmtId="0" fontId="21" fillId="24" borderId="41" xfId="0" applyFont="1" applyFill="1" applyBorder="1" applyAlignment="1">
      <alignment horizontal="center" vertical="center" wrapText="1"/>
    </xf>
    <xf numFmtId="0" fontId="21" fillId="24" borderId="42" xfId="0" applyFont="1" applyFill="1" applyBorder="1" applyAlignment="1">
      <alignment horizontal="center" vertical="center" wrapText="1"/>
    </xf>
    <xf numFmtId="0" fontId="21" fillId="24" borderId="56" xfId="0" applyFont="1" applyFill="1" applyBorder="1" applyAlignment="1">
      <alignment horizontal="center" vertical="center" wrapText="1"/>
    </xf>
    <xf numFmtId="0" fontId="21" fillId="26" borderId="41" xfId="0" applyFont="1" applyFill="1" applyBorder="1" applyAlignment="1">
      <alignment horizontal="center" vertical="center" wrapText="1"/>
    </xf>
    <xf numFmtId="0" fontId="21" fillId="26" borderId="42" xfId="0" applyFont="1" applyFill="1" applyBorder="1" applyAlignment="1">
      <alignment horizontal="center" vertical="center" wrapText="1"/>
    </xf>
    <xf numFmtId="0" fontId="21" fillId="26" borderId="57" xfId="0" applyFont="1" applyFill="1" applyBorder="1" applyAlignment="1">
      <alignment horizontal="center" vertical="center" wrapText="1"/>
    </xf>
    <xf numFmtId="0" fontId="21" fillId="27" borderId="29" xfId="0" applyFont="1" applyFill="1" applyBorder="1" applyAlignment="1">
      <alignment horizontal="center" vertical="center" wrapText="1"/>
    </xf>
    <xf numFmtId="0" fontId="21" fillId="27" borderId="12" xfId="0" applyFont="1" applyFill="1" applyBorder="1" applyAlignment="1">
      <alignment horizontal="center" vertical="center" wrapText="1"/>
    </xf>
    <xf numFmtId="0" fontId="21" fillId="27" borderId="40" xfId="0" applyFont="1" applyFill="1" applyBorder="1" applyAlignment="1">
      <alignment horizontal="center" vertical="center" wrapText="1"/>
    </xf>
    <xf numFmtId="0" fontId="21" fillId="28" borderId="29" xfId="0" applyFont="1" applyFill="1" applyBorder="1" applyAlignment="1">
      <alignment horizontal="center" vertical="center" wrapText="1"/>
    </xf>
    <xf numFmtId="0" fontId="21" fillId="28" borderId="40" xfId="0" applyFont="1" applyFill="1" applyBorder="1" applyAlignment="1">
      <alignment horizontal="center" vertical="center" wrapText="1"/>
    </xf>
    <xf numFmtId="0" fontId="21" fillId="18" borderId="29" xfId="0" applyFont="1" applyFill="1" applyBorder="1" applyAlignment="1">
      <alignment horizontal="center" vertical="center" wrapText="1"/>
    </xf>
    <xf numFmtId="0" fontId="21" fillId="18" borderId="12" xfId="0" applyFont="1" applyFill="1" applyBorder="1" applyAlignment="1">
      <alignment horizontal="center" vertical="center" wrapText="1"/>
    </xf>
    <xf numFmtId="0" fontId="21" fillId="18" borderId="40" xfId="0" applyFont="1" applyFill="1" applyBorder="1" applyAlignment="1">
      <alignment horizontal="center" vertical="center" wrapText="1"/>
    </xf>
    <xf numFmtId="0" fontId="21" fillId="29" borderId="29" xfId="0" applyFont="1" applyFill="1" applyBorder="1" applyAlignment="1">
      <alignment horizontal="center" vertical="center" wrapText="1"/>
    </xf>
    <xf numFmtId="0" fontId="21" fillId="29" borderId="40" xfId="0" applyFont="1" applyFill="1" applyBorder="1" applyAlignment="1">
      <alignment horizontal="center" vertical="center" wrapText="1"/>
    </xf>
    <xf numFmtId="0" fontId="21" fillId="30" borderId="29" xfId="0" applyFont="1" applyFill="1" applyBorder="1" applyAlignment="1">
      <alignment horizontal="center" vertical="center" wrapText="1"/>
    </xf>
    <xf numFmtId="0" fontId="21" fillId="30" borderId="12" xfId="0" applyFont="1" applyFill="1" applyBorder="1" applyAlignment="1">
      <alignment horizontal="center" vertical="center" wrapText="1"/>
    </xf>
    <xf numFmtId="0" fontId="21" fillId="30" borderId="40" xfId="0" applyFont="1" applyFill="1" applyBorder="1" applyAlignment="1">
      <alignment horizontal="center" vertical="center" wrapText="1"/>
    </xf>
    <xf numFmtId="0" fontId="21" fillId="13" borderId="7" xfId="0" applyFont="1" applyFill="1" applyBorder="1" applyAlignment="1">
      <alignment horizontal="center" vertical="center"/>
    </xf>
    <xf numFmtId="0" fontId="21" fillId="13" borderId="7" xfId="0" applyFont="1" applyFill="1" applyBorder="1" applyAlignment="1">
      <alignment horizontal="left" vertical="center" wrapText="1"/>
    </xf>
    <xf numFmtId="0" fontId="21" fillId="13" borderId="7" xfId="0" applyFont="1" applyFill="1" applyBorder="1"/>
    <xf numFmtId="164" fontId="17" fillId="0" borderId="20" xfId="0" applyNumberFormat="1" applyFont="1" applyBorder="1" applyAlignment="1">
      <alignment horizontal="center" vertical="center" wrapText="1"/>
    </xf>
    <xf numFmtId="164" fontId="17" fillId="0" borderId="12" xfId="0" applyNumberFormat="1" applyFont="1" applyBorder="1" applyAlignment="1">
      <alignment horizontal="center" vertical="center" wrapText="1"/>
    </xf>
    <xf numFmtId="164" fontId="17" fillId="13" borderId="12" xfId="0" applyNumberFormat="1" applyFont="1" applyFill="1" applyBorder="1" applyAlignment="1">
      <alignment horizontal="center" vertical="center" wrapText="1"/>
    </xf>
    <xf numFmtId="0" fontId="17" fillId="13" borderId="12" xfId="9" applyFont="1" applyFill="1" applyBorder="1" applyAlignment="1">
      <alignment horizontal="center" vertical="center"/>
    </xf>
    <xf numFmtId="164" fontId="17" fillId="0" borderId="40" xfId="0" applyNumberFormat="1" applyFont="1" applyBorder="1" applyAlignment="1">
      <alignment horizontal="center" vertical="center" wrapText="1"/>
    </xf>
    <xf numFmtId="164" fontId="17" fillId="0" borderId="29" xfId="0" applyNumberFormat="1" applyFont="1" applyBorder="1" applyAlignment="1">
      <alignment horizontal="center" vertical="center" wrapText="1"/>
    </xf>
    <xf numFmtId="164" fontId="17" fillId="0" borderId="36" xfId="0" applyNumberFormat="1" applyFont="1" applyBorder="1" applyAlignment="1">
      <alignment horizontal="center" vertical="center" wrapText="1"/>
    </xf>
    <xf numFmtId="164" fontId="17" fillId="0" borderId="38" xfId="0" applyNumberFormat="1" applyFont="1" applyBorder="1" applyAlignment="1">
      <alignment horizontal="center" vertical="center" wrapText="1"/>
    </xf>
    <xf numFmtId="164" fontId="17" fillId="13" borderId="40" xfId="0" applyNumberFormat="1" applyFont="1" applyFill="1" applyBorder="1" applyAlignment="1">
      <alignment horizontal="center" vertical="center" wrapText="1"/>
    </xf>
    <xf numFmtId="0" fontId="21" fillId="13" borderId="0" xfId="0" applyFont="1" applyFill="1"/>
    <xf numFmtId="164" fontId="17" fillId="0" borderId="13" xfId="0" applyNumberFormat="1" applyFont="1" applyBorder="1" applyAlignment="1">
      <alignment horizontal="center" vertical="center" wrapText="1"/>
    </xf>
    <xf numFmtId="164" fontId="17" fillId="0" borderId="7" xfId="0" applyNumberFormat="1" applyFont="1" applyBorder="1" applyAlignment="1">
      <alignment horizontal="center" vertical="center" wrapText="1"/>
    </xf>
    <xf numFmtId="164" fontId="17" fillId="13" borderId="7" xfId="0" applyNumberFormat="1" applyFont="1" applyFill="1" applyBorder="1" applyAlignment="1">
      <alignment horizontal="center" vertical="center" wrapText="1"/>
    </xf>
    <xf numFmtId="0" fontId="17" fillId="13" borderId="7" xfId="9" applyFont="1" applyFill="1" applyBorder="1" applyAlignment="1">
      <alignment horizontal="center" vertical="center"/>
    </xf>
    <xf numFmtId="164" fontId="17" fillId="0" borderId="22" xfId="0" applyNumberFormat="1" applyFont="1" applyBorder="1" applyAlignment="1">
      <alignment horizontal="center" vertical="center" wrapText="1"/>
    </xf>
    <xf numFmtId="164" fontId="17" fillId="0" borderId="21" xfId="0" applyNumberFormat="1" applyFont="1" applyBorder="1" applyAlignment="1">
      <alignment horizontal="center" vertical="center" wrapText="1"/>
    </xf>
    <xf numFmtId="164" fontId="17" fillId="13" borderId="22" xfId="0" applyNumberFormat="1" applyFont="1" applyFill="1" applyBorder="1" applyAlignment="1">
      <alignment horizontal="center" vertical="center" wrapText="1"/>
    </xf>
    <xf numFmtId="164" fontId="17" fillId="13" borderId="21" xfId="0" applyNumberFormat="1" applyFont="1" applyFill="1" applyBorder="1" applyAlignment="1">
      <alignment horizontal="center" vertical="center" wrapText="1"/>
    </xf>
    <xf numFmtId="164" fontId="17" fillId="0" borderId="22" xfId="9" applyNumberFormat="1" applyFont="1" applyBorder="1" applyAlignment="1">
      <alignment horizontal="center" vertical="center" wrapText="1"/>
    </xf>
    <xf numFmtId="164" fontId="17" fillId="13" borderId="7" xfId="3" applyNumberFormat="1" applyFont="1" applyFill="1" applyBorder="1" applyAlignment="1" applyProtection="1">
      <alignment horizontal="center" vertical="center" wrapText="1"/>
    </xf>
    <xf numFmtId="0" fontId="21" fillId="0" borderId="21" xfId="0" applyFont="1" applyBorder="1"/>
    <xf numFmtId="0" fontId="17" fillId="13" borderId="22" xfId="0" applyFont="1" applyFill="1" applyBorder="1" applyAlignment="1">
      <alignment horizontal="center" vertical="center" wrapText="1"/>
    </xf>
    <xf numFmtId="0" fontId="17" fillId="13" borderId="7" xfId="0" applyFont="1" applyFill="1" applyBorder="1" applyAlignment="1">
      <alignment horizontal="center" vertical="center" wrapText="1"/>
    </xf>
    <xf numFmtId="164" fontId="17" fillId="31" borderId="7" xfId="9" applyNumberFormat="1" applyFont="1" applyFill="1" applyBorder="1" applyAlignment="1" applyProtection="1">
      <alignment horizontal="center" vertical="center"/>
    </xf>
    <xf numFmtId="0" fontId="17" fillId="13" borderId="22" xfId="9" applyFont="1" applyFill="1" applyBorder="1" applyAlignment="1">
      <alignment horizontal="center" vertical="center"/>
    </xf>
    <xf numFmtId="0" fontId="17" fillId="13" borderId="22" xfId="9" applyFont="1" applyFill="1" applyBorder="1" applyAlignment="1">
      <alignment horizontal="center" vertical="center" wrapText="1"/>
    </xf>
    <xf numFmtId="0" fontId="21" fillId="13" borderId="7" xfId="0" applyFont="1" applyFill="1" applyBorder="1" applyAlignment="1">
      <alignment horizontal="center"/>
    </xf>
    <xf numFmtId="164" fontId="17" fillId="0" borderId="45" xfId="0" applyNumberFormat="1" applyFont="1" applyBorder="1" applyAlignment="1">
      <alignment horizontal="center" vertical="center" wrapText="1"/>
    </xf>
    <xf numFmtId="164" fontId="17" fillId="0" borderId="43" xfId="0" applyNumberFormat="1" applyFont="1" applyBorder="1" applyAlignment="1">
      <alignment horizontal="center" vertical="center" wrapText="1"/>
    </xf>
    <xf numFmtId="164" fontId="17" fillId="13" borderId="43" xfId="0" applyNumberFormat="1" applyFont="1" applyFill="1" applyBorder="1" applyAlignment="1">
      <alignment horizontal="center" vertical="center" wrapText="1"/>
    </xf>
    <xf numFmtId="0" fontId="17" fillId="13" borderId="43" xfId="9" applyFont="1" applyFill="1" applyBorder="1" applyAlignment="1">
      <alignment horizontal="center" vertical="center"/>
    </xf>
    <xf numFmtId="0" fontId="17" fillId="0" borderId="44" xfId="0" applyFont="1" applyBorder="1" applyAlignment="1">
      <alignment horizontal="center" vertical="center" wrapText="1"/>
    </xf>
    <xf numFmtId="0" fontId="17" fillId="0" borderId="43" xfId="0" applyFont="1" applyBorder="1" applyAlignment="1">
      <alignment horizontal="center" vertical="center" wrapText="1"/>
    </xf>
    <xf numFmtId="164" fontId="17" fillId="0" borderId="44" xfId="0" applyNumberFormat="1" applyFont="1" applyBorder="1" applyAlignment="1">
      <alignment horizontal="center" vertical="center" wrapText="1"/>
    </xf>
    <xf numFmtId="0" fontId="21" fillId="0" borderId="23" xfId="0" applyFont="1" applyBorder="1"/>
    <xf numFmtId="0" fontId="17" fillId="9" borderId="62" xfId="0" applyFont="1" applyFill="1" applyBorder="1" applyAlignment="1">
      <alignment vertical="center" wrapText="1"/>
    </xf>
    <xf numFmtId="0" fontId="17" fillId="9" borderId="63" xfId="0" applyFont="1" applyFill="1" applyBorder="1" applyAlignment="1">
      <alignment vertical="center" wrapText="1"/>
    </xf>
    <xf numFmtId="0" fontId="21" fillId="0" borderId="47" xfId="0" applyFont="1" applyBorder="1" applyAlignment="1" applyProtection="1">
      <alignment wrapText="1"/>
      <protection locked="0"/>
    </xf>
    <xf numFmtId="0" fontId="21" fillId="0" borderId="2" xfId="0" applyFont="1" applyBorder="1" applyAlignment="1" applyProtection="1">
      <alignment wrapText="1"/>
      <protection locked="0"/>
    </xf>
    <xf numFmtId="0" fontId="17" fillId="27" borderId="33" xfId="0" applyFont="1" applyFill="1" applyBorder="1" applyAlignment="1">
      <alignment vertical="center" wrapText="1"/>
    </xf>
    <xf numFmtId="0" fontId="17" fillId="27" borderId="34" xfId="0" applyFont="1" applyFill="1" applyBorder="1" applyAlignment="1">
      <alignment vertical="center" wrapText="1"/>
    </xf>
    <xf numFmtId="0" fontId="17" fillId="27" borderId="34" xfId="0" applyFont="1" applyFill="1" applyBorder="1" applyAlignment="1">
      <alignment horizontal="center" vertical="center" wrapText="1"/>
    </xf>
    <xf numFmtId="0" fontId="17" fillId="27" borderId="35" xfId="0" applyFont="1" applyFill="1" applyBorder="1" applyAlignment="1">
      <alignment horizontal="center" vertical="center" wrapText="1"/>
    </xf>
    <xf numFmtId="0" fontId="21" fillId="13" borderId="7" xfId="0" applyFont="1" applyFill="1" applyBorder="1" applyAlignment="1">
      <alignment vertical="center" wrapText="1"/>
    </xf>
    <xf numFmtId="0" fontId="21" fillId="13" borderId="7" xfId="0" applyFont="1" applyFill="1" applyBorder="1" applyAlignment="1">
      <alignment horizontal="center" vertical="center" wrapText="1"/>
    </xf>
    <xf numFmtId="0" fontId="21" fillId="13" borderId="22" xfId="0" applyFont="1" applyFill="1" applyBorder="1" applyAlignment="1">
      <alignment horizontal="center" vertical="center" wrapText="1"/>
    </xf>
    <xf numFmtId="0" fontId="21" fillId="0" borderId="7" xfId="0" applyFont="1" applyBorder="1" applyAlignment="1">
      <alignment horizontal="center" vertical="center" wrapText="1"/>
    </xf>
    <xf numFmtId="0" fontId="21" fillId="0" borderId="22" xfId="0" applyFont="1" applyBorder="1" applyAlignment="1">
      <alignment horizontal="center" vertical="center" wrapText="1"/>
    </xf>
    <xf numFmtId="0" fontId="21" fillId="13" borderId="43" xfId="0" applyFont="1" applyFill="1" applyBorder="1" applyAlignment="1">
      <alignment vertical="center" wrapText="1"/>
    </xf>
    <xf numFmtId="0" fontId="21" fillId="0" borderId="43" xfId="0" applyFont="1" applyBorder="1" applyAlignment="1">
      <alignment horizontal="center" vertical="center" wrapText="1"/>
    </xf>
    <xf numFmtId="0" fontId="21" fillId="0" borderId="44" xfId="0" applyFont="1" applyBorder="1" applyAlignment="1">
      <alignment horizontal="center" vertical="center" wrapText="1"/>
    </xf>
    <xf numFmtId="164" fontId="17" fillId="13" borderId="7" xfId="3" applyNumberFormat="1" applyFont="1" applyFill="1" applyBorder="1" applyAlignment="1">
      <alignment horizontal="center" vertical="center" wrapText="1"/>
    </xf>
    <xf numFmtId="164" fontId="17" fillId="31" borderId="7" xfId="9" applyNumberFormat="1" applyFont="1" applyFill="1" applyBorder="1" applyAlignment="1">
      <alignment horizontal="center" vertical="center"/>
    </xf>
    <xf numFmtId="0" fontId="17" fillId="23" borderId="34" xfId="0" applyFont="1" applyFill="1" applyBorder="1" applyAlignment="1">
      <alignment horizontal="center" vertical="center" wrapText="1"/>
    </xf>
    <xf numFmtId="0" fontId="17" fillId="23" borderId="7" xfId="0" applyFont="1" applyFill="1" applyBorder="1" applyAlignment="1">
      <alignment horizontal="center" vertical="center" wrapText="1"/>
    </xf>
    <xf numFmtId="0" fontId="17" fillId="24" borderId="7" xfId="0" applyFont="1" applyFill="1" applyBorder="1" applyAlignment="1">
      <alignment horizontal="center" vertical="center" wrapText="1"/>
    </xf>
    <xf numFmtId="0" fontId="17" fillId="25" borderId="7" xfId="0" applyFont="1" applyFill="1" applyBorder="1" applyAlignment="1">
      <alignment horizontal="center" vertical="center" wrapText="1"/>
    </xf>
    <xf numFmtId="0" fontId="17" fillId="26" borderId="7" xfId="0" applyFont="1" applyFill="1" applyBorder="1" applyAlignment="1">
      <alignment horizontal="center" vertical="center" wrapText="1"/>
    </xf>
    <xf numFmtId="0" fontId="17" fillId="27" borderId="7" xfId="0" applyFont="1" applyFill="1" applyBorder="1" applyAlignment="1">
      <alignment horizontal="center" vertical="center" wrapText="1"/>
    </xf>
    <xf numFmtId="0" fontId="17" fillId="28" borderId="7" xfId="0" applyFont="1" applyFill="1" applyBorder="1" applyAlignment="1">
      <alignment horizontal="center" vertical="center" wrapText="1"/>
    </xf>
    <xf numFmtId="0" fontId="17" fillId="18" borderId="7" xfId="0" applyFont="1" applyFill="1" applyBorder="1" applyAlignment="1">
      <alignment horizontal="center" vertical="center" wrapText="1"/>
    </xf>
    <xf numFmtId="0" fontId="17" fillId="29" borderId="7" xfId="0" applyFont="1" applyFill="1" applyBorder="1" applyAlignment="1">
      <alignment horizontal="center" vertical="center" wrapText="1"/>
    </xf>
    <xf numFmtId="0" fontId="17" fillId="30" borderId="7" xfId="0" applyFont="1" applyFill="1" applyBorder="1" applyAlignment="1">
      <alignment horizontal="center" vertical="center" wrapText="1"/>
    </xf>
    <xf numFmtId="0" fontId="21" fillId="0" borderId="7" xfId="0" applyFont="1" applyBorder="1" applyAlignment="1" applyProtection="1">
      <alignment wrapText="1"/>
      <protection locked="0"/>
    </xf>
    <xf numFmtId="0" fontId="21" fillId="0" borderId="7" xfId="0" applyFont="1" applyBorder="1"/>
    <xf numFmtId="0" fontId="21" fillId="23" borderId="0" xfId="0" applyFont="1" applyFill="1" applyAlignment="1">
      <alignment horizontal="center" vertical="center" wrapText="1"/>
    </xf>
    <xf numFmtId="0" fontId="21" fillId="23" borderId="53" xfId="0" applyFont="1" applyFill="1" applyBorder="1" applyAlignment="1">
      <alignment horizontal="center" vertical="center" wrapText="1"/>
    </xf>
    <xf numFmtId="165" fontId="17" fillId="0" borderId="20" xfId="0" applyNumberFormat="1" applyFont="1" applyBorder="1" applyAlignment="1">
      <alignment horizontal="center" vertical="center" wrapText="1"/>
    </xf>
    <xf numFmtId="165" fontId="17" fillId="0" borderId="12" xfId="0" applyNumberFormat="1" applyFont="1" applyBorder="1" applyAlignment="1">
      <alignment horizontal="center" vertical="center" wrapText="1"/>
    </xf>
    <xf numFmtId="165" fontId="17" fillId="13" borderId="12" xfId="0" applyNumberFormat="1" applyFont="1" applyFill="1" applyBorder="1" applyAlignment="1">
      <alignment horizontal="center" vertical="center" wrapText="1"/>
    </xf>
    <xf numFmtId="165" fontId="17" fillId="13" borderId="12" xfId="9" applyNumberFormat="1" applyFont="1" applyFill="1" applyBorder="1" applyAlignment="1">
      <alignment horizontal="center" vertical="center"/>
    </xf>
    <xf numFmtId="165" fontId="17" fillId="0" borderId="40" xfId="0" applyNumberFormat="1" applyFont="1" applyBorder="1" applyAlignment="1">
      <alignment horizontal="center" vertical="center" wrapText="1"/>
    </xf>
    <xf numFmtId="165" fontId="17" fillId="0" borderId="19" xfId="0" applyNumberFormat="1" applyFont="1" applyBorder="1" applyAlignment="1">
      <alignment horizontal="center" vertical="center" wrapText="1"/>
    </xf>
    <xf numFmtId="165" fontId="17" fillId="0" borderId="29" xfId="0" applyNumberFormat="1" applyFont="1" applyBorder="1" applyAlignment="1">
      <alignment horizontal="center" vertical="center" wrapText="1"/>
    </xf>
    <xf numFmtId="165" fontId="17" fillId="0" borderId="36" xfId="0" applyNumberFormat="1" applyFont="1" applyBorder="1" applyAlignment="1">
      <alignment horizontal="center" vertical="center" wrapText="1"/>
    </xf>
    <xf numFmtId="165" fontId="17" fillId="0" borderId="38" xfId="0" applyNumberFormat="1" applyFont="1" applyBorder="1" applyAlignment="1">
      <alignment horizontal="center" vertical="center" wrapText="1"/>
    </xf>
    <xf numFmtId="165" fontId="17" fillId="13" borderId="40" xfId="0" applyNumberFormat="1" applyFont="1" applyFill="1" applyBorder="1" applyAlignment="1">
      <alignment horizontal="center" vertical="center" wrapText="1"/>
    </xf>
    <xf numFmtId="165" fontId="17" fillId="0" borderId="13" xfId="0" applyNumberFormat="1" applyFont="1" applyBorder="1" applyAlignment="1">
      <alignment horizontal="center" vertical="center" wrapText="1"/>
    </xf>
    <xf numFmtId="165" fontId="17" fillId="0" borderId="7" xfId="0" applyNumberFormat="1" applyFont="1" applyBorder="1" applyAlignment="1">
      <alignment horizontal="center" vertical="center" wrapText="1"/>
    </xf>
    <xf numFmtId="165" fontId="17" fillId="13" borderId="7" xfId="0" applyNumberFormat="1" applyFont="1" applyFill="1" applyBorder="1" applyAlignment="1">
      <alignment horizontal="center" vertical="center" wrapText="1"/>
    </xf>
    <xf numFmtId="165" fontId="17" fillId="13" borderId="7" xfId="9" applyNumberFormat="1" applyFont="1" applyFill="1" applyBorder="1" applyAlignment="1">
      <alignment horizontal="center" vertical="center"/>
    </xf>
    <xf numFmtId="165" fontId="17" fillId="0" borderId="22" xfId="0" applyNumberFormat="1" applyFont="1" applyBorder="1" applyAlignment="1">
      <alignment horizontal="center" vertical="center" wrapText="1"/>
    </xf>
    <xf numFmtId="165" fontId="17" fillId="0" borderId="54" xfId="0" applyNumberFormat="1" applyFont="1" applyBorder="1" applyAlignment="1">
      <alignment horizontal="center" vertical="center" wrapText="1"/>
    </xf>
    <xf numFmtId="165" fontId="17" fillId="0" borderId="21" xfId="0" applyNumberFormat="1" applyFont="1" applyBorder="1" applyAlignment="1">
      <alignment horizontal="center" vertical="center" wrapText="1"/>
    </xf>
    <xf numFmtId="165" fontId="17" fillId="13" borderId="22" xfId="0" applyNumberFormat="1" applyFont="1" applyFill="1" applyBorder="1" applyAlignment="1">
      <alignment horizontal="center" vertical="center" wrapText="1"/>
    </xf>
    <xf numFmtId="165" fontId="17" fillId="13" borderId="21" xfId="0" applyNumberFormat="1" applyFont="1" applyFill="1" applyBorder="1" applyAlignment="1">
      <alignment horizontal="center" vertical="center" wrapText="1"/>
    </xf>
    <xf numFmtId="165" fontId="17" fillId="0" borderId="22" xfId="9" applyNumberFormat="1" applyFont="1" applyBorder="1" applyAlignment="1">
      <alignment horizontal="center" vertical="center" wrapText="1"/>
    </xf>
    <xf numFmtId="165" fontId="17" fillId="13" borderId="7" xfId="3" applyNumberFormat="1" applyFont="1" applyFill="1" applyBorder="1" applyAlignment="1" applyProtection="1">
      <alignment horizontal="center" vertical="center" wrapText="1"/>
    </xf>
    <xf numFmtId="165" fontId="21" fillId="0" borderId="21" xfId="0" applyNumberFormat="1" applyFont="1" applyBorder="1"/>
    <xf numFmtId="165" fontId="17" fillId="31" borderId="7" xfId="9" applyNumberFormat="1" applyFont="1" applyFill="1" applyBorder="1" applyAlignment="1" applyProtection="1">
      <alignment horizontal="center" vertical="center"/>
    </xf>
    <xf numFmtId="165" fontId="17" fillId="13" borderId="22" xfId="9" applyNumberFormat="1" applyFont="1" applyFill="1" applyBorder="1" applyAlignment="1">
      <alignment horizontal="center" vertical="center"/>
    </xf>
    <xf numFmtId="165" fontId="17" fillId="13" borderId="54" xfId="9" applyNumberFormat="1" applyFont="1" applyFill="1" applyBorder="1" applyAlignment="1">
      <alignment horizontal="center" vertical="center"/>
    </xf>
    <xf numFmtId="165" fontId="17" fillId="13" borderId="22" xfId="9" applyNumberFormat="1" applyFont="1" applyFill="1" applyBorder="1" applyAlignment="1">
      <alignment horizontal="center" vertical="center" wrapText="1"/>
    </xf>
    <xf numFmtId="165" fontId="17" fillId="0" borderId="46" xfId="0" applyNumberFormat="1" applyFont="1" applyBorder="1" applyAlignment="1">
      <alignment horizontal="center" vertical="center" wrapText="1"/>
    </xf>
    <xf numFmtId="165" fontId="17" fillId="0" borderId="42" xfId="0" applyNumberFormat="1" applyFont="1" applyBorder="1" applyAlignment="1">
      <alignment horizontal="center" vertical="center" wrapText="1"/>
    </xf>
    <xf numFmtId="165" fontId="17" fillId="13" borderId="42" xfId="0" applyNumberFormat="1" applyFont="1" applyFill="1" applyBorder="1" applyAlignment="1">
      <alignment horizontal="center" vertical="center" wrapText="1"/>
    </xf>
    <xf numFmtId="165" fontId="17" fillId="13" borderId="42" xfId="9" applyNumberFormat="1" applyFont="1" applyFill="1" applyBorder="1" applyAlignment="1">
      <alignment horizontal="center" vertical="center"/>
    </xf>
    <xf numFmtId="165" fontId="17" fillId="0" borderId="57" xfId="0" applyNumberFormat="1" applyFont="1" applyBorder="1" applyAlignment="1">
      <alignment horizontal="center" vertical="center" wrapText="1"/>
    </xf>
    <xf numFmtId="165" fontId="17" fillId="0" borderId="53" xfId="0" applyNumberFormat="1" applyFont="1" applyBorder="1" applyAlignment="1">
      <alignment horizontal="center" vertical="center" wrapText="1"/>
    </xf>
    <xf numFmtId="165" fontId="17" fillId="0" borderId="41" xfId="0" applyNumberFormat="1" applyFont="1" applyBorder="1" applyAlignment="1">
      <alignment horizontal="center" vertical="center" wrapText="1"/>
    </xf>
    <xf numFmtId="165" fontId="21" fillId="0" borderId="41" xfId="0" applyNumberFormat="1" applyFont="1" applyBorder="1"/>
    <xf numFmtId="0" fontId="17" fillId="13" borderId="0" xfId="0" applyFont="1" applyFill="1" applyAlignment="1">
      <alignment horizontal="center" vertical="center"/>
    </xf>
    <xf numFmtId="0" fontId="21" fillId="13" borderId="16" xfId="0" applyFont="1" applyFill="1" applyBorder="1" applyAlignment="1">
      <alignment horizontal="left" vertical="center" wrapText="1"/>
    </xf>
    <xf numFmtId="0" fontId="21" fillId="13" borderId="46" xfId="0" applyFont="1" applyFill="1" applyBorder="1" applyAlignment="1">
      <alignment horizontal="left" vertical="center" wrapText="1"/>
    </xf>
    <xf numFmtId="0" fontId="21" fillId="13" borderId="20" xfId="0" applyFont="1" applyFill="1" applyBorder="1" applyAlignment="1">
      <alignment horizontal="left" vertical="center" wrapText="1"/>
    </xf>
    <xf numFmtId="0" fontId="21" fillId="0" borderId="10" xfId="0" applyFont="1" applyBorder="1" applyAlignment="1">
      <alignment horizontal="center" vertical="center" wrapText="1"/>
    </xf>
    <xf numFmtId="0" fontId="21" fillId="0" borderId="65" xfId="0" applyFont="1" applyBorder="1" applyAlignment="1">
      <alignment horizontal="center" vertical="center" wrapText="1"/>
    </xf>
    <xf numFmtId="0" fontId="17" fillId="18" borderId="33" xfId="0" applyFont="1" applyFill="1" applyBorder="1" applyAlignment="1">
      <alignment horizontal="center" vertical="center" wrapText="1"/>
    </xf>
    <xf numFmtId="0" fontId="17" fillId="18" borderId="34" xfId="0" applyFont="1" applyFill="1" applyBorder="1" applyAlignment="1">
      <alignment horizontal="center" vertical="center" wrapText="1"/>
    </xf>
    <xf numFmtId="0" fontId="17" fillId="18" borderId="35" xfId="0" applyFont="1" applyFill="1" applyBorder="1" applyAlignment="1">
      <alignment horizontal="center" vertical="center" wrapText="1"/>
    </xf>
    <xf numFmtId="0" fontId="17" fillId="29" borderId="33" xfId="0" applyFont="1" applyFill="1" applyBorder="1" applyAlignment="1">
      <alignment horizontal="center" vertical="center" wrapText="1"/>
    </xf>
    <xf numFmtId="0" fontId="17" fillId="29" borderId="35" xfId="0" applyFont="1" applyFill="1" applyBorder="1" applyAlignment="1">
      <alignment horizontal="center" vertical="center" wrapText="1"/>
    </xf>
    <xf numFmtId="0" fontId="17" fillId="30" borderId="33" xfId="0" applyFont="1" applyFill="1" applyBorder="1" applyAlignment="1">
      <alignment horizontal="center" vertical="center" wrapText="1"/>
    </xf>
    <xf numFmtId="0" fontId="17" fillId="30" borderId="34" xfId="0" applyFont="1" applyFill="1" applyBorder="1" applyAlignment="1">
      <alignment horizontal="center" vertical="center" wrapText="1"/>
    </xf>
    <xf numFmtId="0" fontId="17" fillId="30" borderId="35" xfId="0" applyFont="1" applyFill="1" applyBorder="1" applyAlignment="1">
      <alignment horizontal="center" vertical="center" wrapText="1"/>
    </xf>
    <xf numFmtId="0" fontId="17" fillId="23" borderId="33" xfId="0" applyFont="1" applyFill="1" applyBorder="1" applyAlignment="1">
      <alignment horizontal="center" vertical="center" wrapText="1"/>
    </xf>
    <xf numFmtId="0" fontId="17" fillId="23" borderId="34" xfId="0" applyFont="1" applyFill="1" applyBorder="1" applyAlignment="1">
      <alignment horizontal="center" vertical="center" wrapText="1"/>
    </xf>
    <xf numFmtId="0" fontId="17" fillId="23" borderId="35" xfId="0" applyFont="1" applyFill="1" applyBorder="1" applyAlignment="1">
      <alignment horizontal="center" vertical="center" wrapText="1"/>
    </xf>
    <xf numFmtId="0" fontId="17" fillId="24" borderId="33" xfId="0" applyFont="1" applyFill="1" applyBorder="1" applyAlignment="1">
      <alignment horizontal="center" vertical="center" wrapText="1"/>
    </xf>
    <xf numFmtId="0" fontId="17" fillId="24" borderId="34" xfId="0" applyFont="1" applyFill="1" applyBorder="1" applyAlignment="1">
      <alignment horizontal="center" vertical="center" wrapText="1"/>
    </xf>
    <xf numFmtId="0" fontId="17" fillId="24" borderId="35" xfId="0" applyFont="1" applyFill="1" applyBorder="1" applyAlignment="1">
      <alignment horizontal="center" vertical="center" wrapText="1"/>
    </xf>
    <xf numFmtId="0" fontId="17" fillId="25" borderId="33" xfId="0" applyFont="1" applyFill="1" applyBorder="1" applyAlignment="1">
      <alignment horizontal="center" vertical="center" wrapText="1"/>
    </xf>
    <xf numFmtId="0" fontId="17" fillId="25" borderId="35" xfId="0" applyFont="1" applyFill="1" applyBorder="1" applyAlignment="1">
      <alignment horizontal="center" vertical="center" wrapText="1"/>
    </xf>
    <xf numFmtId="0" fontId="17" fillId="26" borderId="33" xfId="0" applyFont="1" applyFill="1" applyBorder="1" applyAlignment="1">
      <alignment horizontal="center" vertical="center" wrapText="1"/>
    </xf>
    <xf numFmtId="0" fontId="17" fillId="26" borderId="34" xfId="0" applyFont="1" applyFill="1" applyBorder="1" applyAlignment="1">
      <alignment horizontal="center" vertical="center" wrapText="1"/>
    </xf>
    <xf numFmtId="0" fontId="17" fillId="26" borderId="35" xfId="0" applyFont="1" applyFill="1" applyBorder="1" applyAlignment="1">
      <alignment horizontal="center" vertical="center" wrapText="1"/>
    </xf>
    <xf numFmtId="0" fontId="17" fillId="27" borderId="33" xfId="0" applyFont="1" applyFill="1" applyBorder="1" applyAlignment="1">
      <alignment horizontal="center" vertical="center" wrapText="1"/>
    </xf>
    <xf numFmtId="0" fontId="17" fillId="27" borderId="34" xfId="0" applyFont="1" applyFill="1" applyBorder="1" applyAlignment="1">
      <alignment horizontal="center" vertical="center" wrapText="1"/>
    </xf>
    <xf numFmtId="0" fontId="17" fillId="27" borderId="35" xfId="0" applyFont="1" applyFill="1" applyBorder="1" applyAlignment="1">
      <alignment horizontal="center" vertical="center" wrapText="1"/>
    </xf>
    <xf numFmtId="0" fontId="17" fillId="28" borderId="33" xfId="0" applyFont="1" applyFill="1" applyBorder="1" applyAlignment="1">
      <alignment horizontal="center" vertical="center" wrapText="1"/>
    </xf>
    <xf numFmtId="0" fontId="17" fillId="28" borderId="35" xfId="0" applyFont="1" applyFill="1" applyBorder="1" applyAlignment="1">
      <alignment horizontal="center" vertical="center" wrapText="1"/>
    </xf>
    <xf numFmtId="0" fontId="43" fillId="9" borderId="61" xfId="0" applyFont="1" applyFill="1" applyBorder="1" applyAlignment="1">
      <alignment horizontal="center" wrapText="1"/>
    </xf>
    <xf numFmtId="0" fontId="43" fillId="9" borderId="63" xfId="0" applyFont="1" applyFill="1" applyBorder="1" applyAlignment="1">
      <alignment horizontal="center" wrapText="1"/>
    </xf>
    <xf numFmtId="0" fontId="22" fillId="9" borderId="58" xfId="0" applyFont="1" applyFill="1" applyBorder="1" applyAlignment="1" applyProtection="1">
      <alignment horizontal="center" vertical="center" wrapText="1"/>
      <protection locked="0"/>
    </xf>
    <xf numFmtId="0" fontId="22" fillId="9" borderId="2" xfId="0" applyFont="1" applyFill="1" applyBorder="1" applyAlignment="1" applyProtection="1">
      <alignment horizontal="center" vertical="center" wrapText="1"/>
      <protection locked="0"/>
    </xf>
    <xf numFmtId="0" fontId="7" fillId="9" borderId="7" xfId="0" applyFont="1" applyFill="1" applyBorder="1" applyAlignment="1">
      <alignment horizontal="center"/>
    </xf>
    <xf numFmtId="0" fontId="7" fillId="9" borderId="0" xfId="0" applyFont="1" applyFill="1" applyAlignment="1">
      <alignment horizontal="center"/>
    </xf>
    <xf numFmtId="0" fontId="7" fillId="15" borderId="0" xfId="0" applyFont="1" applyFill="1" applyAlignment="1">
      <alignment horizontal="left"/>
    </xf>
    <xf numFmtId="0" fontId="17" fillId="0" borderId="64" xfId="0" applyFont="1" applyBorder="1" applyAlignment="1">
      <alignment horizontal="center" vertical="center" wrapText="1"/>
    </xf>
    <xf numFmtId="0" fontId="17" fillId="0" borderId="41" xfId="0" applyFont="1" applyBorder="1" applyAlignment="1">
      <alignment horizontal="center" vertical="center" wrapText="1"/>
    </xf>
    <xf numFmtId="0" fontId="21" fillId="13" borderId="14" xfId="0" applyFont="1" applyFill="1" applyBorder="1" applyAlignment="1">
      <alignment horizontal="left" vertical="center" wrapText="1"/>
    </xf>
    <xf numFmtId="0" fontId="21" fillId="13" borderId="56" xfId="0" applyFont="1" applyFill="1" applyBorder="1" applyAlignment="1">
      <alignment horizontal="left" vertical="center" wrapText="1"/>
    </xf>
    <xf numFmtId="0" fontId="17" fillId="0" borderId="29" xfId="0" applyFont="1" applyBorder="1" applyAlignment="1">
      <alignment horizontal="center" vertical="center" wrapText="1"/>
    </xf>
    <xf numFmtId="0" fontId="21" fillId="13" borderId="18" xfId="0" applyFont="1" applyFill="1" applyBorder="1" applyAlignment="1">
      <alignment horizontal="left" vertical="center" wrapText="1"/>
    </xf>
    <xf numFmtId="0" fontId="17" fillId="18" borderId="61" xfId="0" applyFont="1" applyFill="1" applyBorder="1" applyAlignment="1">
      <alignment horizontal="center" vertical="center" wrapText="1"/>
    </xf>
    <xf numFmtId="0" fontId="17" fillId="18" borderId="62" xfId="0" applyFont="1" applyFill="1" applyBorder="1" applyAlignment="1">
      <alignment horizontal="center" vertical="center" wrapText="1"/>
    </xf>
    <xf numFmtId="0" fontId="17" fillId="18" borderId="63" xfId="0" applyFont="1" applyFill="1" applyBorder="1" applyAlignment="1">
      <alignment horizontal="center" vertical="center" wrapText="1"/>
    </xf>
    <xf numFmtId="0" fontId="17" fillId="29" borderId="61" xfId="0" applyFont="1" applyFill="1" applyBorder="1" applyAlignment="1">
      <alignment horizontal="center" vertical="center" wrapText="1"/>
    </xf>
    <xf numFmtId="0" fontId="17" fillId="29" borderId="63" xfId="0" applyFont="1" applyFill="1" applyBorder="1" applyAlignment="1">
      <alignment horizontal="center" vertical="center" wrapText="1"/>
    </xf>
    <xf numFmtId="0" fontId="17" fillId="30" borderId="61" xfId="0" applyFont="1" applyFill="1" applyBorder="1" applyAlignment="1">
      <alignment horizontal="center" vertical="center" wrapText="1"/>
    </xf>
    <xf numFmtId="0" fontId="17" fillId="30" borderId="62" xfId="0" applyFont="1" applyFill="1" applyBorder="1" applyAlignment="1">
      <alignment horizontal="center" vertical="center" wrapText="1"/>
    </xf>
    <xf numFmtId="0" fontId="17" fillId="30" borderId="63" xfId="0" applyFont="1" applyFill="1" applyBorder="1" applyAlignment="1">
      <alignment horizontal="center" vertical="center" wrapText="1"/>
    </xf>
    <xf numFmtId="0" fontId="17" fillId="27" borderId="55" xfId="0" applyFont="1" applyFill="1" applyBorder="1" applyAlignment="1">
      <alignment horizontal="center" vertical="center" wrapText="1"/>
    </xf>
    <xf numFmtId="0" fontId="17" fillId="23" borderId="59" xfId="0" applyFont="1" applyFill="1" applyBorder="1" applyAlignment="1">
      <alignment horizontal="center" vertical="center" wrapText="1"/>
    </xf>
    <xf numFmtId="0" fontId="17" fillId="23" borderId="55" xfId="0" applyFont="1" applyFill="1" applyBorder="1" applyAlignment="1">
      <alignment horizontal="center" vertical="center" wrapText="1"/>
    </xf>
    <xf numFmtId="0" fontId="17" fillId="23" borderId="60" xfId="0" applyFont="1" applyFill="1" applyBorder="1" applyAlignment="1">
      <alignment horizontal="center" vertical="center" wrapText="1"/>
    </xf>
    <xf numFmtId="0" fontId="17" fillId="24" borderId="61" xfId="0" applyFont="1" applyFill="1" applyBorder="1" applyAlignment="1">
      <alignment horizontal="center" vertical="center" wrapText="1"/>
    </xf>
    <xf numFmtId="0" fontId="17" fillId="24" borderId="62" xfId="0" applyFont="1" applyFill="1" applyBorder="1" applyAlignment="1">
      <alignment horizontal="center" vertical="center" wrapText="1"/>
    </xf>
    <xf numFmtId="0" fontId="17" fillId="24" borderId="63" xfId="0" applyFont="1" applyFill="1" applyBorder="1" applyAlignment="1">
      <alignment horizontal="center" vertical="center" wrapText="1"/>
    </xf>
    <xf numFmtId="0" fontId="17" fillId="25" borderId="61" xfId="0" applyFont="1" applyFill="1" applyBorder="1" applyAlignment="1">
      <alignment horizontal="center" vertical="center" wrapText="1"/>
    </xf>
    <xf numFmtId="0" fontId="17" fillId="25" borderId="63" xfId="0" applyFont="1" applyFill="1" applyBorder="1" applyAlignment="1">
      <alignment horizontal="center" vertical="center" wrapText="1"/>
    </xf>
    <xf numFmtId="0" fontId="17" fillId="26" borderId="61" xfId="0" applyFont="1" applyFill="1" applyBorder="1" applyAlignment="1">
      <alignment horizontal="center" vertical="center" wrapText="1"/>
    </xf>
    <xf numFmtId="0" fontId="17" fillId="26" borderId="62" xfId="0" applyFont="1" applyFill="1" applyBorder="1" applyAlignment="1">
      <alignment horizontal="center" vertical="center" wrapText="1"/>
    </xf>
    <xf numFmtId="0" fontId="17" fillId="26" borderId="63" xfId="0" applyFont="1" applyFill="1" applyBorder="1" applyAlignment="1">
      <alignment horizontal="center" vertical="center" wrapText="1"/>
    </xf>
    <xf numFmtId="0" fontId="17" fillId="27" borderId="61" xfId="0" applyFont="1" applyFill="1" applyBorder="1" applyAlignment="1">
      <alignment horizontal="center" vertical="center" wrapText="1"/>
    </xf>
    <xf numFmtId="0" fontId="17" fillId="27" borderId="62" xfId="0" applyFont="1" applyFill="1" applyBorder="1" applyAlignment="1">
      <alignment horizontal="center" vertical="center" wrapText="1"/>
    </xf>
    <xf numFmtId="0" fontId="17" fillId="27" borderId="63" xfId="0" applyFont="1" applyFill="1" applyBorder="1" applyAlignment="1">
      <alignment horizontal="center" vertical="center" wrapText="1"/>
    </xf>
    <xf numFmtId="0" fontId="17" fillId="28" borderId="61" xfId="0" applyFont="1" applyFill="1" applyBorder="1" applyAlignment="1">
      <alignment horizontal="center" vertical="center" wrapText="1"/>
    </xf>
    <xf numFmtId="0" fontId="17" fillId="28" borderId="63" xfId="0" applyFont="1" applyFill="1" applyBorder="1" applyAlignment="1">
      <alignment horizontal="center" vertical="center" wrapText="1"/>
    </xf>
    <xf numFmtId="0" fontId="43" fillId="9" borderId="33" xfId="0" applyFont="1" applyFill="1" applyBorder="1" applyAlignment="1">
      <alignment horizontal="center" wrapText="1"/>
    </xf>
    <xf numFmtId="0" fontId="43" fillId="9" borderId="35" xfId="0" applyFont="1" applyFill="1" applyBorder="1" applyAlignment="1">
      <alignment horizontal="center" wrapText="1"/>
    </xf>
    <xf numFmtId="0" fontId="22" fillId="9" borderId="66" xfId="0" applyFont="1" applyFill="1" applyBorder="1" applyAlignment="1" applyProtection="1">
      <alignment horizontal="center" vertical="center" wrapText="1"/>
      <protection locked="0"/>
    </xf>
    <xf numFmtId="0" fontId="22" fillId="9" borderId="5" xfId="0" applyFont="1" applyFill="1" applyBorder="1" applyAlignment="1" applyProtection="1">
      <alignment horizontal="center" vertical="center" wrapText="1"/>
      <protection locked="0"/>
    </xf>
    <xf numFmtId="0" fontId="22" fillId="9" borderId="67" xfId="0" applyFont="1" applyFill="1" applyBorder="1" applyAlignment="1" applyProtection="1">
      <alignment horizontal="center" vertical="center" wrapText="1"/>
      <protection locked="0"/>
    </xf>
    <xf numFmtId="0" fontId="20" fillId="17" borderId="34" xfId="0" applyFont="1" applyFill="1" applyBorder="1" applyAlignment="1" applyProtection="1">
      <alignment horizontal="center" vertical="center" wrapText="1"/>
      <protection locked="0"/>
    </xf>
    <xf numFmtId="0" fontId="20" fillId="17" borderId="35" xfId="0" applyFont="1" applyFill="1" applyBorder="1" applyAlignment="1" applyProtection="1">
      <alignment horizontal="center" vertical="center" wrapText="1"/>
      <protection locked="0"/>
    </xf>
    <xf numFmtId="0" fontId="20" fillId="9" borderId="33" xfId="0" applyFont="1" applyFill="1" applyBorder="1" applyAlignment="1" applyProtection="1">
      <alignment horizontal="center" vertical="center" wrapText="1"/>
      <protection locked="0"/>
    </xf>
    <xf numFmtId="0" fontId="20" fillId="9" borderId="34" xfId="0" applyFont="1" applyFill="1" applyBorder="1" applyAlignment="1" applyProtection="1">
      <alignment horizontal="center" vertical="center" wrapText="1"/>
      <protection locked="0"/>
    </xf>
    <xf numFmtId="0" fontId="20" fillId="9" borderId="35" xfId="0" applyFont="1" applyFill="1" applyBorder="1" applyAlignment="1" applyProtection="1">
      <alignment horizontal="center" vertical="center" wrapText="1"/>
      <protection locked="0"/>
    </xf>
    <xf numFmtId="0" fontId="36" fillId="22" borderId="14" xfId="0" applyFont="1" applyFill="1" applyBorder="1" applyAlignment="1" applyProtection="1">
      <alignment horizontal="center" vertical="center" wrapText="1"/>
      <protection locked="0"/>
    </xf>
    <xf numFmtId="0" fontId="36" fillId="22" borderId="16" xfId="0" applyFont="1" applyFill="1" applyBorder="1" applyAlignment="1" applyProtection="1">
      <alignment horizontal="center" vertical="center" wrapText="1"/>
      <protection locked="0"/>
    </xf>
    <xf numFmtId="0" fontId="36" fillId="22" borderId="18" xfId="0" applyFont="1" applyFill="1" applyBorder="1" applyAlignment="1" applyProtection="1">
      <alignment horizontal="center" vertical="center" wrapText="1"/>
      <protection locked="0"/>
    </xf>
    <xf numFmtId="0" fontId="36" fillId="22" borderId="20" xfId="0" applyFont="1" applyFill="1" applyBorder="1" applyAlignment="1" applyProtection="1">
      <alignment horizontal="center" vertical="center" wrapText="1"/>
      <protection locked="0"/>
    </xf>
    <xf numFmtId="0" fontId="20" fillId="17" borderId="33" xfId="0" applyFont="1" applyFill="1" applyBorder="1" applyAlignment="1" applyProtection="1">
      <alignment horizontal="center" vertical="center" wrapText="1"/>
      <protection locked="0"/>
    </xf>
    <xf numFmtId="0" fontId="38" fillId="18" borderId="55" xfId="0" applyFont="1" applyFill="1" applyBorder="1" applyAlignment="1" applyProtection="1">
      <alignment horizontal="center" vertical="center" textRotation="90" wrapText="1"/>
      <protection locked="0"/>
    </xf>
    <xf numFmtId="0" fontId="35" fillId="21" borderId="7" xfId="0" applyFont="1" applyFill="1" applyBorder="1" applyAlignment="1" applyProtection="1">
      <alignment horizontal="center" vertical="center" wrapText="1"/>
      <protection locked="0"/>
    </xf>
    <xf numFmtId="0" fontId="27" fillId="9" borderId="0" xfId="0" applyFont="1" applyFill="1" applyAlignment="1" applyProtection="1">
      <alignment horizontal="left" vertical="center" wrapText="1"/>
      <protection locked="0"/>
    </xf>
    <xf numFmtId="0" fontId="36" fillId="22" borderId="10" xfId="0" applyFont="1" applyFill="1" applyBorder="1" applyAlignment="1" applyProtection="1">
      <alignment horizontal="center" vertical="center" wrapText="1"/>
      <protection locked="0"/>
    </xf>
    <xf numFmtId="0" fontId="36" fillId="22" borderId="13" xfId="0" applyFont="1" applyFill="1" applyBorder="1" applyAlignment="1" applyProtection="1">
      <alignment horizontal="center" vertical="center" wrapText="1"/>
      <protection locked="0"/>
    </xf>
    <xf numFmtId="0" fontId="17" fillId="18" borderId="33" xfId="0" applyFont="1" applyFill="1" applyBorder="1" applyAlignment="1" applyProtection="1">
      <alignment horizontal="center" vertical="center" wrapText="1"/>
      <protection locked="0"/>
    </xf>
    <xf numFmtId="0" fontId="17" fillId="18" borderId="34" xfId="0" applyFont="1" applyFill="1" applyBorder="1" applyAlignment="1" applyProtection="1">
      <alignment horizontal="center" vertical="center" wrapText="1"/>
      <protection locked="0"/>
    </xf>
    <xf numFmtId="0" fontId="17" fillId="18" borderId="35" xfId="0" applyFont="1" applyFill="1" applyBorder="1" applyAlignment="1" applyProtection="1">
      <alignment horizontal="center" vertical="center" wrapText="1"/>
      <protection locked="0"/>
    </xf>
    <xf numFmtId="0" fontId="18" fillId="13" borderId="7" xfId="0" applyFont="1" applyFill="1" applyBorder="1" applyAlignment="1" applyProtection="1">
      <alignment horizontal="left" vertical="center" wrapText="1"/>
      <protection locked="0"/>
    </xf>
    <xf numFmtId="0" fontId="18" fillId="13" borderId="22" xfId="0" applyFont="1" applyFill="1" applyBorder="1" applyAlignment="1" applyProtection="1">
      <alignment horizontal="left" vertical="center" wrapText="1"/>
      <protection locked="0"/>
    </xf>
    <xf numFmtId="0" fontId="35" fillId="22" borderId="7" xfId="0" applyFont="1" applyFill="1" applyBorder="1" applyAlignment="1" applyProtection="1">
      <alignment horizontal="center" vertical="center" wrapText="1"/>
      <protection locked="0"/>
    </xf>
    <xf numFmtId="0" fontId="18" fillId="13" borderId="43" xfId="0" applyFont="1" applyFill="1" applyBorder="1" applyAlignment="1" applyProtection="1">
      <alignment horizontal="left" vertical="center" wrapText="1"/>
      <protection locked="0"/>
    </xf>
    <xf numFmtId="0" fontId="18" fillId="13" borderId="44" xfId="0" applyFont="1" applyFill="1" applyBorder="1" applyAlignment="1" applyProtection="1">
      <alignment horizontal="left" vertical="center" wrapText="1"/>
      <protection locked="0"/>
    </xf>
    <xf numFmtId="0" fontId="36" fillId="21" borderId="14" xfId="0" applyFont="1" applyFill="1" applyBorder="1" applyAlignment="1" applyProtection="1">
      <alignment horizontal="center" vertical="center" wrapText="1"/>
      <protection locked="0"/>
    </xf>
    <xf numFmtId="0" fontId="36" fillId="21" borderId="16" xfId="0" applyFont="1" applyFill="1" applyBorder="1" applyAlignment="1" applyProtection="1">
      <alignment horizontal="center" vertical="center" wrapText="1"/>
      <protection locked="0"/>
    </xf>
    <xf numFmtId="0" fontId="36" fillId="21" borderId="18" xfId="0" applyFont="1" applyFill="1" applyBorder="1" applyAlignment="1" applyProtection="1">
      <alignment horizontal="center" vertical="center" wrapText="1"/>
      <protection locked="0"/>
    </xf>
    <xf numFmtId="0" fontId="36" fillId="21" borderId="20" xfId="0" applyFont="1" applyFill="1" applyBorder="1" applyAlignment="1" applyProtection="1">
      <alignment horizontal="center" vertical="center" wrapText="1"/>
      <protection locked="0"/>
    </xf>
    <xf numFmtId="0" fontId="0" fillId="0" borderId="11" xfId="0" applyBorder="1" applyAlignment="1">
      <alignment horizontal="center" vertical="center"/>
    </xf>
    <xf numFmtId="0" fontId="0" fillId="0" borderId="12" xfId="0" applyBorder="1" applyAlignment="1">
      <alignment horizontal="center" vertical="center"/>
    </xf>
    <xf numFmtId="0" fontId="5" fillId="9" borderId="0" xfId="0" applyFont="1" applyFill="1" applyAlignment="1">
      <alignment horizontal="center"/>
    </xf>
    <xf numFmtId="0" fontId="0" fillId="6" borderId="0" xfId="0" applyFill="1" applyAlignment="1">
      <alignment horizontal="left" vertical="center" wrapText="1"/>
    </xf>
  </cellXfs>
  <cellStyles count="10">
    <cellStyle name="Bad" xfId="1" builtinId="27"/>
    <cellStyle name="Hyperlink" xfId="9" builtinId="8"/>
    <cellStyle name="Input" xfId="3" builtinId="20"/>
    <cellStyle name="Input 2" xfId="7" xr:uid="{D050FAFE-63E3-48AB-9CC5-21407AAA5417}"/>
    <cellStyle name="Neutral" xfId="2" builtinId="28"/>
    <cellStyle name="Normal" xfId="0" builtinId="0"/>
    <cellStyle name="Normal 2" xfId="4" xr:uid="{42BE98A3-6AD7-49C7-AC20-C164346BE62C}"/>
    <cellStyle name="Normal 2 2" xfId="5" xr:uid="{CF7CF4A9-F0CD-4139-8747-D6EF38F2303A}"/>
    <cellStyle name="Normal 2 2 2" xfId="6" xr:uid="{A640E12B-365B-4AF3-B825-752576171482}"/>
    <cellStyle name="Normal 3" xfId="8" xr:uid="{23A929C7-16ED-4443-B049-1CC92716B460}"/>
  </cellStyles>
  <dxfs count="21">
    <dxf>
      <fill>
        <patternFill patternType="lightUp"/>
      </fill>
    </dxf>
    <dxf>
      <fill>
        <patternFill patternType="lightUp"/>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Author" id="{834E94AD-AE23-4DE4-9CF1-0257CB037184}" userId="Author" providerId="None"/>
  <person displayName="Toni Austin" id="{C9A75A8C-CCFA-47A0-B70B-16451BED5A07}" userId="S::ToniAustin@portways.au::4939f9a9-9dd3-4f1e-9018-3e990c451635" providerId="AD"/>
  <person displayName="Zachary Rubock" id="{5FF0D3C2-4B57-496E-846F-69FEC24894D5}" userId="S::zachary.rubock@mrl.com.au::f409dca4-6b21-4fdf-aedc-f0fab3a47861" providerId="AD"/>
  <person displayName="Jacquilyn Brittain" id="{5570C502-F7EB-44DF-9DF7-323B61088A3D}" userId="S::jacquilyn.brittain@mrl.com.au::a88f2620-3922-466d-8b94-775382a91fd1" providerId="AD"/>
  <person displayName="Toni Austin" id="{1192EC38-BAA8-4ECE-96DC-BA8A60B8F8E5}" userId="S::toniaustin_portways.au#ext#@mineralresources.onmicrosoft.com::5a32346f-3c5d-4a38-841e-64ff63dadd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27" dT="2026-07-30T14:47:45.37" personId="{5FF0D3C2-4B57-496E-846F-69FEC24894D5}" id="{4E7CC224-B8D7-4AF7-B972-B5C42A28053B}">
    <text>Master 500GT</text>
  </threadedComment>
  <threadedComment ref="T51" dT="2026-07-22T15:11:02.60" personId="{5FF0D3C2-4B57-496E-846F-69FEC24894D5}" id="{406D5BAE-0089-4C47-8B31-2CBE46299B7A}">
    <text>NOT AMSA ENDORSED</text>
  </threadedComment>
</ThreadedComments>
</file>

<file path=xl/threadedComments/threadedComment2.xml><?xml version="1.0" encoding="utf-8"?>
<ThreadedComments xmlns="http://schemas.microsoft.com/office/spreadsheetml/2018/threadedcomments" xmlns:x="http://schemas.openxmlformats.org/spreadsheetml/2006/main">
  <threadedComment ref="X9" dT="2025-11-26T13:21:36.32" personId="{00000000-0000-0000-0000-000000000000}" id="{54DCFCBA-DA69-4D8E-BA42-3CAACD289B09}">
    <text>AMSA FRC Endorsement or FRC Course Completion?</text>
  </threadedComment>
  <threadedComment ref="AI9" dT="2025-11-26T13:23:33.14" personId="{00000000-0000-0000-0000-000000000000}" id="{CFD163E1-B985-4F05-86D6-9A7CFEDB1C47}">
    <text>This, I believe, is the theory PPA exam that the Master / Mate needs to complete to be issued a PEC along with the PEC runs.  6 Month limit and not a SW Phase 1 matter</text>
  </threadedComment>
  <threadedComment ref="AL9" dT="2026-01-10T10:42:35.70" personId="{1192EC38-BAA8-4ECE-96DC-BA8A60B8F8E5}" id="{E1AFF393-77EE-4A59-AB5E-32E746147D38}">
    <text>There are two Phase 4s: 
Phase 4A - ASD tug driving + In &amp; Out of the Notch + Connecting tow over the tug’s stern to the ATB’s bow.
Phase 4B - ATB driving including berthing &amp; sailing from MRLT &amp; OGV + Pilbara Ports’ PEC.</text>
  </threadedComment>
  <threadedComment ref="AM9" dT="2025-11-26T13:24:12.94" personId="{00000000-0000-0000-0000-000000000000}" id="{0E9E2492-E4A4-46D2-AC0A-3AC9E7752001}">
    <text>Is the HRW Simulator Phase 5a?</text>
  </threadedComment>
  <threadedComment ref="AN9" dT="2025-11-26T13:24:35.10" personId="{00000000-0000-0000-0000-000000000000}" id="{90894E76-CD52-47BF-A5BF-CF85C5B5E045}">
    <text>Is this the Day and night Passing training?</text>
  </threadedComment>
  <threadedComment ref="BM15" dT="2026-02-12T06:56:05.55" personId="{5570C502-F7EB-44DF-9DF7-323B61088A3D}" id="{12F9A0D9-9AB0-44D1-823C-1E9FA7A8B0FD}">
    <text>Exempt until DDMar</text>
  </threadedComment>
  <threadedComment ref="BM15" dT="2026-03-04T14:50:56.83" personId="{C9A75A8C-CCFA-47A0-B70B-16451BED5A07}" id="{5128A834-3C70-4FF8-8106-63CADB13672F}" parentId="{12F9A0D9-9AB0-44D1-823C-1E9FA7A8B0FD}">
    <text>DUE 19/3/26</text>
  </threadedComment>
  <threadedComment ref="AO16" personId="{834E94AD-AE23-4DE4-9CF1-0257CB037184}" id="{BA7D5B4F-FCBC-4A3B-99FE-C5D426DFE7AD}">
    <text>within 6months</text>
  </threadedComment>
  <threadedComment ref="AO17" personId="{834E94AD-AE23-4DE4-9CF1-0257CB037184}" id="{10FAF8FC-62E8-4683-AC47-0E254A28A7F3}">
    <text>within 6months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26FA-A0DE-43D5-97FE-7C4AB74F54E2}">
  <sheetPr>
    <tabColor theme="8"/>
  </sheetPr>
  <dimension ref="A1:D48"/>
  <sheetViews>
    <sheetView showGridLines="0" topLeftCell="A14" workbookViewId="0">
      <selection activeCell="D53" sqref="D53"/>
    </sheetView>
  </sheetViews>
  <sheetFormatPr defaultRowHeight="15"/>
  <cols>
    <col min="1" max="1" width="34" customWidth="1"/>
    <col min="2" max="2" width="26.5703125" bestFit="1" customWidth="1"/>
    <col min="3" max="3" width="26.5703125" customWidth="1"/>
    <col min="4" max="4" width="67.85546875" style="17" customWidth="1"/>
  </cols>
  <sheetData>
    <row r="1" spans="1:4">
      <c r="A1" s="390" t="s">
        <v>0</v>
      </c>
      <c r="B1" s="390"/>
      <c r="C1" s="390"/>
      <c r="D1" s="390"/>
    </row>
    <row r="2" spans="1:4">
      <c r="A2" s="25" t="s">
        <v>1</v>
      </c>
      <c r="B2" t="s">
        <v>2</v>
      </c>
      <c r="D2"/>
    </row>
    <row r="3" spans="1:4">
      <c r="A3" s="24" t="s">
        <v>3</v>
      </c>
      <c r="B3" t="s">
        <v>4</v>
      </c>
      <c r="D3"/>
    </row>
    <row r="4" spans="1:4">
      <c r="A4" s="24" t="s">
        <v>5</v>
      </c>
      <c r="B4" t="s">
        <v>6</v>
      </c>
      <c r="D4"/>
    </row>
    <row r="5" spans="1:4">
      <c r="A5" s="26" t="s">
        <v>7</v>
      </c>
      <c r="B5" t="s">
        <v>8</v>
      </c>
      <c r="D5"/>
    </row>
    <row r="6" spans="1:4">
      <c r="A6" s="26" t="s">
        <v>9</v>
      </c>
      <c r="B6" t="s">
        <v>10</v>
      </c>
      <c r="D6"/>
    </row>
    <row r="7" spans="1:4">
      <c r="A7" s="26" t="s">
        <v>11</v>
      </c>
      <c r="B7" t="s">
        <v>12</v>
      </c>
      <c r="D7"/>
    </row>
    <row r="8" spans="1:4">
      <c r="A8" s="390" t="s">
        <v>13</v>
      </c>
      <c r="B8" s="390"/>
      <c r="C8" s="390"/>
      <c r="D8" s="390"/>
    </row>
    <row r="9" spans="1:4">
      <c r="D9"/>
    </row>
    <row r="10" spans="1:4">
      <c r="A10" s="391" t="s">
        <v>14</v>
      </c>
      <c r="B10" s="391"/>
      <c r="C10" s="391"/>
      <c r="D10" s="391"/>
    </row>
    <row r="11" spans="1:4" ht="25.15" customHeight="1">
      <c r="A11" s="23" t="s">
        <v>15</v>
      </c>
      <c r="B11" s="21"/>
      <c r="C11" s="21"/>
      <c r="D11" s="22"/>
    </row>
    <row r="13" spans="1:4">
      <c r="A13" s="389" t="s">
        <v>16</v>
      </c>
      <c r="B13" s="389"/>
    </row>
    <row r="14" spans="1:4" ht="32.450000000000003" customHeight="1">
      <c r="A14" s="130"/>
      <c r="B14" s="131" t="s">
        <v>17</v>
      </c>
    </row>
    <row r="15" spans="1:4">
      <c r="A15" s="132"/>
      <c r="B15" s="130" t="s">
        <v>18</v>
      </c>
    </row>
    <row r="16" spans="1:4">
      <c r="A16" s="133"/>
      <c r="B16" s="130" t="s">
        <v>19</v>
      </c>
    </row>
    <row r="17" spans="1:4" ht="29.45" customHeight="1">
      <c r="A17" s="134"/>
      <c r="B17" s="131" t="s">
        <v>20</v>
      </c>
    </row>
    <row r="18" spans="1:4" ht="34.9" customHeight="1">
      <c r="A18" s="135"/>
      <c r="B18" s="131" t="s">
        <v>21</v>
      </c>
    </row>
    <row r="20" spans="1:4">
      <c r="A20" s="390" t="s">
        <v>22</v>
      </c>
      <c r="B20" s="390"/>
      <c r="C20" s="390"/>
      <c r="D20" s="390"/>
    </row>
    <row r="21" spans="1:4">
      <c r="A21" s="16" t="s">
        <v>23</v>
      </c>
      <c r="B21" s="16" t="s">
        <v>24</v>
      </c>
      <c r="C21" s="16" t="s">
        <v>25</v>
      </c>
      <c r="D21" s="18" t="s">
        <v>26</v>
      </c>
    </row>
    <row r="22" spans="1:4">
      <c r="A22" s="8" t="s">
        <v>27</v>
      </c>
      <c r="B22" s="8" t="s">
        <v>28</v>
      </c>
      <c r="C22" s="8" t="s">
        <v>29</v>
      </c>
      <c r="D22" s="27" t="s">
        <v>30</v>
      </c>
    </row>
    <row r="23" spans="1:4">
      <c r="A23" s="8" t="s">
        <v>31</v>
      </c>
      <c r="B23" s="8" t="s">
        <v>32</v>
      </c>
      <c r="C23" s="8" t="s">
        <v>33</v>
      </c>
      <c r="D23" s="20" t="s">
        <v>34</v>
      </c>
    </row>
    <row r="24" spans="1:4">
      <c r="A24" s="8" t="s">
        <v>31</v>
      </c>
      <c r="B24" s="8" t="s">
        <v>32</v>
      </c>
      <c r="C24" s="8" t="s">
        <v>35</v>
      </c>
      <c r="D24" s="20" t="s">
        <v>36</v>
      </c>
    </row>
    <row r="25" spans="1:4">
      <c r="A25" s="8" t="s">
        <v>31</v>
      </c>
      <c r="B25" s="8" t="s">
        <v>32</v>
      </c>
      <c r="C25" s="8" t="s">
        <v>37</v>
      </c>
      <c r="D25" s="20" t="s">
        <v>38</v>
      </c>
    </row>
    <row r="26" spans="1:4">
      <c r="A26" s="8" t="s">
        <v>31</v>
      </c>
      <c r="B26" s="8" t="s">
        <v>32</v>
      </c>
      <c r="C26" s="8" t="s">
        <v>39</v>
      </c>
      <c r="D26" s="20" t="s">
        <v>40</v>
      </c>
    </row>
    <row r="27" spans="1:4">
      <c r="A27" s="8" t="s">
        <v>41</v>
      </c>
      <c r="B27" s="8" t="s">
        <v>32</v>
      </c>
      <c r="C27" s="8" t="s">
        <v>42</v>
      </c>
      <c r="D27" s="20" t="s">
        <v>43</v>
      </c>
    </row>
    <row r="28" spans="1:4">
      <c r="A28" s="8" t="s">
        <v>41</v>
      </c>
      <c r="B28" s="8" t="s">
        <v>32</v>
      </c>
      <c r="C28" s="8" t="s">
        <v>44</v>
      </c>
      <c r="D28" s="20" t="s">
        <v>45</v>
      </c>
    </row>
    <row r="29" spans="1:4">
      <c r="A29" s="8" t="s">
        <v>41</v>
      </c>
      <c r="B29" s="8" t="s">
        <v>32</v>
      </c>
      <c r="C29" s="8" t="s">
        <v>46</v>
      </c>
      <c r="D29" s="20" t="s">
        <v>47</v>
      </c>
    </row>
    <row r="30" spans="1:4">
      <c r="A30" s="8" t="s">
        <v>41</v>
      </c>
      <c r="B30" s="8" t="s">
        <v>32</v>
      </c>
      <c r="C30" s="8" t="s">
        <v>48</v>
      </c>
      <c r="D30" s="20" t="s">
        <v>49</v>
      </c>
    </row>
    <row r="31" spans="1:4">
      <c r="A31" s="8" t="s">
        <v>50</v>
      </c>
      <c r="B31" s="8" t="s">
        <v>51</v>
      </c>
      <c r="C31" s="15"/>
      <c r="D31" s="20" t="s">
        <v>52</v>
      </c>
    </row>
    <row r="32" spans="1:4">
      <c r="A32" s="8" t="s">
        <v>53</v>
      </c>
      <c r="B32" s="8" t="s">
        <v>51</v>
      </c>
      <c r="C32" s="15"/>
      <c r="D32" s="20" t="s">
        <v>54</v>
      </c>
    </row>
    <row r="33" spans="1:4">
      <c r="A33" s="8" t="s">
        <v>55</v>
      </c>
      <c r="B33" s="8" t="s">
        <v>51</v>
      </c>
      <c r="C33" s="15"/>
      <c r="D33" s="20" t="s">
        <v>54</v>
      </c>
    </row>
    <row r="34" spans="1:4">
      <c r="A34" s="8" t="s">
        <v>56</v>
      </c>
      <c r="B34" s="8" t="s">
        <v>51</v>
      </c>
      <c r="C34" s="15"/>
      <c r="D34" s="20" t="s">
        <v>57</v>
      </c>
    </row>
    <row r="35" spans="1:4">
      <c r="A35" s="8" t="s">
        <v>58</v>
      </c>
      <c r="B35" s="8" t="s">
        <v>32</v>
      </c>
      <c r="C35" s="15"/>
      <c r="D35" s="20" t="s">
        <v>59</v>
      </c>
    </row>
    <row r="36" spans="1:4">
      <c r="A36" s="8" t="s">
        <v>60</v>
      </c>
      <c r="B36" s="8" t="s">
        <v>61</v>
      </c>
      <c r="C36" s="15"/>
      <c r="D36" s="20" t="s">
        <v>62</v>
      </c>
    </row>
    <row r="37" spans="1:4">
      <c r="A37" s="8" t="s">
        <v>63</v>
      </c>
      <c r="B37" s="8" t="s">
        <v>32</v>
      </c>
      <c r="C37" s="15"/>
      <c r="D37" s="20" t="s">
        <v>64</v>
      </c>
    </row>
    <row r="38" spans="1:4">
      <c r="A38" s="8" t="s">
        <v>65</v>
      </c>
      <c r="B38" s="8" t="s">
        <v>61</v>
      </c>
      <c r="C38" s="15"/>
      <c r="D38" s="20" t="s">
        <v>66</v>
      </c>
    </row>
    <row r="39" spans="1:4">
      <c r="A39" s="8" t="s">
        <v>67</v>
      </c>
      <c r="B39" s="8" t="s">
        <v>32</v>
      </c>
      <c r="C39" s="15"/>
      <c r="D39" s="20" t="s">
        <v>68</v>
      </c>
    </row>
    <row r="40" spans="1:4" ht="52.15" customHeight="1">
      <c r="A40" s="8" t="s">
        <v>9</v>
      </c>
      <c r="B40" s="8" t="s">
        <v>69</v>
      </c>
      <c r="C40" s="8" t="s">
        <v>70</v>
      </c>
      <c r="D40" s="20" t="s">
        <v>71</v>
      </c>
    </row>
    <row r="41" spans="1:4" ht="43.15" customHeight="1">
      <c r="A41" s="8" t="s">
        <v>72</v>
      </c>
      <c r="B41" s="8" t="s">
        <v>61</v>
      </c>
      <c r="C41" s="8" t="s">
        <v>70</v>
      </c>
      <c r="D41" s="20" t="s">
        <v>73</v>
      </c>
    </row>
    <row r="42" spans="1:4" ht="23.45" customHeight="1">
      <c r="A42" s="8" t="s">
        <v>74</v>
      </c>
      <c r="B42" s="8" t="s">
        <v>32</v>
      </c>
      <c r="C42" s="15"/>
      <c r="D42" s="20" t="s">
        <v>75</v>
      </c>
    </row>
    <row r="43" spans="1:4" ht="24.6" customHeight="1">
      <c r="A43" s="8" t="s">
        <v>76</v>
      </c>
      <c r="B43" s="8" t="s">
        <v>51</v>
      </c>
      <c r="C43" s="15"/>
      <c r="D43" s="20" t="s">
        <v>77</v>
      </c>
    </row>
    <row r="44" spans="1:4" ht="48.6" customHeight="1">
      <c r="A44" s="8" t="s">
        <v>78</v>
      </c>
      <c r="B44" s="8" t="s">
        <v>61</v>
      </c>
      <c r="C44" s="8" t="s">
        <v>79</v>
      </c>
      <c r="D44" s="20" t="s">
        <v>80</v>
      </c>
    </row>
    <row r="45" spans="1:4" ht="30">
      <c r="A45" s="8" t="s">
        <v>81</v>
      </c>
      <c r="B45" s="8" t="s">
        <v>51</v>
      </c>
      <c r="C45" s="15"/>
      <c r="D45" s="20" t="s">
        <v>82</v>
      </c>
    </row>
    <row r="46" spans="1:4">
      <c r="A46" s="8" t="s">
        <v>83</v>
      </c>
      <c r="B46" s="8" t="s">
        <v>51</v>
      </c>
      <c r="C46" s="15"/>
      <c r="D46" s="20" t="s">
        <v>84</v>
      </c>
    </row>
    <row r="47" spans="1:4">
      <c r="A47" s="8" t="s">
        <v>85</v>
      </c>
      <c r="B47" s="8" t="s">
        <v>51</v>
      </c>
      <c r="C47" s="15"/>
      <c r="D47" s="20" t="s">
        <v>86</v>
      </c>
    </row>
    <row r="48" spans="1:4">
      <c r="A48" s="8" t="s">
        <v>87</v>
      </c>
      <c r="B48" s="8" t="s">
        <v>28</v>
      </c>
      <c r="C48" s="15"/>
      <c r="D48" s="20" t="s">
        <v>88</v>
      </c>
    </row>
  </sheetData>
  <mergeCells count="5">
    <mergeCell ref="A13:B13"/>
    <mergeCell ref="A20:D20"/>
    <mergeCell ref="A8:D8"/>
    <mergeCell ref="A1:D1"/>
    <mergeCell ref="A10:D10"/>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DBBF7-3D7D-4453-9F9E-7903E8A3347E}">
  <sheetPr>
    <tabColor theme="9"/>
    <pageSetUpPr fitToPage="1"/>
  </sheetPr>
  <dimension ref="A1:BN56"/>
  <sheetViews>
    <sheetView workbookViewId="0">
      <selection activeCell="D27" sqref="D27"/>
    </sheetView>
  </sheetViews>
  <sheetFormatPr defaultRowHeight="15" outlineLevelRow="1"/>
  <cols>
    <col min="1" max="1" width="14" customWidth="1"/>
    <col min="2" max="2" width="18.42578125" customWidth="1"/>
    <col min="3" max="5" width="14" customWidth="1"/>
    <col min="6" max="6" width="12.28515625" customWidth="1"/>
    <col min="7" max="7" width="15.7109375" style="184" customWidth="1"/>
    <col min="8" max="8" width="35" style="184" customWidth="1"/>
    <col min="9" max="12" width="22.5703125" style="184" customWidth="1"/>
    <col min="13" max="38" width="22.5703125" style="185" customWidth="1"/>
    <col min="39" max="39" width="22.5703125" style="189" customWidth="1"/>
    <col min="40" max="53" width="22.5703125" style="185" customWidth="1"/>
    <col min="54" max="62" width="22.5703125" style="184" customWidth="1"/>
    <col min="63" max="66" width="24.28515625" style="184" customWidth="1"/>
  </cols>
  <sheetData>
    <row r="1" spans="1:66" s="184" customFormat="1" ht="13.5">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row>
    <row r="2" spans="1:66" s="184" customFormat="1" ht="13.5" customHeight="1">
      <c r="A2" s="71" t="s">
        <v>58</v>
      </c>
      <c r="B2" s="125"/>
      <c r="C2" s="129" t="s">
        <v>89</v>
      </c>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row>
    <row r="3" spans="1:66" s="184" customFormat="1" ht="13.5" customHeight="1">
      <c r="A3" s="71" t="s">
        <v>90</v>
      </c>
      <c r="B3" s="128" t="s">
        <v>91</v>
      </c>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row>
    <row r="4" spans="1:66" s="184" customFormat="1" ht="13.5" customHeight="1">
      <c r="A4" s="71" t="s">
        <v>92</v>
      </c>
      <c r="B4" s="126"/>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row>
    <row r="5" spans="1:66" s="184" customFormat="1" ht="13.5" customHeight="1">
      <c r="A5" s="71" t="s">
        <v>93</v>
      </c>
      <c r="B5" s="127" t="s">
        <v>91</v>
      </c>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row>
    <row r="6" spans="1:66" s="184" customFormat="1" ht="13.5">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row>
    <row r="7" spans="1:66" s="184" customFormat="1" ht="13.5">
      <c r="A7" s="43"/>
      <c r="B7" s="43"/>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row>
    <row r="8" spans="1:66" s="184" customFormat="1" ht="13.5">
      <c r="A8" s="43"/>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spans="1:66" s="186" customFormat="1" ht="16.5">
      <c r="G9" s="43"/>
      <c r="H9" s="43"/>
      <c r="I9" s="43"/>
      <c r="J9" s="43"/>
      <c r="K9" s="43"/>
      <c r="L9" s="43"/>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191"/>
      <c r="AN9" s="78"/>
      <c r="AO9" s="78"/>
      <c r="AP9" s="78"/>
      <c r="AQ9" s="78"/>
      <c r="AR9" s="78"/>
      <c r="AS9" s="78"/>
      <c r="AT9" s="78"/>
      <c r="AU9" s="78"/>
      <c r="AV9" s="78"/>
      <c r="AW9" s="78"/>
      <c r="AX9" s="78"/>
      <c r="AY9" s="78"/>
      <c r="AZ9" s="78"/>
      <c r="BA9" s="78"/>
      <c r="BB9" s="43"/>
      <c r="BC9" s="43"/>
      <c r="BD9" s="43"/>
      <c r="BE9" s="43"/>
      <c r="BF9" s="43"/>
      <c r="BG9" s="43"/>
      <c r="BH9" s="43"/>
      <c r="BI9" s="43"/>
      <c r="BJ9" s="43"/>
      <c r="BK9" s="43"/>
      <c r="BL9" s="43"/>
      <c r="BM9" s="43"/>
      <c r="BN9" s="43"/>
    </row>
    <row r="10" spans="1:66" s="187" customFormat="1" ht="15.75">
      <c r="A10" s="192"/>
      <c r="B10" s="192"/>
      <c r="C10" s="192"/>
      <c r="D10" s="192"/>
      <c r="E10" s="192"/>
      <c r="F10" s="192"/>
      <c r="G10" s="423" t="s">
        <v>94</v>
      </c>
      <c r="H10" s="424"/>
      <c r="I10" s="193"/>
      <c r="J10" s="193"/>
      <c r="K10" s="193"/>
      <c r="L10" s="193"/>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191"/>
      <c r="AN10" s="78"/>
      <c r="AO10" s="78"/>
      <c r="AP10" s="78"/>
      <c r="AQ10" s="78"/>
      <c r="AR10" s="78"/>
      <c r="AS10" s="78"/>
      <c r="AT10" s="78"/>
      <c r="AU10" s="78"/>
      <c r="AV10" s="78"/>
      <c r="AW10" s="78"/>
      <c r="AX10" s="78"/>
      <c r="AY10" s="78"/>
      <c r="AZ10" s="78"/>
      <c r="BA10" s="78"/>
      <c r="BB10" s="193"/>
      <c r="BC10" s="193"/>
      <c r="BD10" s="193"/>
      <c r="BE10" s="193"/>
      <c r="BF10" s="193"/>
      <c r="BG10" s="193"/>
      <c r="BH10" s="193"/>
      <c r="BI10" s="193"/>
      <c r="BJ10" s="193"/>
      <c r="BK10" s="193"/>
      <c r="BL10" s="193"/>
      <c r="BM10" s="193"/>
      <c r="BN10" s="193"/>
    </row>
    <row r="11" spans="1:66" s="187" customFormat="1" ht="13.5">
      <c r="A11" s="192"/>
      <c r="B11" s="192"/>
      <c r="C11" s="192"/>
      <c r="D11" s="192"/>
      <c r="E11" s="192"/>
      <c r="F11" s="192"/>
      <c r="G11" s="194" t="s">
        <v>95</v>
      </c>
      <c r="H11" s="195" t="s">
        <v>96</v>
      </c>
      <c r="I11" s="193"/>
      <c r="J11" s="193"/>
      <c r="K11" s="193"/>
      <c r="L11" s="193"/>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191"/>
      <c r="AN11" s="78"/>
      <c r="AO11" s="78"/>
      <c r="AP11" s="78"/>
      <c r="AQ11" s="78"/>
      <c r="AR11" s="78"/>
      <c r="AS11" s="78"/>
      <c r="AT11" s="78"/>
      <c r="AU11" s="78"/>
      <c r="AV11" s="78"/>
      <c r="AW11" s="78"/>
      <c r="AX11" s="78"/>
      <c r="AY11" s="78"/>
      <c r="AZ11" s="78"/>
      <c r="BA11" s="78"/>
      <c r="BB11" s="193"/>
      <c r="BC11" s="193"/>
      <c r="BD11" s="193"/>
      <c r="BE11" s="193"/>
      <c r="BF11" s="193"/>
      <c r="BG11" s="193"/>
      <c r="BH11" s="193"/>
      <c r="BI11" s="193"/>
      <c r="BJ11" s="193"/>
      <c r="BK11" s="193"/>
      <c r="BL11" s="193"/>
      <c r="BM11" s="193"/>
      <c r="BN11" s="193"/>
    </row>
    <row r="12" spans="1:66" s="187" customFormat="1" ht="27">
      <c r="A12" s="192"/>
      <c r="B12" s="192"/>
      <c r="C12" s="192"/>
      <c r="D12" s="192"/>
      <c r="E12" s="192"/>
      <c r="F12" s="192"/>
      <c r="G12" s="196" t="s">
        <v>97</v>
      </c>
      <c r="H12" s="197" t="s">
        <v>98</v>
      </c>
      <c r="I12" s="193"/>
      <c r="J12" s="193"/>
      <c r="K12" s="198"/>
      <c r="L12" s="198"/>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2"/>
      <c r="AL12" s="192"/>
      <c r="AM12" s="200"/>
      <c r="AN12" s="199"/>
      <c r="AO12" s="199"/>
      <c r="AP12" s="199"/>
      <c r="AQ12" s="199"/>
      <c r="AR12" s="199"/>
      <c r="AS12" s="199"/>
      <c r="AT12" s="199"/>
      <c r="AU12" s="199"/>
      <c r="AV12" s="199"/>
      <c r="AW12" s="199"/>
      <c r="AX12" s="199"/>
      <c r="AY12" s="199"/>
      <c r="AZ12" s="201"/>
      <c r="BA12" s="201"/>
      <c r="BB12" s="198"/>
      <c r="BC12" s="198"/>
      <c r="BD12" s="198"/>
      <c r="BE12" s="198"/>
      <c r="BF12" s="198"/>
      <c r="BG12" s="198"/>
      <c r="BH12" s="198"/>
      <c r="BI12" s="198"/>
      <c r="BJ12" s="198"/>
      <c r="BK12" s="198"/>
      <c r="BL12" s="198"/>
      <c r="BM12" s="198"/>
      <c r="BN12" s="193"/>
    </row>
    <row r="13" spans="1:66" s="187" customFormat="1" ht="13.5">
      <c r="A13" s="192"/>
      <c r="B13" s="192"/>
      <c r="C13" s="192"/>
      <c r="D13" s="192"/>
      <c r="E13" s="192"/>
      <c r="F13" s="192"/>
      <c r="G13" s="196" t="s">
        <v>99</v>
      </c>
      <c r="H13" s="197" t="s">
        <v>100</v>
      </c>
      <c r="I13" s="193"/>
      <c r="J13" s="193"/>
      <c r="K13" s="198"/>
      <c r="L13" s="198"/>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2"/>
      <c r="AL13" s="192"/>
      <c r="AM13" s="200"/>
      <c r="AN13" s="199"/>
      <c r="AO13" s="199"/>
      <c r="AP13" s="199"/>
      <c r="AQ13" s="199"/>
      <c r="AR13" s="199"/>
      <c r="AS13" s="199"/>
      <c r="AT13" s="199"/>
      <c r="AU13" s="199"/>
      <c r="AV13" s="199"/>
      <c r="AW13" s="199"/>
      <c r="AX13" s="199"/>
      <c r="AY13" s="199"/>
      <c r="AZ13" s="201"/>
      <c r="BA13" s="201"/>
      <c r="BB13" s="198"/>
      <c r="BC13" s="198"/>
      <c r="BD13" s="198"/>
      <c r="BE13" s="198"/>
      <c r="BF13" s="198"/>
      <c r="BG13" s="198"/>
      <c r="BH13" s="198"/>
      <c r="BI13" s="198"/>
      <c r="BJ13" s="198"/>
      <c r="BK13" s="198"/>
      <c r="BL13" s="198"/>
      <c r="BM13" s="198"/>
      <c r="BN13" s="193"/>
    </row>
    <row r="14" spans="1:66" s="187" customFormat="1" ht="13.5">
      <c r="A14" s="192"/>
      <c r="B14" s="192"/>
      <c r="C14" s="192"/>
      <c r="D14" s="192"/>
      <c r="E14" s="192"/>
      <c r="F14" s="192"/>
      <c r="G14" s="202"/>
      <c r="H14" s="203" t="s">
        <v>101</v>
      </c>
      <c r="I14" s="193"/>
      <c r="J14" s="193"/>
      <c r="K14" s="198"/>
      <c r="L14" s="198"/>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2"/>
      <c r="AL14" s="192"/>
      <c r="AM14" s="200"/>
      <c r="AN14" s="199"/>
      <c r="AO14" s="199"/>
      <c r="AP14" s="199"/>
      <c r="AQ14" s="199"/>
      <c r="AR14" s="199"/>
      <c r="AS14" s="199"/>
      <c r="AT14" s="199"/>
      <c r="AU14" s="199"/>
      <c r="AV14" s="199"/>
      <c r="AW14" s="199"/>
      <c r="AX14" s="199"/>
      <c r="AY14" s="199"/>
      <c r="AZ14" s="201"/>
      <c r="BA14" s="201"/>
      <c r="BB14" s="198"/>
      <c r="BC14" s="198"/>
      <c r="BD14" s="198"/>
      <c r="BE14" s="198"/>
      <c r="BF14" s="198"/>
      <c r="BG14" s="198"/>
      <c r="BH14" s="198"/>
      <c r="BI14" s="198"/>
      <c r="BJ14" s="198"/>
      <c r="BK14" s="198"/>
      <c r="BL14" s="198"/>
      <c r="BM14" s="198"/>
      <c r="BN14" s="193"/>
    </row>
    <row r="15" spans="1:66" s="187" customFormat="1" ht="13.5">
      <c r="A15" s="192"/>
      <c r="B15" s="192"/>
      <c r="C15" s="192"/>
      <c r="D15" s="192"/>
      <c r="E15" s="192"/>
      <c r="F15" s="192"/>
      <c r="G15" s="44"/>
      <c r="H15" s="44"/>
      <c r="I15" s="44"/>
      <c r="J15" s="204"/>
      <c r="K15" s="204"/>
      <c r="L15" s="204"/>
      <c r="M15" s="204"/>
      <c r="N15" s="44"/>
      <c r="O15" s="44"/>
      <c r="P15" s="44"/>
      <c r="Q15" s="44"/>
      <c r="R15" s="205"/>
      <c r="S15" s="205"/>
      <c r="T15" s="44"/>
      <c r="U15" s="44"/>
      <c r="V15" s="44"/>
      <c r="W15" s="44"/>
      <c r="X15" s="44"/>
      <c r="Y15" s="44"/>
      <c r="Z15" s="44"/>
      <c r="AA15" s="44"/>
      <c r="AB15" s="44"/>
      <c r="AC15" s="44"/>
      <c r="AD15" s="44"/>
      <c r="AE15" s="44"/>
      <c r="AF15" s="44"/>
      <c r="AG15" s="44"/>
      <c r="AH15" s="44"/>
      <c r="AI15" s="44"/>
      <c r="AJ15" s="44"/>
      <c r="AK15" s="44"/>
      <c r="AL15" s="44"/>
      <c r="AM15" s="200"/>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row>
    <row r="16" spans="1:66" s="187" customFormat="1" ht="13.5" customHeight="1">
      <c r="A16" s="387" t="s">
        <v>9</v>
      </c>
      <c r="B16" s="387" t="s">
        <v>67</v>
      </c>
      <c r="C16" s="387" t="s">
        <v>72</v>
      </c>
      <c r="D16" s="387" t="s">
        <v>63</v>
      </c>
      <c r="E16" s="387" t="s">
        <v>65</v>
      </c>
      <c r="F16" s="387" t="s">
        <v>102</v>
      </c>
      <c r="G16" s="387" t="s">
        <v>103</v>
      </c>
      <c r="H16" s="387" t="s">
        <v>104</v>
      </c>
      <c r="I16" s="407" t="s">
        <v>105</v>
      </c>
      <c r="J16" s="408"/>
      <c r="K16" s="408"/>
      <c r="L16" s="408"/>
      <c r="M16" s="408"/>
      <c r="N16" s="408"/>
      <c r="O16" s="408"/>
      <c r="P16" s="408"/>
      <c r="Q16" s="408"/>
      <c r="R16" s="408"/>
      <c r="S16" s="408"/>
      <c r="T16" s="408"/>
      <c r="U16" s="408"/>
      <c r="V16" s="408"/>
      <c r="W16" s="408"/>
      <c r="X16" s="408"/>
      <c r="Y16" s="408"/>
      <c r="Z16" s="408"/>
      <c r="AA16" s="408"/>
      <c r="AB16" s="409"/>
      <c r="AC16" s="410" t="s">
        <v>106</v>
      </c>
      <c r="AD16" s="411"/>
      <c r="AE16" s="411"/>
      <c r="AF16" s="412"/>
      <c r="AG16" s="413" t="s">
        <v>107</v>
      </c>
      <c r="AH16" s="414"/>
      <c r="AI16" s="415" t="s">
        <v>108</v>
      </c>
      <c r="AJ16" s="416"/>
      <c r="AK16" s="416"/>
      <c r="AL16" s="416"/>
      <c r="AM16" s="416"/>
      <c r="AN16" s="416"/>
      <c r="AO16" s="417"/>
      <c r="AP16" s="418" t="s">
        <v>109</v>
      </c>
      <c r="AQ16" s="419"/>
      <c r="AR16" s="419"/>
      <c r="AS16" s="420"/>
      <c r="AT16" s="421" t="s">
        <v>110</v>
      </c>
      <c r="AU16" s="422"/>
      <c r="AV16" s="398" t="s">
        <v>111</v>
      </c>
      <c r="AW16" s="399"/>
      <c r="AX16" s="400"/>
      <c r="AY16" s="401" t="s">
        <v>112</v>
      </c>
      <c r="AZ16" s="402"/>
      <c r="BA16" s="403" t="s">
        <v>113</v>
      </c>
      <c r="BB16" s="404"/>
      <c r="BC16" s="404"/>
      <c r="BD16" s="404"/>
      <c r="BE16" s="404"/>
      <c r="BF16" s="404"/>
      <c r="BG16" s="404"/>
      <c r="BH16" s="404"/>
      <c r="BI16" s="404"/>
      <c r="BJ16" s="405"/>
      <c r="BK16" s="193"/>
      <c r="BL16" s="193"/>
      <c r="BM16" s="193"/>
      <c r="BN16" s="193"/>
    </row>
    <row r="17" spans="1:66" s="187" customFormat="1" ht="13.5">
      <c r="A17" s="388"/>
      <c r="B17" s="388"/>
      <c r="C17" s="388"/>
      <c r="D17" s="388"/>
      <c r="E17" s="388"/>
      <c r="F17" s="388"/>
      <c r="G17" s="388"/>
      <c r="H17" s="388"/>
      <c r="I17" s="206" t="s">
        <v>114</v>
      </c>
      <c r="J17" s="207" t="s">
        <v>115</v>
      </c>
      <c r="K17" s="207" t="s">
        <v>116</v>
      </c>
      <c r="L17" s="207" t="s">
        <v>117</v>
      </c>
      <c r="M17" s="207" t="s">
        <v>118</v>
      </c>
      <c r="N17" s="207" t="s">
        <v>119</v>
      </c>
      <c r="O17" s="207" t="s">
        <v>120</v>
      </c>
      <c r="P17" s="207" t="s">
        <v>121</v>
      </c>
      <c r="Q17" s="207" t="s">
        <v>122</v>
      </c>
      <c r="R17" s="207" t="s">
        <v>123</v>
      </c>
      <c r="S17" s="207" t="s">
        <v>124</v>
      </c>
      <c r="T17" s="207" t="s">
        <v>125</v>
      </c>
      <c r="U17" s="207" t="s">
        <v>126</v>
      </c>
      <c r="V17" s="207" t="s">
        <v>127</v>
      </c>
      <c r="W17" s="207" t="s">
        <v>128</v>
      </c>
      <c r="X17" s="207" t="s">
        <v>129</v>
      </c>
      <c r="Y17" s="207" t="s">
        <v>130</v>
      </c>
      <c r="Z17" s="207" t="s">
        <v>131</v>
      </c>
      <c r="AA17" s="207" t="s">
        <v>132</v>
      </c>
      <c r="AB17" s="208" t="s">
        <v>133</v>
      </c>
      <c r="AC17" s="209" t="s">
        <v>134</v>
      </c>
      <c r="AD17" s="210" t="s">
        <v>135</v>
      </c>
      <c r="AE17" s="210" t="s">
        <v>136</v>
      </c>
      <c r="AF17" s="211" t="s">
        <v>137</v>
      </c>
      <c r="AG17" s="212" t="s">
        <v>138</v>
      </c>
      <c r="AH17" s="212" t="s">
        <v>139</v>
      </c>
      <c r="AI17" s="213" t="s">
        <v>140</v>
      </c>
      <c r="AJ17" s="214" t="s">
        <v>141</v>
      </c>
      <c r="AK17" s="214" t="s">
        <v>142</v>
      </c>
      <c r="AL17" s="214" t="s">
        <v>143</v>
      </c>
      <c r="AM17" s="214" t="s">
        <v>144</v>
      </c>
      <c r="AN17" s="214" t="s">
        <v>145</v>
      </c>
      <c r="AO17" s="215" t="s">
        <v>146</v>
      </c>
      <c r="AP17" s="216" t="s">
        <v>147</v>
      </c>
      <c r="AQ17" s="217" t="s">
        <v>148</v>
      </c>
      <c r="AR17" s="217" t="s">
        <v>149</v>
      </c>
      <c r="AS17" s="218" t="s">
        <v>150</v>
      </c>
      <c r="AT17" s="219" t="s">
        <v>151</v>
      </c>
      <c r="AU17" s="220" t="s">
        <v>152</v>
      </c>
      <c r="AV17" s="221" t="s">
        <v>153</v>
      </c>
      <c r="AW17" s="222" t="s">
        <v>154</v>
      </c>
      <c r="AX17" s="223" t="s">
        <v>155</v>
      </c>
      <c r="AY17" s="224" t="s">
        <v>156</v>
      </c>
      <c r="AZ17" s="225" t="s">
        <v>157</v>
      </c>
      <c r="BA17" s="226" t="s">
        <v>158</v>
      </c>
      <c r="BB17" s="227" t="s">
        <v>159</v>
      </c>
      <c r="BC17" s="227" t="s">
        <v>160</v>
      </c>
      <c r="BD17" s="227" t="s">
        <v>161</v>
      </c>
      <c r="BE17" s="227" t="s">
        <v>162</v>
      </c>
      <c r="BF17" s="227" t="s">
        <v>163</v>
      </c>
      <c r="BG17" s="227" t="s">
        <v>164</v>
      </c>
      <c r="BH17" s="227" t="s">
        <v>165</v>
      </c>
      <c r="BI17" s="227" t="s">
        <v>166</v>
      </c>
      <c r="BJ17" s="228" t="s">
        <v>167</v>
      </c>
      <c r="BK17" s="193"/>
      <c r="BL17" s="193"/>
      <c r="BM17" s="193"/>
      <c r="BN17" s="193"/>
    </row>
    <row r="18" spans="1:66" s="187" customFormat="1" ht="13.5" customHeight="1">
      <c r="A18" s="388"/>
      <c r="B18" s="388"/>
      <c r="C18" s="388"/>
      <c r="D18" s="388"/>
      <c r="E18" s="388"/>
      <c r="F18" s="388"/>
      <c r="G18" s="388"/>
      <c r="H18" s="388"/>
      <c r="I18" s="229" t="s">
        <v>3</v>
      </c>
      <c r="J18" s="230" t="s">
        <v>168</v>
      </c>
      <c r="K18" s="230" t="s">
        <v>169</v>
      </c>
      <c r="L18" s="230" t="s">
        <v>170</v>
      </c>
      <c r="M18" s="230" t="s">
        <v>171</v>
      </c>
      <c r="N18" s="230" t="s">
        <v>172</v>
      </c>
      <c r="O18" s="230" t="s">
        <v>173</v>
      </c>
      <c r="P18" s="230" t="s">
        <v>174</v>
      </c>
      <c r="Q18" s="230" t="s">
        <v>175</v>
      </c>
      <c r="R18" s="230" t="s">
        <v>176</v>
      </c>
      <c r="S18" s="230" t="s">
        <v>177</v>
      </c>
      <c r="T18" s="230" t="s">
        <v>178</v>
      </c>
      <c r="U18" s="230" t="s">
        <v>179</v>
      </c>
      <c r="V18" s="230" t="s">
        <v>180</v>
      </c>
      <c r="W18" s="230" t="s">
        <v>181</v>
      </c>
      <c r="X18" s="230" t="s">
        <v>182</v>
      </c>
      <c r="Y18" s="230" t="s">
        <v>183</v>
      </c>
      <c r="Z18" s="230" t="s">
        <v>184</v>
      </c>
      <c r="AA18" s="230" t="s">
        <v>185</v>
      </c>
      <c r="AB18" s="231" t="s">
        <v>186</v>
      </c>
      <c r="AC18" s="232" t="s">
        <v>187</v>
      </c>
      <c r="AD18" s="233" t="s">
        <v>188</v>
      </c>
      <c r="AE18" s="233" t="s">
        <v>189</v>
      </c>
      <c r="AF18" s="234" t="s">
        <v>190</v>
      </c>
      <c r="AG18" s="212" t="s">
        <v>191</v>
      </c>
      <c r="AH18" s="212" t="s">
        <v>192</v>
      </c>
      <c r="AI18" s="235" t="s">
        <v>193</v>
      </c>
      <c r="AJ18" s="236" t="s">
        <v>194</v>
      </c>
      <c r="AK18" s="236" t="s">
        <v>195</v>
      </c>
      <c r="AL18" s="236" t="s">
        <v>196</v>
      </c>
      <c r="AM18" s="236" t="s">
        <v>197</v>
      </c>
      <c r="AN18" s="236" t="s">
        <v>198</v>
      </c>
      <c r="AO18" s="237" t="s">
        <v>199</v>
      </c>
      <c r="AP18" s="238" t="s">
        <v>200</v>
      </c>
      <c r="AQ18" s="239" t="s">
        <v>201</v>
      </c>
      <c r="AR18" s="239" t="s">
        <v>202</v>
      </c>
      <c r="AS18" s="240" t="s">
        <v>203</v>
      </c>
      <c r="AT18" s="241" t="s">
        <v>204</v>
      </c>
      <c r="AU18" s="242" t="s">
        <v>205</v>
      </c>
      <c r="AV18" s="243" t="s">
        <v>206</v>
      </c>
      <c r="AW18" s="244" t="s">
        <v>207</v>
      </c>
      <c r="AX18" s="245" t="s">
        <v>208</v>
      </c>
      <c r="AY18" s="246" t="s">
        <v>209</v>
      </c>
      <c r="AZ18" s="247" t="s">
        <v>210</v>
      </c>
      <c r="BA18" s="248" t="s">
        <v>211</v>
      </c>
      <c r="BB18" s="249" t="s">
        <v>212</v>
      </c>
      <c r="BC18" s="249" t="s">
        <v>213</v>
      </c>
      <c r="BD18" s="249" t="s">
        <v>214</v>
      </c>
      <c r="BE18" s="249" t="s">
        <v>215</v>
      </c>
      <c r="BF18" s="249" t="s">
        <v>216</v>
      </c>
      <c r="BG18" s="249" t="s">
        <v>217</v>
      </c>
      <c r="BH18" s="249" t="s">
        <v>218</v>
      </c>
      <c r="BI18" s="249" t="s">
        <v>219</v>
      </c>
      <c r="BJ18" s="250" t="s">
        <v>220</v>
      </c>
      <c r="BK18" s="193"/>
      <c r="BL18" s="193"/>
      <c r="BM18" s="193"/>
      <c r="BN18" s="193"/>
    </row>
    <row r="19" spans="1:66" s="188" customFormat="1">
      <c r="A19" s="251">
        <v>1</v>
      </c>
      <c r="B19" s="252" t="s">
        <v>3</v>
      </c>
      <c r="C19" s="252" t="s">
        <v>221</v>
      </c>
      <c r="D19" s="42"/>
      <c r="E19" s="117"/>
      <c r="F19" s="121" t="str">
        <f t="shared" ref="F19:F37" si="0">IF(ISBLANK($B$4), "", $B$7)</f>
        <v/>
      </c>
      <c r="G19" s="121" t="str">
        <f t="shared" ref="G19:G37" si="1">IF(ISBLANK($B$4), "", $B$5)</f>
        <v/>
      </c>
      <c r="H19" s="253"/>
      <c r="I19" s="254" t="s">
        <v>95</v>
      </c>
      <c r="J19" s="255"/>
      <c r="K19" s="255"/>
      <c r="L19" s="255"/>
      <c r="M19" s="255"/>
      <c r="N19" s="255"/>
      <c r="O19" s="255"/>
      <c r="P19" s="255"/>
      <c r="Q19" s="255"/>
      <c r="R19" s="255"/>
      <c r="S19" s="255"/>
      <c r="T19" s="255"/>
      <c r="U19" s="256" t="s">
        <v>95</v>
      </c>
      <c r="V19" s="255" t="s">
        <v>95</v>
      </c>
      <c r="W19" s="255"/>
      <c r="X19" s="257" t="s">
        <v>222</v>
      </c>
      <c r="Y19" s="255" t="s">
        <v>95</v>
      </c>
      <c r="Z19" s="255" t="s">
        <v>95</v>
      </c>
      <c r="AA19" s="257" t="s">
        <v>223</v>
      </c>
      <c r="AB19" s="258"/>
      <c r="AC19" s="259" t="s">
        <v>95</v>
      </c>
      <c r="AD19" s="255" t="s">
        <v>95</v>
      </c>
      <c r="AE19" s="158" t="s">
        <v>95</v>
      </c>
      <c r="AF19" s="258" t="s">
        <v>95</v>
      </c>
      <c r="AG19" s="260" t="s">
        <v>95</v>
      </c>
      <c r="AH19" s="261" t="s">
        <v>95</v>
      </c>
      <c r="AI19" s="254" t="s">
        <v>95</v>
      </c>
      <c r="AJ19" s="255" t="s">
        <v>95</v>
      </c>
      <c r="AK19" s="255" t="s">
        <v>95</v>
      </c>
      <c r="AL19" s="255" t="s">
        <v>95</v>
      </c>
      <c r="AM19" s="255" t="s">
        <v>95</v>
      </c>
      <c r="AN19" s="255" t="s">
        <v>95</v>
      </c>
      <c r="AO19" s="258" t="s">
        <v>95</v>
      </c>
      <c r="AP19" s="259" t="s">
        <v>95</v>
      </c>
      <c r="AQ19" s="255" t="s">
        <v>95</v>
      </c>
      <c r="AR19" s="256" t="s">
        <v>95</v>
      </c>
      <c r="AS19" s="262"/>
      <c r="AT19" s="259"/>
      <c r="AU19" s="258"/>
      <c r="AV19" s="259" t="s">
        <v>95</v>
      </c>
      <c r="AW19" s="255" t="s">
        <v>95</v>
      </c>
      <c r="AX19" s="258" t="s">
        <v>95</v>
      </c>
      <c r="AY19" s="259" t="s">
        <v>95</v>
      </c>
      <c r="AZ19" s="258" t="s">
        <v>95</v>
      </c>
      <c r="BA19" s="259" t="s">
        <v>95</v>
      </c>
      <c r="BB19" s="255" t="s">
        <v>95</v>
      </c>
      <c r="BC19" s="255" t="s">
        <v>95</v>
      </c>
      <c r="BD19" s="255" t="s">
        <v>95</v>
      </c>
      <c r="BE19" s="255" t="s">
        <v>95</v>
      </c>
      <c r="BF19" s="255" t="s">
        <v>95</v>
      </c>
      <c r="BG19" s="255" t="s">
        <v>95</v>
      </c>
      <c r="BH19" s="255" t="s">
        <v>95</v>
      </c>
      <c r="BI19" s="255" t="s">
        <v>95</v>
      </c>
      <c r="BJ19" s="258" t="s">
        <v>95</v>
      </c>
      <c r="BK19" s="205"/>
      <c r="BL19" s="205"/>
      <c r="BM19" s="205"/>
      <c r="BN19" s="205"/>
    </row>
    <row r="20" spans="1:66" s="188" customFormat="1">
      <c r="A20" s="251">
        <v>2</v>
      </c>
      <c r="B20" s="252" t="s">
        <v>3</v>
      </c>
      <c r="C20" s="252" t="s">
        <v>224</v>
      </c>
      <c r="D20" s="42"/>
      <c r="E20" s="117"/>
      <c r="F20" s="121" t="str">
        <f t="shared" si="0"/>
        <v/>
      </c>
      <c r="G20" s="121" t="str">
        <f t="shared" si="1"/>
        <v/>
      </c>
      <c r="H20" s="253"/>
      <c r="I20" s="254" t="s">
        <v>95</v>
      </c>
      <c r="J20" s="255"/>
      <c r="K20" s="255"/>
      <c r="L20" s="255"/>
      <c r="M20" s="255"/>
      <c r="N20" s="255"/>
      <c r="O20" s="255"/>
      <c r="P20" s="255"/>
      <c r="Q20" s="255"/>
      <c r="R20" s="255"/>
      <c r="S20" s="255"/>
      <c r="T20" s="255"/>
      <c r="U20" s="256" t="s">
        <v>95</v>
      </c>
      <c r="V20" s="255" t="s">
        <v>95</v>
      </c>
      <c r="W20" s="255"/>
      <c r="X20" s="257" t="s">
        <v>222</v>
      </c>
      <c r="Y20" s="255" t="s">
        <v>95</v>
      </c>
      <c r="Z20" s="255" t="s">
        <v>95</v>
      </c>
      <c r="AA20" s="257" t="s">
        <v>223</v>
      </c>
      <c r="AB20" s="258"/>
      <c r="AC20" s="259" t="s">
        <v>95</v>
      </c>
      <c r="AD20" s="255" t="s">
        <v>95</v>
      </c>
      <c r="AE20" s="158" t="s">
        <v>95</v>
      </c>
      <c r="AF20" s="258" t="s">
        <v>95</v>
      </c>
      <c r="AG20" s="260" t="s">
        <v>95</v>
      </c>
      <c r="AH20" s="261" t="s">
        <v>95</v>
      </c>
      <c r="AI20" s="254" t="s">
        <v>95</v>
      </c>
      <c r="AJ20" s="255" t="s">
        <v>95</v>
      </c>
      <c r="AK20" s="255" t="s">
        <v>95</v>
      </c>
      <c r="AL20" s="255" t="s">
        <v>95</v>
      </c>
      <c r="AM20" s="255" t="s">
        <v>95</v>
      </c>
      <c r="AN20" s="255" t="s">
        <v>95</v>
      </c>
      <c r="AO20" s="258" t="s">
        <v>95</v>
      </c>
      <c r="AP20" s="259" t="s">
        <v>95</v>
      </c>
      <c r="AQ20" s="255" t="s">
        <v>95</v>
      </c>
      <c r="AR20" s="256" t="s">
        <v>95</v>
      </c>
      <c r="AS20" s="262"/>
      <c r="AT20" s="259"/>
      <c r="AU20" s="258"/>
      <c r="AV20" s="259" t="s">
        <v>95</v>
      </c>
      <c r="AW20" s="255" t="s">
        <v>95</v>
      </c>
      <c r="AX20" s="258" t="s">
        <v>95</v>
      </c>
      <c r="AY20" s="259" t="s">
        <v>95</v>
      </c>
      <c r="AZ20" s="258" t="s">
        <v>95</v>
      </c>
      <c r="BA20" s="259" t="s">
        <v>95</v>
      </c>
      <c r="BB20" s="255" t="s">
        <v>95</v>
      </c>
      <c r="BC20" s="255" t="s">
        <v>95</v>
      </c>
      <c r="BD20" s="255" t="s">
        <v>95</v>
      </c>
      <c r="BE20" s="255" t="s">
        <v>95</v>
      </c>
      <c r="BF20" s="255" t="s">
        <v>95</v>
      </c>
      <c r="BG20" s="255" t="s">
        <v>95</v>
      </c>
      <c r="BH20" s="255" t="s">
        <v>95</v>
      </c>
      <c r="BI20" s="255" t="s">
        <v>95</v>
      </c>
      <c r="BJ20" s="258" t="s">
        <v>95</v>
      </c>
      <c r="BK20" s="205"/>
      <c r="BL20" s="205"/>
      <c r="BM20" s="205"/>
      <c r="BN20" s="205"/>
    </row>
    <row r="21" spans="1:66" s="188" customFormat="1">
      <c r="A21" s="251">
        <v>3</v>
      </c>
      <c r="B21" s="252" t="s">
        <v>225</v>
      </c>
      <c r="C21" s="252" t="s">
        <v>221</v>
      </c>
      <c r="D21" s="42"/>
      <c r="E21" s="117"/>
      <c r="F21" s="121" t="str">
        <f t="shared" si="0"/>
        <v/>
      </c>
      <c r="G21" s="121" t="str">
        <f t="shared" si="1"/>
        <v/>
      </c>
      <c r="H21" s="253"/>
      <c r="I21" s="264"/>
      <c r="J21" s="265" t="s">
        <v>95</v>
      </c>
      <c r="K21" s="265"/>
      <c r="L21" s="265"/>
      <c r="M21" s="265"/>
      <c r="N21" s="265"/>
      <c r="O21" s="265"/>
      <c r="P21" s="265"/>
      <c r="Q21" s="265"/>
      <c r="R21" s="265"/>
      <c r="S21" s="265"/>
      <c r="T21" s="265"/>
      <c r="U21" s="266" t="s">
        <v>95</v>
      </c>
      <c r="V21" s="265" t="s">
        <v>95</v>
      </c>
      <c r="W21" s="265"/>
      <c r="X21" s="267" t="s">
        <v>222</v>
      </c>
      <c r="Y21" s="265" t="s">
        <v>95</v>
      </c>
      <c r="Z21" s="265" t="s">
        <v>95</v>
      </c>
      <c r="AA21" s="267" t="s">
        <v>223</v>
      </c>
      <c r="AB21" s="268"/>
      <c r="AC21" s="269" t="s">
        <v>95</v>
      </c>
      <c r="AD21" s="265" t="s">
        <v>95</v>
      </c>
      <c r="AE21" s="157" t="s">
        <v>95</v>
      </c>
      <c r="AF21" s="268" t="s">
        <v>95</v>
      </c>
      <c r="AG21" s="269" t="s">
        <v>95</v>
      </c>
      <c r="AH21" s="268" t="s">
        <v>95</v>
      </c>
      <c r="AI21" s="264" t="s">
        <v>99</v>
      </c>
      <c r="AJ21" s="265" t="s">
        <v>99</v>
      </c>
      <c r="AK21" s="265" t="s">
        <v>99</v>
      </c>
      <c r="AL21" s="265" t="s">
        <v>99</v>
      </c>
      <c r="AM21" s="265" t="s">
        <v>99</v>
      </c>
      <c r="AN21" s="265" t="s">
        <v>95</v>
      </c>
      <c r="AO21" s="268" t="s">
        <v>99</v>
      </c>
      <c r="AP21" s="269" t="s">
        <v>95</v>
      </c>
      <c r="AQ21" s="265" t="s">
        <v>95</v>
      </c>
      <c r="AR21" s="266" t="s">
        <v>95</v>
      </c>
      <c r="AS21" s="270" t="s">
        <v>95</v>
      </c>
      <c r="AT21" s="271" t="s">
        <v>99</v>
      </c>
      <c r="AU21" s="272" t="s">
        <v>226</v>
      </c>
      <c r="AV21" s="269" t="s">
        <v>95</v>
      </c>
      <c r="AW21" s="157"/>
      <c r="AX21" s="268"/>
      <c r="AY21" s="269" t="s">
        <v>95</v>
      </c>
      <c r="AZ21" s="268" t="s">
        <v>95</v>
      </c>
      <c r="BA21" s="269" t="s">
        <v>95</v>
      </c>
      <c r="BB21" s="265" t="s">
        <v>95</v>
      </c>
      <c r="BC21" s="265" t="s">
        <v>95</v>
      </c>
      <c r="BD21" s="265" t="s">
        <v>95</v>
      </c>
      <c r="BE21" s="265" t="s">
        <v>95</v>
      </c>
      <c r="BF21" s="265" t="s">
        <v>95</v>
      </c>
      <c r="BG21" s="265" t="s">
        <v>95</v>
      </c>
      <c r="BH21" s="265" t="s">
        <v>95</v>
      </c>
      <c r="BI21" s="265" t="s">
        <v>95</v>
      </c>
      <c r="BJ21" s="268" t="s">
        <v>95</v>
      </c>
      <c r="BK21" s="205"/>
      <c r="BL21" s="205"/>
      <c r="BM21" s="205"/>
      <c r="BN21" s="205"/>
    </row>
    <row r="22" spans="1:66" s="188" customFormat="1">
      <c r="A22" s="251">
        <v>4</v>
      </c>
      <c r="B22" s="252" t="s">
        <v>225</v>
      </c>
      <c r="C22" s="252" t="s">
        <v>224</v>
      </c>
      <c r="D22" s="42"/>
      <c r="E22" s="117"/>
      <c r="F22" s="121" t="str">
        <f t="shared" si="0"/>
        <v/>
      </c>
      <c r="G22" s="121" t="str">
        <f t="shared" si="1"/>
        <v/>
      </c>
      <c r="H22" s="253"/>
      <c r="I22" s="264"/>
      <c r="J22" s="265"/>
      <c r="K22" s="265" t="s">
        <v>95</v>
      </c>
      <c r="L22" s="265"/>
      <c r="M22" s="265"/>
      <c r="N22" s="265"/>
      <c r="O22" s="265"/>
      <c r="P22" s="265"/>
      <c r="Q22" s="265"/>
      <c r="R22" s="265"/>
      <c r="S22" s="265"/>
      <c r="T22" s="265" t="s">
        <v>95</v>
      </c>
      <c r="U22" s="266" t="s">
        <v>95</v>
      </c>
      <c r="V22" s="265" t="s">
        <v>95</v>
      </c>
      <c r="W22" s="265" t="s">
        <v>95</v>
      </c>
      <c r="X22" s="267" t="s">
        <v>222</v>
      </c>
      <c r="Y22" s="265" t="s">
        <v>95</v>
      </c>
      <c r="Z22" s="265" t="s">
        <v>95</v>
      </c>
      <c r="AA22" s="267" t="s">
        <v>223</v>
      </c>
      <c r="AB22" s="268"/>
      <c r="AC22" s="269" t="s">
        <v>95</v>
      </c>
      <c r="AD22" s="265" t="s">
        <v>95</v>
      </c>
      <c r="AE22" s="157" t="s">
        <v>95</v>
      </c>
      <c r="AF22" s="268" t="s">
        <v>95</v>
      </c>
      <c r="AG22" s="269" t="s">
        <v>95</v>
      </c>
      <c r="AH22" s="268" t="s">
        <v>95</v>
      </c>
      <c r="AI22" s="264" t="s">
        <v>99</v>
      </c>
      <c r="AJ22" s="265" t="s">
        <v>99</v>
      </c>
      <c r="AK22" s="265" t="s">
        <v>99</v>
      </c>
      <c r="AL22" s="265" t="s">
        <v>99</v>
      </c>
      <c r="AM22" s="265" t="s">
        <v>99</v>
      </c>
      <c r="AN22" s="265" t="s">
        <v>95</v>
      </c>
      <c r="AO22" s="268" t="s">
        <v>99</v>
      </c>
      <c r="AP22" s="269" t="s">
        <v>95</v>
      </c>
      <c r="AQ22" s="265" t="s">
        <v>95</v>
      </c>
      <c r="AR22" s="266" t="s">
        <v>95</v>
      </c>
      <c r="AS22" s="270" t="s">
        <v>95</v>
      </c>
      <c r="AT22" s="271" t="s">
        <v>99</v>
      </c>
      <c r="AU22" s="272" t="s">
        <v>226</v>
      </c>
      <c r="AV22" s="269" t="s">
        <v>95</v>
      </c>
      <c r="AW22" s="157"/>
      <c r="AX22" s="268"/>
      <c r="AY22" s="269" t="s">
        <v>95</v>
      </c>
      <c r="AZ22" s="268" t="s">
        <v>95</v>
      </c>
      <c r="BA22" s="269" t="s">
        <v>95</v>
      </c>
      <c r="BB22" s="265" t="s">
        <v>95</v>
      </c>
      <c r="BC22" s="265" t="s">
        <v>95</v>
      </c>
      <c r="BD22" s="265" t="s">
        <v>95</v>
      </c>
      <c r="BE22" s="265" t="s">
        <v>95</v>
      </c>
      <c r="BF22" s="265" t="s">
        <v>95</v>
      </c>
      <c r="BG22" s="265" t="s">
        <v>95</v>
      </c>
      <c r="BH22" s="265" t="s">
        <v>95</v>
      </c>
      <c r="BI22" s="265" t="s">
        <v>95</v>
      </c>
      <c r="BJ22" s="268" t="s">
        <v>95</v>
      </c>
      <c r="BK22" s="205"/>
      <c r="BL22" s="205"/>
      <c r="BM22" s="205"/>
      <c r="BN22" s="205"/>
    </row>
    <row r="23" spans="1:66" s="188" customFormat="1">
      <c r="A23" s="251">
        <v>5</v>
      </c>
      <c r="B23" s="252" t="s">
        <v>227</v>
      </c>
      <c r="C23" s="252" t="s">
        <v>221</v>
      </c>
      <c r="D23" s="42"/>
      <c r="E23" s="117"/>
      <c r="F23" s="121" t="str">
        <f t="shared" si="0"/>
        <v/>
      </c>
      <c r="G23" s="121" t="str">
        <f t="shared" si="1"/>
        <v/>
      </c>
      <c r="H23" s="253"/>
      <c r="I23" s="264"/>
      <c r="J23" s="265"/>
      <c r="K23" s="265"/>
      <c r="L23" s="265" t="s">
        <v>95</v>
      </c>
      <c r="M23" s="265"/>
      <c r="N23" s="265"/>
      <c r="O23" s="265"/>
      <c r="P23" s="265"/>
      <c r="Q23" s="265"/>
      <c r="R23" s="265"/>
      <c r="S23" s="265"/>
      <c r="T23" s="265" t="s">
        <v>95</v>
      </c>
      <c r="U23" s="305" t="s">
        <v>95</v>
      </c>
      <c r="V23" s="265"/>
      <c r="W23" s="265" t="s">
        <v>95</v>
      </c>
      <c r="X23" s="267" t="s">
        <v>222</v>
      </c>
      <c r="Y23" s="265" t="s">
        <v>95</v>
      </c>
      <c r="Z23" s="265" t="s">
        <v>95</v>
      </c>
      <c r="AA23" s="267" t="s">
        <v>223</v>
      </c>
      <c r="AB23" s="161"/>
      <c r="AC23" s="269" t="s">
        <v>95</v>
      </c>
      <c r="AD23" s="265" t="s">
        <v>95</v>
      </c>
      <c r="AE23" s="157" t="s">
        <v>95</v>
      </c>
      <c r="AF23" s="268" t="s">
        <v>95</v>
      </c>
      <c r="AG23" s="269" t="s">
        <v>95</v>
      </c>
      <c r="AH23" s="268" t="s">
        <v>95</v>
      </c>
      <c r="AI23" s="264"/>
      <c r="AJ23" s="265"/>
      <c r="AK23" s="265"/>
      <c r="AL23" s="265"/>
      <c r="AM23" s="265"/>
      <c r="AN23" s="265"/>
      <c r="AO23" s="268"/>
      <c r="AP23" s="269" t="s">
        <v>95</v>
      </c>
      <c r="AQ23" s="265" t="s">
        <v>95</v>
      </c>
      <c r="AR23" s="266" t="s">
        <v>95</v>
      </c>
      <c r="AS23" s="268"/>
      <c r="AT23" s="271" t="s">
        <v>99</v>
      </c>
      <c r="AU23" s="272" t="s">
        <v>226</v>
      </c>
      <c r="AV23" s="269" t="s">
        <v>95</v>
      </c>
      <c r="AW23" s="157"/>
      <c r="AX23" s="161"/>
      <c r="AY23" s="269" t="s">
        <v>95</v>
      </c>
      <c r="AZ23" s="268" t="s">
        <v>95</v>
      </c>
      <c r="BA23" s="269" t="s">
        <v>95</v>
      </c>
      <c r="BB23" s="265" t="s">
        <v>95</v>
      </c>
      <c r="BC23" s="265" t="s">
        <v>95</v>
      </c>
      <c r="BD23" s="265" t="s">
        <v>95</v>
      </c>
      <c r="BE23" s="265" t="s">
        <v>95</v>
      </c>
      <c r="BF23" s="265" t="s">
        <v>95</v>
      </c>
      <c r="BG23" s="265" t="s">
        <v>95</v>
      </c>
      <c r="BH23" s="265" t="s">
        <v>95</v>
      </c>
      <c r="BI23" s="265" t="s">
        <v>95</v>
      </c>
      <c r="BJ23" s="268" t="s">
        <v>95</v>
      </c>
      <c r="BK23" s="205"/>
      <c r="BL23" s="205"/>
      <c r="BM23" s="205"/>
      <c r="BN23" s="205"/>
    </row>
    <row r="24" spans="1:66" s="188" customFormat="1">
      <c r="A24" s="251">
        <v>6</v>
      </c>
      <c r="B24" s="252" t="s">
        <v>227</v>
      </c>
      <c r="C24" s="252" t="s">
        <v>224</v>
      </c>
      <c r="D24" s="42"/>
      <c r="E24" s="117"/>
      <c r="F24" s="121" t="str">
        <f t="shared" si="0"/>
        <v/>
      </c>
      <c r="G24" s="121" t="str">
        <f t="shared" si="1"/>
        <v/>
      </c>
      <c r="H24" s="253"/>
      <c r="I24" s="264"/>
      <c r="J24" s="265"/>
      <c r="K24" s="265"/>
      <c r="L24" s="265" t="s">
        <v>95</v>
      </c>
      <c r="M24" s="265"/>
      <c r="N24" s="265"/>
      <c r="O24" s="265"/>
      <c r="P24" s="265"/>
      <c r="Q24" s="265"/>
      <c r="R24" s="265"/>
      <c r="S24" s="265"/>
      <c r="T24" s="265" t="s">
        <v>95</v>
      </c>
      <c r="U24" s="305" t="s">
        <v>95</v>
      </c>
      <c r="V24" s="265"/>
      <c r="W24" s="265" t="s">
        <v>95</v>
      </c>
      <c r="X24" s="267" t="s">
        <v>222</v>
      </c>
      <c r="Y24" s="265" t="s">
        <v>95</v>
      </c>
      <c r="Z24" s="265" t="s">
        <v>95</v>
      </c>
      <c r="AA24" s="267" t="s">
        <v>223</v>
      </c>
      <c r="AB24" s="161"/>
      <c r="AC24" s="269" t="s">
        <v>95</v>
      </c>
      <c r="AD24" s="265" t="s">
        <v>95</v>
      </c>
      <c r="AE24" s="157" t="s">
        <v>95</v>
      </c>
      <c r="AF24" s="268" t="s">
        <v>95</v>
      </c>
      <c r="AG24" s="269" t="s">
        <v>95</v>
      </c>
      <c r="AH24" s="268" t="s">
        <v>95</v>
      </c>
      <c r="AI24" s="264"/>
      <c r="AJ24" s="265"/>
      <c r="AK24" s="265"/>
      <c r="AL24" s="265"/>
      <c r="AM24" s="265"/>
      <c r="AN24" s="265"/>
      <c r="AO24" s="268"/>
      <c r="AP24" s="269" t="s">
        <v>95</v>
      </c>
      <c r="AQ24" s="265" t="s">
        <v>95</v>
      </c>
      <c r="AR24" s="266" t="s">
        <v>95</v>
      </c>
      <c r="AS24" s="268"/>
      <c r="AT24" s="271" t="s">
        <v>99</v>
      </c>
      <c r="AU24" s="272" t="s">
        <v>226</v>
      </c>
      <c r="AV24" s="269" t="s">
        <v>95</v>
      </c>
      <c r="AW24" s="157"/>
      <c r="AX24" s="161"/>
      <c r="AY24" s="269" t="s">
        <v>95</v>
      </c>
      <c r="AZ24" s="268" t="s">
        <v>95</v>
      </c>
      <c r="BA24" s="269" t="s">
        <v>95</v>
      </c>
      <c r="BB24" s="265" t="s">
        <v>95</v>
      </c>
      <c r="BC24" s="265" t="s">
        <v>95</v>
      </c>
      <c r="BD24" s="265" t="s">
        <v>95</v>
      </c>
      <c r="BE24" s="265" t="s">
        <v>95</v>
      </c>
      <c r="BF24" s="265" t="s">
        <v>95</v>
      </c>
      <c r="BG24" s="265" t="s">
        <v>95</v>
      </c>
      <c r="BH24" s="265" t="s">
        <v>95</v>
      </c>
      <c r="BI24" s="265" t="s">
        <v>95</v>
      </c>
      <c r="BJ24" s="268" t="s">
        <v>95</v>
      </c>
      <c r="BK24" s="205"/>
      <c r="BL24" s="205"/>
      <c r="BM24" s="205"/>
      <c r="BN24" s="205"/>
    </row>
    <row r="25" spans="1:66" s="188" customFormat="1">
      <c r="A25" s="251">
        <v>7</v>
      </c>
      <c r="B25" s="252" t="s">
        <v>228</v>
      </c>
      <c r="C25" s="252" t="s">
        <v>221</v>
      </c>
      <c r="D25" s="42"/>
      <c r="E25" s="117"/>
      <c r="F25" s="121" t="str">
        <f t="shared" si="0"/>
        <v/>
      </c>
      <c r="G25" s="121" t="str">
        <f t="shared" si="1"/>
        <v/>
      </c>
      <c r="H25" s="253"/>
      <c r="I25" s="264"/>
      <c r="J25" s="265"/>
      <c r="K25" s="265"/>
      <c r="L25" s="265"/>
      <c r="M25" s="265" t="s">
        <v>95</v>
      </c>
      <c r="N25" s="265"/>
      <c r="O25" s="265"/>
      <c r="P25" s="265"/>
      <c r="Q25" s="265"/>
      <c r="R25" s="265"/>
      <c r="S25" s="265"/>
      <c r="T25" s="265"/>
      <c r="U25" s="265"/>
      <c r="V25" s="265"/>
      <c r="W25" s="265"/>
      <c r="X25" s="267" t="s">
        <v>222</v>
      </c>
      <c r="Y25" s="265" t="s">
        <v>95</v>
      </c>
      <c r="Z25" s="265" t="s">
        <v>95</v>
      </c>
      <c r="AA25" s="267" t="s">
        <v>223</v>
      </c>
      <c r="AB25" s="161"/>
      <c r="AC25" s="269" t="s">
        <v>95</v>
      </c>
      <c r="AD25" s="265"/>
      <c r="AE25" s="157" t="s">
        <v>95</v>
      </c>
      <c r="AF25" s="268"/>
      <c r="AG25" s="274"/>
      <c r="AH25" s="268" t="s">
        <v>95</v>
      </c>
      <c r="AI25" s="264"/>
      <c r="AJ25" s="265"/>
      <c r="AK25" s="265"/>
      <c r="AL25" s="265"/>
      <c r="AM25" s="265"/>
      <c r="AN25" s="265"/>
      <c r="AO25" s="268"/>
      <c r="AP25" s="269" t="s">
        <v>95</v>
      </c>
      <c r="AQ25" s="265" t="s">
        <v>95</v>
      </c>
      <c r="AR25" s="265" t="s">
        <v>99</v>
      </c>
      <c r="AS25" s="268"/>
      <c r="AT25" s="269"/>
      <c r="AU25" s="268"/>
      <c r="AV25" s="269" t="s">
        <v>95</v>
      </c>
      <c r="AW25" s="265" t="s">
        <v>95</v>
      </c>
      <c r="AX25" s="161" t="s">
        <v>95</v>
      </c>
      <c r="AY25" s="269" t="s">
        <v>95</v>
      </c>
      <c r="AZ25" s="268" t="s">
        <v>95</v>
      </c>
      <c r="BA25" s="269" t="s">
        <v>95</v>
      </c>
      <c r="BB25" s="265" t="s">
        <v>95</v>
      </c>
      <c r="BC25" s="265" t="s">
        <v>95</v>
      </c>
      <c r="BD25" s="265" t="s">
        <v>95</v>
      </c>
      <c r="BE25" s="265" t="s">
        <v>95</v>
      </c>
      <c r="BF25" s="265" t="s">
        <v>95</v>
      </c>
      <c r="BG25" s="265" t="s">
        <v>95</v>
      </c>
      <c r="BH25" s="265" t="s">
        <v>95</v>
      </c>
      <c r="BI25" s="265" t="s">
        <v>95</v>
      </c>
      <c r="BJ25" s="268" t="s">
        <v>95</v>
      </c>
      <c r="BK25" s="205"/>
      <c r="BL25" s="205"/>
      <c r="BM25" s="205"/>
      <c r="BN25" s="205"/>
    </row>
    <row r="26" spans="1:66" s="188" customFormat="1">
      <c r="A26" s="251">
        <v>8</v>
      </c>
      <c r="B26" s="252" t="s">
        <v>229</v>
      </c>
      <c r="C26" s="252" t="s">
        <v>224</v>
      </c>
      <c r="D26" s="42"/>
      <c r="E26" s="117"/>
      <c r="F26" s="121" t="str">
        <f t="shared" si="0"/>
        <v/>
      </c>
      <c r="G26" s="121" t="str">
        <f t="shared" si="1"/>
        <v/>
      </c>
      <c r="H26" s="253"/>
      <c r="I26" s="264"/>
      <c r="J26" s="265"/>
      <c r="K26" s="265"/>
      <c r="L26" s="265"/>
      <c r="M26" s="265"/>
      <c r="N26" s="265" t="s">
        <v>95</v>
      </c>
      <c r="O26" s="265"/>
      <c r="P26" s="265"/>
      <c r="Q26" s="265"/>
      <c r="R26" s="265"/>
      <c r="S26" s="265"/>
      <c r="T26" s="265"/>
      <c r="U26" s="265"/>
      <c r="V26" s="265"/>
      <c r="W26" s="265"/>
      <c r="X26" s="267" t="s">
        <v>222</v>
      </c>
      <c r="Y26" s="265" t="s">
        <v>95</v>
      </c>
      <c r="Z26" s="265" t="s">
        <v>95</v>
      </c>
      <c r="AA26" s="267" t="s">
        <v>223</v>
      </c>
      <c r="AB26" s="161"/>
      <c r="AC26" s="269" t="s">
        <v>95</v>
      </c>
      <c r="AD26" s="265"/>
      <c r="AE26" s="157" t="s">
        <v>95</v>
      </c>
      <c r="AF26" s="268"/>
      <c r="AG26" s="274"/>
      <c r="AH26" s="268" t="s">
        <v>95</v>
      </c>
      <c r="AI26" s="264"/>
      <c r="AJ26" s="265"/>
      <c r="AK26" s="265"/>
      <c r="AL26" s="265"/>
      <c r="AM26" s="265"/>
      <c r="AN26" s="265"/>
      <c r="AO26" s="268"/>
      <c r="AP26" s="269" t="s">
        <v>95</v>
      </c>
      <c r="AQ26" s="265" t="s">
        <v>95</v>
      </c>
      <c r="AR26" s="265" t="s">
        <v>99</v>
      </c>
      <c r="AS26" s="268"/>
      <c r="AT26" s="269"/>
      <c r="AU26" s="270"/>
      <c r="AV26" s="269" t="s">
        <v>95</v>
      </c>
      <c r="AW26" s="266" t="s">
        <v>95</v>
      </c>
      <c r="AX26" s="275" t="s">
        <v>95</v>
      </c>
      <c r="AY26" s="269" t="s">
        <v>95</v>
      </c>
      <c r="AZ26" s="268" t="s">
        <v>95</v>
      </c>
      <c r="BA26" s="269" t="s">
        <v>95</v>
      </c>
      <c r="BB26" s="265" t="s">
        <v>95</v>
      </c>
      <c r="BC26" s="265" t="s">
        <v>95</v>
      </c>
      <c r="BD26" s="265" t="s">
        <v>95</v>
      </c>
      <c r="BE26" s="265" t="s">
        <v>95</v>
      </c>
      <c r="BF26" s="265" t="s">
        <v>95</v>
      </c>
      <c r="BG26" s="265" t="s">
        <v>95</v>
      </c>
      <c r="BH26" s="265" t="s">
        <v>95</v>
      </c>
      <c r="BI26" s="265" t="s">
        <v>95</v>
      </c>
      <c r="BJ26" s="268" t="s">
        <v>95</v>
      </c>
      <c r="BK26" s="205"/>
      <c r="BL26" s="205"/>
      <c r="BM26" s="205"/>
      <c r="BN26" s="205"/>
    </row>
    <row r="27" spans="1:66" s="188" customFormat="1">
      <c r="A27" s="251">
        <v>9</v>
      </c>
      <c r="B27" s="252" t="s">
        <v>230</v>
      </c>
      <c r="C27" s="252" t="s">
        <v>221</v>
      </c>
      <c r="D27" s="42"/>
      <c r="E27" s="117"/>
      <c r="F27" s="121" t="str">
        <f t="shared" si="0"/>
        <v/>
      </c>
      <c r="G27" s="121" t="str">
        <f t="shared" si="1"/>
        <v/>
      </c>
      <c r="H27" s="253"/>
      <c r="I27" s="264"/>
      <c r="J27" s="265"/>
      <c r="K27" s="265"/>
      <c r="L27" s="265"/>
      <c r="M27" s="265"/>
      <c r="N27" s="265"/>
      <c r="O27" s="265" t="s">
        <v>95</v>
      </c>
      <c r="P27" s="265"/>
      <c r="Q27" s="265"/>
      <c r="R27" s="265"/>
      <c r="S27" s="265"/>
      <c r="T27" s="265" t="s">
        <v>95</v>
      </c>
      <c r="U27" s="265"/>
      <c r="V27" s="265"/>
      <c r="W27" s="265"/>
      <c r="X27" s="267" t="s">
        <v>222</v>
      </c>
      <c r="Y27" s="265" t="s">
        <v>95</v>
      </c>
      <c r="Z27" s="265" t="s">
        <v>95</v>
      </c>
      <c r="AA27" s="267" t="s">
        <v>223</v>
      </c>
      <c r="AB27" s="161"/>
      <c r="AC27" s="269" t="s">
        <v>95</v>
      </c>
      <c r="AD27" s="265"/>
      <c r="AE27" s="157" t="s">
        <v>95</v>
      </c>
      <c r="AF27" s="268"/>
      <c r="AG27" s="274"/>
      <c r="AH27" s="268" t="s">
        <v>95</v>
      </c>
      <c r="AI27" s="264"/>
      <c r="AJ27" s="265"/>
      <c r="AK27" s="265"/>
      <c r="AL27" s="265"/>
      <c r="AM27" s="265"/>
      <c r="AN27" s="265"/>
      <c r="AO27" s="268"/>
      <c r="AP27" s="269" t="s">
        <v>95</v>
      </c>
      <c r="AQ27" s="265" t="s">
        <v>95</v>
      </c>
      <c r="AR27" s="265"/>
      <c r="AS27" s="268"/>
      <c r="AT27" s="269" t="s">
        <v>95</v>
      </c>
      <c r="AU27" s="272" t="s">
        <v>226</v>
      </c>
      <c r="AV27" s="269" t="s">
        <v>95</v>
      </c>
      <c r="AW27" s="276"/>
      <c r="AX27" s="275" t="s">
        <v>95</v>
      </c>
      <c r="AY27" s="269" t="s">
        <v>95</v>
      </c>
      <c r="AZ27" s="268" t="s">
        <v>95</v>
      </c>
      <c r="BA27" s="269" t="s">
        <v>95</v>
      </c>
      <c r="BB27" s="265" t="s">
        <v>95</v>
      </c>
      <c r="BC27" s="265" t="s">
        <v>95</v>
      </c>
      <c r="BD27" s="265" t="s">
        <v>95</v>
      </c>
      <c r="BE27" s="265" t="s">
        <v>95</v>
      </c>
      <c r="BF27" s="265" t="s">
        <v>95</v>
      </c>
      <c r="BG27" s="265" t="s">
        <v>95</v>
      </c>
      <c r="BH27" s="265" t="s">
        <v>95</v>
      </c>
      <c r="BI27" s="265" t="s">
        <v>95</v>
      </c>
      <c r="BJ27" s="268" t="s">
        <v>95</v>
      </c>
      <c r="BK27" s="205"/>
      <c r="BL27" s="205"/>
      <c r="BM27" s="205"/>
      <c r="BN27" s="205"/>
    </row>
    <row r="28" spans="1:66" s="188" customFormat="1">
      <c r="A28" s="251">
        <v>10</v>
      </c>
      <c r="B28" s="252" t="s">
        <v>230</v>
      </c>
      <c r="C28" s="252" t="s">
        <v>224</v>
      </c>
      <c r="D28" s="42"/>
      <c r="E28" s="117"/>
      <c r="F28" s="121" t="str">
        <f t="shared" si="0"/>
        <v/>
      </c>
      <c r="G28" s="121" t="str">
        <f t="shared" si="1"/>
        <v/>
      </c>
      <c r="H28" s="253"/>
      <c r="I28" s="264"/>
      <c r="J28" s="265"/>
      <c r="K28" s="265"/>
      <c r="L28" s="265"/>
      <c r="M28" s="265"/>
      <c r="N28" s="265"/>
      <c r="O28" s="265" t="s">
        <v>95</v>
      </c>
      <c r="P28" s="265"/>
      <c r="Q28" s="265"/>
      <c r="R28" s="265"/>
      <c r="S28" s="265"/>
      <c r="T28" s="265" t="s">
        <v>95</v>
      </c>
      <c r="U28" s="265"/>
      <c r="V28" s="265"/>
      <c r="W28" s="265"/>
      <c r="X28" s="267" t="s">
        <v>222</v>
      </c>
      <c r="Y28" s="265" t="s">
        <v>95</v>
      </c>
      <c r="Z28" s="265" t="s">
        <v>95</v>
      </c>
      <c r="AA28" s="267" t="s">
        <v>223</v>
      </c>
      <c r="AB28" s="161"/>
      <c r="AC28" s="269" t="s">
        <v>95</v>
      </c>
      <c r="AD28" s="265"/>
      <c r="AE28" s="157" t="s">
        <v>95</v>
      </c>
      <c r="AF28" s="268"/>
      <c r="AG28" s="274"/>
      <c r="AH28" s="268" t="s">
        <v>95</v>
      </c>
      <c r="AI28" s="264"/>
      <c r="AJ28" s="265"/>
      <c r="AK28" s="265"/>
      <c r="AL28" s="265"/>
      <c r="AM28" s="265"/>
      <c r="AN28" s="265"/>
      <c r="AO28" s="268"/>
      <c r="AP28" s="269" t="s">
        <v>95</v>
      </c>
      <c r="AQ28" s="265" t="s">
        <v>95</v>
      </c>
      <c r="AR28" s="265"/>
      <c r="AS28" s="268"/>
      <c r="AT28" s="269" t="s">
        <v>95</v>
      </c>
      <c r="AU28" s="272" t="s">
        <v>226</v>
      </c>
      <c r="AV28" s="269" t="s">
        <v>95</v>
      </c>
      <c r="AW28" s="276"/>
      <c r="AX28" s="275" t="s">
        <v>95</v>
      </c>
      <c r="AY28" s="269" t="s">
        <v>95</v>
      </c>
      <c r="AZ28" s="268" t="s">
        <v>95</v>
      </c>
      <c r="BA28" s="269" t="s">
        <v>95</v>
      </c>
      <c r="BB28" s="265" t="s">
        <v>95</v>
      </c>
      <c r="BC28" s="265" t="s">
        <v>95</v>
      </c>
      <c r="BD28" s="265" t="s">
        <v>95</v>
      </c>
      <c r="BE28" s="265" t="s">
        <v>95</v>
      </c>
      <c r="BF28" s="265" t="s">
        <v>95</v>
      </c>
      <c r="BG28" s="265" t="s">
        <v>95</v>
      </c>
      <c r="BH28" s="265" t="s">
        <v>95</v>
      </c>
      <c r="BI28" s="265" t="s">
        <v>95</v>
      </c>
      <c r="BJ28" s="268" t="s">
        <v>95</v>
      </c>
      <c r="BK28" s="205"/>
      <c r="BL28" s="205"/>
      <c r="BM28" s="205"/>
      <c r="BN28" s="205"/>
    </row>
    <row r="29" spans="1:66" s="188" customFormat="1">
      <c r="A29" s="251">
        <v>11</v>
      </c>
      <c r="B29" s="252" t="s">
        <v>231</v>
      </c>
      <c r="C29" s="252" t="s">
        <v>221</v>
      </c>
      <c r="D29" s="42"/>
      <c r="E29" s="117"/>
      <c r="F29" s="121" t="str">
        <f t="shared" si="0"/>
        <v/>
      </c>
      <c r="G29" s="121" t="str">
        <f t="shared" si="1"/>
        <v/>
      </c>
      <c r="H29" s="253"/>
      <c r="I29" s="264"/>
      <c r="J29" s="265"/>
      <c r="K29" s="265"/>
      <c r="L29" s="265"/>
      <c r="M29" s="265"/>
      <c r="N29" s="265"/>
      <c r="O29" s="266"/>
      <c r="P29" s="267" t="s">
        <v>232</v>
      </c>
      <c r="Q29" s="267" t="s">
        <v>232</v>
      </c>
      <c r="R29" s="267" t="s">
        <v>232</v>
      </c>
      <c r="S29" s="266"/>
      <c r="T29" s="306" t="s">
        <v>233</v>
      </c>
      <c r="U29" s="265"/>
      <c r="V29" s="265"/>
      <c r="W29" s="265"/>
      <c r="X29" s="267" t="s">
        <v>222</v>
      </c>
      <c r="Y29" s="265" t="s">
        <v>95</v>
      </c>
      <c r="Z29" s="265" t="s">
        <v>95</v>
      </c>
      <c r="AA29" s="267" t="s">
        <v>223</v>
      </c>
      <c r="AB29" s="278" t="s">
        <v>234</v>
      </c>
      <c r="AC29" s="269" t="s">
        <v>95</v>
      </c>
      <c r="AD29" s="265"/>
      <c r="AE29" s="157" t="s">
        <v>95</v>
      </c>
      <c r="AF29" s="268"/>
      <c r="AG29" s="274"/>
      <c r="AH29" s="268" t="s">
        <v>95</v>
      </c>
      <c r="AI29" s="264"/>
      <c r="AJ29" s="265"/>
      <c r="AK29" s="265"/>
      <c r="AL29" s="265"/>
      <c r="AM29" s="265"/>
      <c r="AN29" s="265"/>
      <c r="AO29" s="268"/>
      <c r="AP29" s="269" t="s">
        <v>95</v>
      </c>
      <c r="AQ29" s="265" t="s">
        <v>95</v>
      </c>
      <c r="AR29" s="265"/>
      <c r="AS29" s="268"/>
      <c r="AT29" s="269" t="s">
        <v>95</v>
      </c>
      <c r="AU29" s="272" t="s">
        <v>226</v>
      </c>
      <c r="AV29" s="269" t="s">
        <v>95</v>
      </c>
      <c r="AW29" s="276"/>
      <c r="AX29" s="279" t="s">
        <v>235</v>
      </c>
      <c r="AY29" s="269" t="s">
        <v>95</v>
      </c>
      <c r="AZ29" s="268" t="s">
        <v>95</v>
      </c>
      <c r="BA29" s="269" t="s">
        <v>95</v>
      </c>
      <c r="BB29" s="265" t="s">
        <v>95</v>
      </c>
      <c r="BC29" s="265" t="s">
        <v>95</v>
      </c>
      <c r="BD29" s="265" t="s">
        <v>95</v>
      </c>
      <c r="BE29" s="265" t="s">
        <v>95</v>
      </c>
      <c r="BF29" s="265" t="s">
        <v>95</v>
      </c>
      <c r="BG29" s="265" t="s">
        <v>95</v>
      </c>
      <c r="BH29" s="265" t="s">
        <v>95</v>
      </c>
      <c r="BI29" s="265" t="s">
        <v>95</v>
      </c>
      <c r="BJ29" s="268" t="s">
        <v>95</v>
      </c>
      <c r="BK29" s="205"/>
      <c r="BL29" s="205"/>
      <c r="BM29" s="205"/>
      <c r="BN29" s="205"/>
    </row>
    <row r="30" spans="1:66" s="188" customFormat="1">
      <c r="A30" s="251">
        <v>12</v>
      </c>
      <c r="B30" s="252" t="s">
        <v>231</v>
      </c>
      <c r="C30" s="252" t="s">
        <v>224</v>
      </c>
      <c r="D30" s="42"/>
      <c r="E30" s="117"/>
      <c r="F30" s="121" t="str">
        <f t="shared" si="0"/>
        <v/>
      </c>
      <c r="G30" s="121" t="str">
        <f t="shared" si="1"/>
        <v/>
      </c>
      <c r="H30" s="253"/>
      <c r="I30" s="264"/>
      <c r="J30" s="265"/>
      <c r="K30" s="265"/>
      <c r="L30" s="265"/>
      <c r="M30" s="265"/>
      <c r="N30" s="265"/>
      <c r="O30" s="266"/>
      <c r="P30" s="267" t="s">
        <v>232</v>
      </c>
      <c r="Q30" s="267" t="s">
        <v>232</v>
      </c>
      <c r="R30" s="267" t="s">
        <v>232</v>
      </c>
      <c r="S30" s="266"/>
      <c r="T30" s="306" t="s">
        <v>233</v>
      </c>
      <c r="U30" s="265"/>
      <c r="V30" s="265"/>
      <c r="W30" s="265"/>
      <c r="X30" s="267" t="s">
        <v>222</v>
      </c>
      <c r="Y30" s="265" t="s">
        <v>95</v>
      </c>
      <c r="Z30" s="265" t="s">
        <v>95</v>
      </c>
      <c r="AA30" s="267" t="s">
        <v>223</v>
      </c>
      <c r="AB30" s="278" t="s">
        <v>234</v>
      </c>
      <c r="AC30" s="269" t="s">
        <v>95</v>
      </c>
      <c r="AD30" s="265"/>
      <c r="AE30" s="157" t="s">
        <v>95</v>
      </c>
      <c r="AF30" s="268"/>
      <c r="AG30" s="274"/>
      <c r="AH30" s="268" t="s">
        <v>95</v>
      </c>
      <c r="AI30" s="264"/>
      <c r="AJ30" s="265"/>
      <c r="AK30" s="265"/>
      <c r="AL30" s="265"/>
      <c r="AM30" s="265"/>
      <c r="AN30" s="265"/>
      <c r="AO30" s="268"/>
      <c r="AP30" s="269" t="s">
        <v>95</v>
      </c>
      <c r="AQ30" s="265" t="s">
        <v>95</v>
      </c>
      <c r="AR30" s="265"/>
      <c r="AS30" s="268"/>
      <c r="AT30" s="269" t="s">
        <v>95</v>
      </c>
      <c r="AU30" s="272" t="s">
        <v>226</v>
      </c>
      <c r="AV30" s="269" t="s">
        <v>95</v>
      </c>
      <c r="AW30" s="276"/>
      <c r="AX30" s="279" t="s">
        <v>235</v>
      </c>
      <c r="AY30" s="269" t="s">
        <v>95</v>
      </c>
      <c r="AZ30" s="268" t="s">
        <v>95</v>
      </c>
      <c r="BA30" s="269" t="s">
        <v>95</v>
      </c>
      <c r="BB30" s="265" t="s">
        <v>95</v>
      </c>
      <c r="BC30" s="265" t="s">
        <v>95</v>
      </c>
      <c r="BD30" s="265" t="s">
        <v>95</v>
      </c>
      <c r="BE30" s="265" t="s">
        <v>95</v>
      </c>
      <c r="BF30" s="265" t="s">
        <v>95</v>
      </c>
      <c r="BG30" s="265" t="s">
        <v>95</v>
      </c>
      <c r="BH30" s="265" t="s">
        <v>95</v>
      </c>
      <c r="BI30" s="265" t="s">
        <v>95</v>
      </c>
      <c r="BJ30" s="268" t="s">
        <v>95</v>
      </c>
      <c r="BK30" s="205"/>
      <c r="BL30" s="205"/>
      <c r="BM30" s="205"/>
      <c r="BN30" s="205"/>
    </row>
    <row r="31" spans="1:66" s="188" customFormat="1">
      <c r="A31" s="251">
        <v>13</v>
      </c>
      <c r="B31" s="252" t="s">
        <v>231</v>
      </c>
      <c r="C31" s="252" t="s">
        <v>221</v>
      </c>
      <c r="D31" s="42"/>
      <c r="E31" s="117"/>
      <c r="F31" s="121" t="str">
        <f t="shared" si="0"/>
        <v/>
      </c>
      <c r="G31" s="121" t="str">
        <f t="shared" si="1"/>
        <v/>
      </c>
      <c r="H31" s="253"/>
      <c r="I31" s="264"/>
      <c r="J31" s="265"/>
      <c r="K31" s="265"/>
      <c r="L31" s="265"/>
      <c r="M31" s="265"/>
      <c r="N31" s="265"/>
      <c r="O31" s="266"/>
      <c r="P31" s="267" t="s">
        <v>232</v>
      </c>
      <c r="Q31" s="267" t="s">
        <v>232</v>
      </c>
      <c r="R31" s="267" t="s">
        <v>232</v>
      </c>
      <c r="S31" s="266"/>
      <c r="T31" s="306" t="s">
        <v>233</v>
      </c>
      <c r="U31" s="265"/>
      <c r="V31" s="265"/>
      <c r="W31" s="265"/>
      <c r="X31" s="267" t="s">
        <v>222</v>
      </c>
      <c r="Y31" s="265" t="s">
        <v>95</v>
      </c>
      <c r="Z31" s="265" t="s">
        <v>95</v>
      </c>
      <c r="AA31" s="267" t="s">
        <v>223</v>
      </c>
      <c r="AB31" s="278" t="s">
        <v>234</v>
      </c>
      <c r="AC31" s="269" t="s">
        <v>95</v>
      </c>
      <c r="AD31" s="265"/>
      <c r="AE31" s="157" t="s">
        <v>95</v>
      </c>
      <c r="AF31" s="268"/>
      <c r="AG31" s="274"/>
      <c r="AH31" s="268" t="s">
        <v>95</v>
      </c>
      <c r="AI31" s="264"/>
      <c r="AJ31" s="265"/>
      <c r="AK31" s="265"/>
      <c r="AL31" s="265"/>
      <c r="AM31" s="265"/>
      <c r="AN31" s="265"/>
      <c r="AO31" s="268"/>
      <c r="AP31" s="269" t="s">
        <v>95</v>
      </c>
      <c r="AQ31" s="265" t="s">
        <v>95</v>
      </c>
      <c r="AR31" s="265"/>
      <c r="AS31" s="268"/>
      <c r="AT31" s="269" t="s">
        <v>95</v>
      </c>
      <c r="AU31" s="272" t="s">
        <v>226</v>
      </c>
      <c r="AV31" s="269" t="s">
        <v>95</v>
      </c>
      <c r="AW31" s="276"/>
      <c r="AX31" s="279" t="s">
        <v>235</v>
      </c>
      <c r="AY31" s="269" t="s">
        <v>95</v>
      </c>
      <c r="AZ31" s="268" t="s">
        <v>95</v>
      </c>
      <c r="BA31" s="269" t="s">
        <v>95</v>
      </c>
      <c r="BB31" s="265" t="s">
        <v>95</v>
      </c>
      <c r="BC31" s="265" t="s">
        <v>95</v>
      </c>
      <c r="BD31" s="265" t="s">
        <v>95</v>
      </c>
      <c r="BE31" s="265" t="s">
        <v>95</v>
      </c>
      <c r="BF31" s="265" t="s">
        <v>95</v>
      </c>
      <c r="BG31" s="265" t="s">
        <v>95</v>
      </c>
      <c r="BH31" s="265" t="s">
        <v>95</v>
      </c>
      <c r="BI31" s="265" t="s">
        <v>95</v>
      </c>
      <c r="BJ31" s="268" t="s">
        <v>95</v>
      </c>
      <c r="BK31" s="205"/>
      <c r="BL31" s="205"/>
      <c r="BM31" s="205"/>
      <c r="BN31" s="205"/>
    </row>
    <row r="32" spans="1:66" s="188" customFormat="1">
      <c r="A32" s="251">
        <v>14</v>
      </c>
      <c r="B32" s="252" t="s">
        <v>231</v>
      </c>
      <c r="C32" s="252" t="s">
        <v>224</v>
      </c>
      <c r="D32" s="42"/>
      <c r="E32" s="117"/>
      <c r="F32" s="121" t="str">
        <f t="shared" si="0"/>
        <v/>
      </c>
      <c r="G32" s="121" t="str">
        <f t="shared" si="1"/>
        <v/>
      </c>
      <c r="H32" s="253"/>
      <c r="I32" s="264"/>
      <c r="J32" s="265"/>
      <c r="K32" s="265"/>
      <c r="L32" s="265"/>
      <c r="M32" s="265"/>
      <c r="N32" s="265"/>
      <c r="O32" s="266"/>
      <c r="P32" s="267" t="s">
        <v>232</v>
      </c>
      <c r="Q32" s="267" t="s">
        <v>232</v>
      </c>
      <c r="R32" s="267" t="s">
        <v>232</v>
      </c>
      <c r="S32" s="266"/>
      <c r="T32" s="306" t="s">
        <v>233</v>
      </c>
      <c r="U32" s="265"/>
      <c r="V32" s="265"/>
      <c r="W32" s="265"/>
      <c r="X32" s="267" t="s">
        <v>222</v>
      </c>
      <c r="Y32" s="265" t="s">
        <v>95</v>
      </c>
      <c r="Z32" s="265" t="s">
        <v>95</v>
      </c>
      <c r="AA32" s="267" t="s">
        <v>223</v>
      </c>
      <c r="AB32" s="278" t="s">
        <v>234</v>
      </c>
      <c r="AC32" s="269" t="s">
        <v>95</v>
      </c>
      <c r="AD32" s="265"/>
      <c r="AE32" s="157" t="s">
        <v>95</v>
      </c>
      <c r="AF32" s="268"/>
      <c r="AG32" s="274"/>
      <c r="AH32" s="268" t="s">
        <v>95</v>
      </c>
      <c r="AI32" s="264"/>
      <c r="AJ32" s="265"/>
      <c r="AK32" s="265"/>
      <c r="AL32" s="265"/>
      <c r="AM32" s="265"/>
      <c r="AN32" s="265"/>
      <c r="AO32" s="268"/>
      <c r="AP32" s="269" t="s">
        <v>95</v>
      </c>
      <c r="AQ32" s="265" t="s">
        <v>95</v>
      </c>
      <c r="AR32" s="265"/>
      <c r="AS32" s="268"/>
      <c r="AT32" s="269" t="s">
        <v>95</v>
      </c>
      <c r="AU32" s="272" t="s">
        <v>226</v>
      </c>
      <c r="AV32" s="269" t="s">
        <v>95</v>
      </c>
      <c r="AW32" s="276"/>
      <c r="AX32" s="279" t="s">
        <v>235</v>
      </c>
      <c r="AY32" s="269" t="s">
        <v>95</v>
      </c>
      <c r="AZ32" s="268" t="s">
        <v>95</v>
      </c>
      <c r="BA32" s="269" t="s">
        <v>95</v>
      </c>
      <c r="BB32" s="265" t="s">
        <v>95</v>
      </c>
      <c r="BC32" s="265" t="s">
        <v>95</v>
      </c>
      <c r="BD32" s="265" t="s">
        <v>95</v>
      </c>
      <c r="BE32" s="265" t="s">
        <v>95</v>
      </c>
      <c r="BF32" s="265" t="s">
        <v>95</v>
      </c>
      <c r="BG32" s="265" t="s">
        <v>95</v>
      </c>
      <c r="BH32" s="265" t="s">
        <v>95</v>
      </c>
      <c r="BI32" s="265" t="s">
        <v>95</v>
      </c>
      <c r="BJ32" s="268" t="s">
        <v>95</v>
      </c>
      <c r="BK32" s="205"/>
      <c r="BL32" s="205"/>
      <c r="BM32" s="205"/>
      <c r="BN32" s="205"/>
    </row>
    <row r="33" spans="1:66" s="188" customFormat="1">
      <c r="A33" s="251">
        <v>15</v>
      </c>
      <c r="B33" s="252" t="s">
        <v>231</v>
      </c>
      <c r="C33" s="252" t="s">
        <v>221</v>
      </c>
      <c r="D33" s="42"/>
      <c r="E33" s="117"/>
      <c r="F33" s="121" t="str">
        <f t="shared" si="0"/>
        <v/>
      </c>
      <c r="G33" s="121" t="str">
        <f t="shared" si="1"/>
        <v/>
      </c>
      <c r="H33" s="253"/>
      <c r="I33" s="264"/>
      <c r="J33" s="265"/>
      <c r="K33" s="265"/>
      <c r="L33" s="265"/>
      <c r="M33" s="265"/>
      <c r="N33" s="265"/>
      <c r="O33" s="266"/>
      <c r="P33" s="267" t="s">
        <v>232</v>
      </c>
      <c r="Q33" s="267" t="s">
        <v>232</v>
      </c>
      <c r="R33" s="267" t="s">
        <v>232</v>
      </c>
      <c r="S33" s="266"/>
      <c r="T33" s="306" t="s">
        <v>233</v>
      </c>
      <c r="U33" s="265"/>
      <c r="V33" s="265"/>
      <c r="W33" s="265"/>
      <c r="X33" s="267" t="s">
        <v>222</v>
      </c>
      <c r="Y33" s="265" t="s">
        <v>95</v>
      </c>
      <c r="Z33" s="265" t="s">
        <v>95</v>
      </c>
      <c r="AA33" s="267" t="s">
        <v>223</v>
      </c>
      <c r="AB33" s="278" t="s">
        <v>234</v>
      </c>
      <c r="AC33" s="269" t="s">
        <v>95</v>
      </c>
      <c r="AD33" s="265"/>
      <c r="AE33" s="157" t="s">
        <v>95</v>
      </c>
      <c r="AF33" s="268"/>
      <c r="AG33" s="274"/>
      <c r="AH33" s="268" t="s">
        <v>95</v>
      </c>
      <c r="AI33" s="264"/>
      <c r="AJ33" s="265"/>
      <c r="AK33" s="265"/>
      <c r="AL33" s="265"/>
      <c r="AM33" s="265"/>
      <c r="AN33" s="265"/>
      <c r="AO33" s="268"/>
      <c r="AP33" s="269" t="s">
        <v>95</v>
      </c>
      <c r="AQ33" s="265" t="s">
        <v>95</v>
      </c>
      <c r="AR33" s="265"/>
      <c r="AS33" s="268"/>
      <c r="AT33" s="269" t="s">
        <v>95</v>
      </c>
      <c r="AU33" s="272" t="s">
        <v>226</v>
      </c>
      <c r="AV33" s="269" t="s">
        <v>95</v>
      </c>
      <c r="AW33" s="276"/>
      <c r="AX33" s="279" t="s">
        <v>235</v>
      </c>
      <c r="AY33" s="269" t="s">
        <v>95</v>
      </c>
      <c r="AZ33" s="268" t="s">
        <v>95</v>
      </c>
      <c r="BA33" s="269" t="s">
        <v>95</v>
      </c>
      <c r="BB33" s="265" t="s">
        <v>95</v>
      </c>
      <c r="BC33" s="265" t="s">
        <v>95</v>
      </c>
      <c r="BD33" s="265" t="s">
        <v>95</v>
      </c>
      <c r="BE33" s="265" t="s">
        <v>95</v>
      </c>
      <c r="BF33" s="265" t="s">
        <v>95</v>
      </c>
      <c r="BG33" s="265" t="s">
        <v>95</v>
      </c>
      <c r="BH33" s="265" t="s">
        <v>95</v>
      </c>
      <c r="BI33" s="265" t="s">
        <v>95</v>
      </c>
      <c r="BJ33" s="268" t="s">
        <v>95</v>
      </c>
      <c r="BK33" s="205"/>
      <c r="BL33" s="205"/>
      <c r="BM33" s="205"/>
      <c r="BN33" s="205"/>
    </row>
    <row r="34" spans="1:66" s="188" customFormat="1">
      <c r="A34" s="251">
        <v>16</v>
      </c>
      <c r="B34" s="252" t="s">
        <v>231</v>
      </c>
      <c r="C34" s="252" t="s">
        <v>224</v>
      </c>
      <c r="D34" s="42"/>
      <c r="E34" s="117"/>
      <c r="F34" s="121" t="str">
        <f t="shared" si="0"/>
        <v/>
      </c>
      <c r="G34" s="121" t="str">
        <f t="shared" si="1"/>
        <v/>
      </c>
      <c r="H34" s="253"/>
      <c r="I34" s="264"/>
      <c r="J34" s="265"/>
      <c r="K34" s="265"/>
      <c r="L34" s="265"/>
      <c r="M34" s="265"/>
      <c r="N34" s="265"/>
      <c r="O34" s="266"/>
      <c r="P34" s="267" t="s">
        <v>232</v>
      </c>
      <c r="Q34" s="267" t="s">
        <v>232</v>
      </c>
      <c r="R34" s="267" t="s">
        <v>232</v>
      </c>
      <c r="S34" s="266"/>
      <c r="T34" s="306" t="s">
        <v>233</v>
      </c>
      <c r="U34" s="265"/>
      <c r="V34" s="265"/>
      <c r="W34" s="265"/>
      <c r="X34" s="267" t="s">
        <v>222</v>
      </c>
      <c r="Y34" s="265" t="s">
        <v>95</v>
      </c>
      <c r="Z34" s="265" t="s">
        <v>95</v>
      </c>
      <c r="AA34" s="267" t="s">
        <v>223</v>
      </c>
      <c r="AB34" s="278" t="s">
        <v>234</v>
      </c>
      <c r="AC34" s="269" t="s">
        <v>95</v>
      </c>
      <c r="AD34" s="265"/>
      <c r="AE34" s="157" t="s">
        <v>95</v>
      </c>
      <c r="AF34" s="268"/>
      <c r="AG34" s="274"/>
      <c r="AH34" s="268" t="s">
        <v>95</v>
      </c>
      <c r="AI34" s="264"/>
      <c r="AJ34" s="265"/>
      <c r="AK34" s="265"/>
      <c r="AL34" s="265"/>
      <c r="AM34" s="265"/>
      <c r="AN34" s="265"/>
      <c r="AO34" s="268"/>
      <c r="AP34" s="269" t="s">
        <v>95</v>
      </c>
      <c r="AQ34" s="265" t="s">
        <v>95</v>
      </c>
      <c r="AR34" s="265"/>
      <c r="AS34" s="268"/>
      <c r="AT34" s="269" t="s">
        <v>95</v>
      </c>
      <c r="AU34" s="272" t="s">
        <v>226</v>
      </c>
      <c r="AV34" s="269" t="s">
        <v>95</v>
      </c>
      <c r="AW34" s="276"/>
      <c r="AX34" s="279" t="s">
        <v>235</v>
      </c>
      <c r="AY34" s="269" t="s">
        <v>95</v>
      </c>
      <c r="AZ34" s="268" t="s">
        <v>95</v>
      </c>
      <c r="BA34" s="269" t="s">
        <v>95</v>
      </c>
      <c r="BB34" s="265" t="s">
        <v>95</v>
      </c>
      <c r="BC34" s="265" t="s">
        <v>95</v>
      </c>
      <c r="BD34" s="265" t="s">
        <v>95</v>
      </c>
      <c r="BE34" s="265" t="s">
        <v>95</v>
      </c>
      <c r="BF34" s="265" t="s">
        <v>95</v>
      </c>
      <c r="BG34" s="265" t="s">
        <v>95</v>
      </c>
      <c r="BH34" s="265" t="s">
        <v>95</v>
      </c>
      <c r="BI34" s="265" t="s">
        <v>95</v>
      </c>
      <c r="BJ34" s="268" t="s">
        <v>95</v>
      </c>
      <c r="BK34" s="205"/>
      <c r="BL34" s="205"/>
      <c r="BM34" s="205"/>
      <c r="BN34" s="205"/>
    </row>
    <row r="35" spans="1:66" s="188" customFormat="1">
      <c r="A35" s="251">
        <v>15</v>
      </c>
      <c r="B35" s="252" t="s">
        <v>230</v>
      </c>
      <c r="C35" s="252" t="s">
        <v>221</v>
      </c>
      <c r="D35" s="42"/>
      <c r="E35" s="117"/>
      <c r="F35" s="121" t="str">
        <f t="shared" si="0"/>
        <v/>
      </c>
      <c r="G35" s="121" t="str">
        <f t="shared" si="1"/>
        <v/>
      </c>
      <c r="H35" s="253"/>
      <c r="I35" s="264"/>
      <c r="J35" s="265"/>
      <c r="K35" s="265"/>
      <c r="L35" s="265"/>
      <c r="M35" s="265"/>
      <c r="N35" s="265"/>
      <c r="O35" s="265" t="s">
        <v>95</v>
      </c>
      <c r="P35" s="265"/>
      <c r="Q35" s="265"/>
      <c r="R35" s="265"/>
      <c r="S35" s="265"/>
      <c r="T35" s="265" t="s">
        <v>95</v>
      </c>
      <c r="U35" s="265"/>
      <c r="V35" s="265"/>
      <c r="W35" s="265"/>
      <c r="X35" s="267" t="s">
        <v>222</v>
      </c>
      <c r="Y35" s="265" t="s">
        <v>95</v>
      </c>
      <c r="Z35" s="265" t="s">
        <v>95</v>
      </c>
      <c r="AA35" s="267" t="s">
        <v>223</v>
      </c>
      <c r="AB35" s="161"/>
      <c r="AC35" s="269" t="s">
        <v>95</v>
      </c>
      <c r="AD35" s="265"/>
      <c r="AE35" s="157" t="s">
        <v>95</v>
      </c>
      <c r="AF35" s="268"/>
      <c r="AG35" s="274"/>
      <c r="AH35" s="268" t="s">
        <v>95</v>
      </c>
      <c r="AI35" s="264"/>
      <c r="AJ35" s="265"/>
      <c r="AK35" s="265"/>
      <c r="AL35" s="265"/>
      <c r="AM35" s="265"/>
      <c r="AN35" s="265"/>
      <c r="AO35" s="268"/>
      <c r="AP35" s="269" t="s">
        <v>95</v>
      </c>
      <c r="AQ35" s="265" t="s">
        <v>95</v>
      </c>
      <c r="AR35" s="265"/>
      <c r="AS35" s="268"/>
      <c r="AT35" s="269" t="s">
        <v>95</v>
      </c>
      <c r="AU35" s="272" t="s">
        <v>226</v>
      </c>
      <c r="AV35" s="269" t="s">
        <v>95</v>
      </c>
      <c r="AW35" s="276"/>
      <c r="AX35" s="275" t="s">
        <v>95</v>
      </c>
      <c r="AY35" s="269" t="s">
        <v>95</v>
      </c>
      <c r="AZ35" s="268" t="s">
        <v>95</v>
      </c>
      <c r="BA35" s="269" t="s">
        <v>95</v>
      </c>
      <c r="BB35" s="265" t="s">
        <v>95</v>
      </c>
      <c r="BC35" s="265" t="s">
        <v>95</v>
      </c>
      <c r="BD35" s="265" t="s">
        <v>95</v>
      </c>
      <c r="BE35" s="265" t="s">
        <v>95</v>
      </c>
      <c r="BF35" s="265" t="s">
        <v>95</v>
      </c>
      <c r="BG35" s="265" t="s">
        <v>95</v>
      </c>
      <c r="BH35" s="265" t="s">
        <v>95</v>
      </c>
      <c r="BI35" s="265" t="s">
        <v>95</v>
      </c>
      <c r="BJ35" s="268" t="s">
        <v>95</v>
      </c>
      <c r="BK35" s="205"/>
      <c r="BL35" s="205"/>
      <c r="BM35" s="205"/>
      <c r="BN35" s="205"/>
    </row>
    <row r="36" spans="1:66" s="188" customFormat="1">
      <c r="A36" s="251">
        <v>16</v>
      </c>
      <c r="B36" s="252" t="s">
        <v>230</v>
      </c>
      <c r="C36" s="252" t="s">
        <v>224</v>
      </c>
      <c r="D36" s="42"/>
      <c r="E36" s="117"/>
      <c r="F36" s="121" t="str">
        <f t="shared" si="0"/>
        <v/>
      </c>
      <c r="G36" s="121" t="str">
        <f t="shared" si="1"/>
        <v/>
      </c>
      <c r="H36" s="253"/>
      <c r="I36" s="264"/>
      <c r="J36" s="265"/>
      <c r="K36" s="265"/>
      <c r="L36" s="265"/>
      <c r="M36" s="265"/>
      <c r="N36" s="265"/>
      <c r="O36" s="265" t="s">
        <v>95</v>
      </c>
      <c r="P36" s="265"/>
      <c r="Q36" s="265"/>
      <c r="R36" s="265"/>
      <c r="S36" s="265"/>
      <c r="T36" s="265" t="s">
        <v>95</v>
      </c>
      <c r="U36" s="265"/>
      <c r="V36" s="265"/>
      <c r="W36" s="265"/>
      <c r="X36" s="267" t="s">
        <v>222</v>
      </c>
      <c r="Y36" s="265" t="s">
        <v>95</v>
      </c>
      <c r="Z36" s="265" t="s">
        <v>95</v>
      </c>
      <c r="AA36" s="267" t="s">
        <v>223</v>
      </c>
      <c r="AB36" s="161"/>
      <c r="AC36" s="269" t="s">
        <v>95</v>
      </c>
      <c r="AD36" s="265"/>
      <c r="AE36" s="157" t="s">
        <v>95</v>
      </c>
      <c r="AF36" s="268"/>
      <c r="AG36" s="274"/>
      <c r="AH36" s="268" t="s">
        <v>95</v>
      </c>
      <c r="AI36" s="264"/>
      <c r="AJ36" s="265"/>
      <c r="AK36" s="265"/>
      <c r="AL36" s="265"/>
      <c r="AM36" s="265"/>
      <c r="AN36" s="265"/>
      <c r="AO36" s="268"/>
      <c r="AP36" s="269" t="s">
        <v>95</v>
      </c>
      <c r="AQ36" s="265" t="s">
        <v>95</v>
      </c>
      <c r="AR36" s="265"/>
      <c r="AS36" s="268"/>
      <c r="AT36" s="269" t="s">
        <v>95</v>
      </c>
      <c r="AU36" s="272" t="s">
        <v>226</v>
      </c>
      <c r="AV36" s="269" t="s">
        <v>95</v>
      </c>
      <c r="AW36" s="276"/>
      <c r="AX36" s="275" t="s">
        <v>95</v>
      </c>
      <c r="AY36" s="269" t="s">
        <v>95</v>
      </c>
      <c r="AZ36" s="268" t="s">
        <v>95</v>
      </c>
      <c r="BA36" s="269" t="s">
        <v>95</v>
      </c>
      <c r="BB36" s="265" t="s">
        <v>95</v>
      </c>
      <c r="BC36" s="265" t="s">
        <v>95</v>
      </c>
      <c r="BD36" s="265" t="s">
        <v>95</v>
      </c>
      <c r="BE36" s="265" t="s">
        <v>95</v>
      </c>
      <c r="BF36" s="265" t="s">
        <v>95</v>
      </c>
      <c r="BG36" s="265" t="s">
        <v>95</v>
      </c>
      <c r="BH36" s="265" t="s">
        <v>95</v>
      </c>
      <c r="BI36" s="265" t="s">
        <v>95</v>
      </c>
      <c r="BJ36" s="268" t="s">
        <v>95</v>
      </c>
      <c r="BK36" s="205"/>
      <c r="BL36" s="205"/>
      <c r="BM36" s="205"/>
      <c r="BN36" s="205"/>
    </row>
    <row r="37" spans="1:66" s="188" customFormat="1">
      <c r="A37" s="280">
        <v>17</v>
      </c>
      <c r="B37" s="252" t="s">
        <v>236</v>
      </c>
      <c r="C37" s="252" t="s">
        <v>237</v>
      </c>
      <c r="D37" s="42"/>
      <c r="E37" s="117"/>
      <c r="F37" s="121" t="str">
        <f t="shared" si="0"/>
        <v/>
      </c>
      <c r="G37" s="121" t="str">
        <f t="shared" si="1"/>
        <v/>
      </c>
      <c r="H37" s="253"/>
      <c r="I37" s="281"/>
      <c r="J37" s="282"/>
      <c r="K37" s="282"/>
      <c r="L37" s="282"/>
      <c r="M37" s="282"/>
      <c r="N37" s="282"/>
      <c r="O37" s="283"/>
      <c r="P37" s="283"/>
      <c r="Q37" s="283"/>
      <c r="R37" s="283"/>
      <c r="S37" s="283" t="s">
        <v>95</v>
      </c>
      <c r="T37" s="282" t="s">
        <v>95</v>
      </c>
      <c r="U37" s="282"/>
      <c r="V37" s="282"/>
      <c r="W37" s="282"/>
      <c r="X37" s="284" t="s">
        <v>222</v>
      </c>
      <c r="Y37" s="282" t="s">
        <v>95</v>
      </c>
      <c r="Z37" s="282" t="s">
        <v>95</v>
      </c>
      <c r="AA37" s="284" t="s">
        <v>223</v>
      </c>
      <c r="AB37" s="285"/>
      <c r="AC37" s="202" t="s">
        <v>95</v>
      </c>
      <c r="AD37" s="282"/>
      <c r="AE37" s="286"/>
      <c r="AF37" s="287"/>
      <c r="AG37" s="288"/>
      <c r="AH37" s="287"/>
      <c r="AI37" s="281"/>
      <c r="AJ37" s="282"/>
      <c r="AK37" s="282"/>
      <c r="AL37" s="282"/>
      <c r="AM37" s="282"/>
      <c r="AN37" s="282"/>
      <c r="AO37" s="287"/>
      <c r="AP37" s="202"/>
      <c r="AQ37" s="282"/>
      <c r="AR37" s="282"/>
      <c r="AS37" s="287"/>
      <c r="AT37" s="202"/>
      <c r="AU37" s="287"/>
      <c r="AV37" s="202" t="s">
        <v>95</v>
      </c>
      <c r="AW37" s="286"/>
      <c r="AX37" s="285"/>
      <c r="AY37" s="202" t="s">
        <v>95</v>
      </c>
      <c r="AZ37" s="287" t="s">
        <v>95</v>
      </c>
      <c r="BA37" s="202" t="s">
        <v>95</v>
      </c>
      <c r="BB37" s="282" t="s">
        <v>95</v>
      </c>
      <c r="BC37" s="282" t="s">
        <v>95</v>
      </c>
      <c r="BD37" s="282" t="s">
        <v>95</v>
      </c>
      <c r="BE37" s="282" t="s">
        <v>95</v>
      </c>
      <c r="BF37" s="282" t="s">
        <v>95</v>
      </c>
      <c r="BG37" s="282" t="s">
        <v>95</v>
      </c>
      <c r="BH37" s="282" t="s">
        <v>95</v>
      </c>
      <c r="BI37" s="282" t="s">
        <v>95</v>
      </c>
      <c r="BJ37" s="287" t="s">
        <v>95</v>
      </c>
      <c r="BK37" s="205"/>
      <c r="BL37" s="205"/>
      <c r="BM37" s="205"/>
      <c r="BN37" s="205"/>
    </row>
    <row r="38" spans="1:66" s="187" customFormat="1" ht="13.5">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c r="BC38" s="192"/>
      <c r="BD38" s="192"/>
      <c r="BE38" s="192"/>
      <c r="BF38" s="192"/>
      <c r="BG38" s="192"/>
      <c r="BH38" s="192"/>
      <c r="BI38" s="192"/>
      <c r="BJ38" s="192"/>
      <c r="BK38" s="192"/>
      <c r="BL38" s="192"/>
      <c r="BM38" s="192"/>
      <c r="BN38" s="192"/>
    </row>
    <row r="39" spans="1:66" s="187" customFormat="1" outlineLevel="1">
      <c r="A39" s="192"/>
      <c r="B39" s="192"/>
      <c r="C39" s="192"/>
      <c r="D39" s="192"/>
      <c r="E39" s="192"/>
      <c r="F39" s="192"/>
      <c r="G39" s="190" t="s">
        <v>238</v>
      </c>
      <c r="H39" s="289"/>
      <c r="I39" s="289"/>
      <c r="J39" s="289"/>
      <c r="K39" s="289"/>
      <c r="L39" s="290"/>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2"/>
      <c r="AL39" s="192"/>
      <c r="AM39" s="200"/>
      <c r="AN39" s="199"/>
      <c r="AO39" s="199"/>
      <c r="AP39" s="199"/>
      <c r="AQ39" s="199"/>
      <c r="AR39" s="199"/>
      <c r="AS39" s="199"/>
      <c r="AT39" s="199"/>
      <c r="AU39" s="199"/>
      <c r="AV39" s="199"/>
      <c r="AW39" s="199"/>
      <c r="AX39" s="199"/>
      <c r="AY39" s="199"/>
      <c r="AZ39" s="201"/>
      <c r="BA39" s="201"/>
      <c r="BB39" s="198"/>
      <c r="BC39" s="198"/>
      <c r="BD39" s="198"/>
      <c r="BE39" s="198"/>
      <c r="BF39" s="198"/>
      <c r="BG39" s="198"/>
      <c r="BH39" s="198"/>
      <c r="BI39" s="198"/>
      <c r="BJ39" s="198"/>
      <c r="BK39" s="198"/>
      <c r="BL39" s="198"/>
      <c r="BM39" s="198"/>
      <c r="BN39" s="193"/>
    </row>
    <row r="40" spans="1:66" s="187" customFormat="1" ht="13.5" customHeight="1" outlineLevel="1">
      <c r="A40" s="192"/>
      <c r="B40" s="192"/>
      <c r="C40" s="192"/>
      <c r="D40" s="192"/>
      <c r="E40" s="192"/>
      <c r="F40" s="192"/>
      <c r="G40" s="291"/>
      <c r="H40" s="193"/>
      <c r="I40" s="193"/>
      <c r="J40" s="193"/>
      <c r="K40" s="193"/>
      <c r="L40" s="292"/>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2"/>
      <c r="AL40" s="192"/>
      <c r="AM40" s="200"/>
      <c r="AN40" s="199"/>
      <c r="AO40" s="199"/>
      <c r="AP40" s="199"/>
      <c r="AQ40" s="199"/>
      <c r="AR40" s="199"/>
      <c r="AS40" s="199"/>
      <c r="AT40" s="199"/>
      <c r="AU40" s="199"/>
      <c r="AV40" s="199"/>
      <c r="AW40" s="199"/>
      <c r="AX40" s="199"/>
      <c r="AY40" s="199"/>
      <c r="AZ40" s="201"/>
      <c r="BA40" s="201"/>
      <c r="BB40" s="198"/>
      <c r="BC40" s="198"/>
      <c r="BD40" s="198"/>
      <c r="BE40" s="198"/>
      <c r="BF40" s="198"/>
      <c r="BG40" s="198"/>
      <c r="BH40" s="198"/>
      <c r="BI40" s="198"/>
      <c r="BJ40" s="198"/>
      <c r="BK40" s="198"/>
      <c r="BL40" s="198"/>
      <c r="BM40" s="198"/>
      <c r="BN40" s="193"/>
    </row>
    <row r="41" spans="1:66" s="187" customFormat="1" ht="38.25" outlineLevel="1">
      <c r="A41" s="192"/>
      <c r="B41" s="192"/>
      <c r="C41" s="192"/>
      <c r="D41" s="192"/>
      <c r="E41" s="192"/>
      <c r="F41" s="192"/>
      <c r="G41" s="293" t="s">
        <v>239</v>
      </c>
      <c r="H41" s="406" t="s">
        <v>240</v>
      </c>
      <c r="I41" s="406"/>
      <c r="J41" s="294" t="s">
        <v>241</v>
      </c>
      <c r="K41" s="295" t="s">
        <v>221</v>
      </c>
      <c r="L41" s="296" t="s">
        <v>224</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191"/>
      <c r="AN41" s="78"/>
      <c r="AO41" s="78"/>
      <c r="AP41" s="78"/>
      <c r="AQ41" s="78"/>
      <c r="AR41" s="78"/>
      <c r="AS41" s="78"/>
      <c r="AT41" s="78"/>
      <c r="AU41" s="78"/>
      <c r="AV41" s="78"/>
      <c r="AW41" s="78"/>
      <c r="AX41" s="78"/>
      <c r="AY41" s="78"/>
      <c r="AZ41" s="78"/>
      <c r="BA41" s="78"/>
      <c r="BB41" s="193"/>
      <c r="BC41" s="193"/>
      <c r="BD41" s="193"/>
      <c r="BE41" s="193"/>
      <c r="BF41" s="193"/>
      <c r="BG41" s="193"/>
      <c r="BH41" s="193"/>
      <c r="BI41" s="193"/>
      <c r="BJ41" s="193"/>
      <c r="BK41" s="193"/>
      <c r="BL41" s="193"/>
      <c r="BM41" s="193"/>
      <c r="BN41" s="193"/>
    </row>
    <row r="42" spans="1:66" s="187" customFormat="1" ht="13.5" customHeight="1" outlineLevel="1">
      <c r="A42" s="192"/>
      <c r="B42" s="192"/>
      <c r="C42" s="192"/>
      <c r="D42" s="192"/>
      <c r="E42" s="192"/>
      <c r="F42" s="192"/>
      <c r="G42" s="392" t="s">
        <v>232</v>
      </c>
      <c r="H42" s="394" t="s">
        <v>242</v>
      </c>
      <c r="I42" s="356"/>
      <c r="J42" s="297" t="s">
        <v>243</v>
      </c>
      <c r="K42" s="359" t="s">
        <v>244</v>
      </c>
      <c r="L42" s="360"/>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191"/>
      <c r="AN42" s="78"/>
      <c r="AO42" s="78"/>
      <c r="AP42" s="78"/>
      <c r="AQ42" s="78"/>
      <c r="AR42" s="78"/>
      <c r="AS42" s="78"/>
      <c r="AT42" s="78"/>
      <c r="AU42" s="78"/>
      <c r="AV42" s="78"/>
      <c r="AW42" s="78"/>
      <c r="AX42" s="78"/>
      <c r="AY42" s="78"/>
      <c r="AZ42" s="78"/>
      <c r="BA42" s="78"/>
      <c r="BB42" s="193"/>
      <c r="BC42" s="193"/>
      <c r="BD42" s="193"/>
      <c r="BE42" s="193"/>
      <c r="BF42" s="193"/>
      <c r="BG42" s="193"/>
      <c r="BH42" s="193"/>
      <c r="BI42" s="193"/>
      <c r="BJ42" s="193"/>
      <c r="BK42" s="193"/>
      <c r="BL42" s="193"/>
      <c r="BM42" s="193"/>
      <c r="BN42" s="193"/>
    </row>
    <row r="43" spans="1:66" s="187" customFormat="1" ht="13.5" customHeight="1" outlineLevel="1">
      <c r="A43" s="192"/>
      <c r="B43" s="192"/>
      <c r="C43" s="192"/>
      <c r="D43" s="192"/>
      <c r="E43" s="192"/>
      <c r="F43" s="192"/>
      <c r="G43" s="396"/>
      <c r="H43" s="397"/>
      <c r="I43" s="358"/>
      <c r="J43" s="297" t="s">
        <v>67</v>
      </c>
      <c r="K43" s="359" t="s">
        <v>231</v>
      </c>
      <c r="L43" s="360"/>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191"/>
      <c r="AN43" s="78"/>
      <c r="AO43" s="78"/>
      <c r="AP43" s="78"/>
      <c r="AQ43" s="78"/>
      <c r="AR43" s="78"/>
      <c r="AS43" s="78"/>
      <c r="AT43" s="78"/>
      <c r="AU43" s="78"/>
      <c r="AV43" s="78"/>
      <c r="AW43" s="78"/>
      <c r="AX43" s="78"/>
      <c r="AY43" s="78"/>
      <c r="AZ43" s="78"/>
      <c r="BA43" s="78"/>
      <c r="BB43" s="193"/>
      <c r="BC43" s="193"/>
      <c r="BD43" s="193"/>
      <c r="BE43" s="193"/>
      <c r="BF43" s="193"/>
      <c r="BG43" s="193"/>
      <c r="BH43" s="193"/>
      <c r="BI43" s="193"/>
      <c r="BJ43" s="193"/>
      <c r="BK43" s="193"/>
      <c r="BL43" s="193"/>
      <c r="BM43" s="193"/>
      <c r="BN43" s="193"/>
    </row>
    <row r="44" spans="1:66" s="187" customFormat="1" ht="13.5" customHeight="1" outlineLevel="1">
      <c r="A44" s="192"/>
      <c r="B44" s="192"/>
      <c r="C44" s="192"/>
      <c r="D44" s="192"/>
      <c r="E44" s="192"/>
      <c r="F44" s="192"/>
      <c r="G44" s="392" t="s">
        <v>233</v>
      </c>
      <c r="H44" s="394" t="s">
        <v>245</v>
      </c>
      <c r="I44" s="356"/>
      <c r="J44" s="297" t="s">
        <v>243</v>
      </c>
      <c r="K44" s="359" t="s">
        <v>246</v>
      </c>
      <c r="L44" s="360"/>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191"/>
      <c r="AN44" s="78"/>
      <c r="AO44" s="78"/>
      <c r="AP44" s="78"/>
      <c r="AQ44" s="78"/>
      <c r="AR44" s="78"/>
      <c r="AS44" s="78"/>
      <c r="AT44" s="78"/>
      <c r="AU44" s="78"/>
      <c r="AV44" s="78"/>
      <c r="AW44" s="78"/>
      <c r="AX44" s="78"/>
      <c r="AY44" s="78"/>
      <c r="AZ44" s="78"/>
      <c r="BA44" s="78"/>
      <c r="BB44" s="193"/>
      <c r="BC44" s="193"/>
      <c r="BD44" s="193"/>
      <c r="BE44" s="193"/>
      <c r="BF44" s="193"/>
      <c r="BG44" s="193"/>
      <c r="BH44" s="193"/>
      <c r="BI44" s="193"/>
      <c r="BJ44" s="193"/>
      <c r="BK44" s="193"/>
      <c r="BL44" s="193"/>
      <c r="BM44" s="193"/>
      <c r="BN44" s="193"/>
    </row>
    <row r="45" spans="1:66" s="187" customFormat="1" ht="13.5" customHeight="1" outlineLevel="1">
      <c r="A45" s="192"/>
      <c r="B45" s="192"/>
      <c r="C45" s="192"/>
      <c r="D45" s="192"/>
      <c r="E45" s="192"/>
      <c r="F45" s="192"/>
      <c r="G45" s="396"/>
      <c r="H45" s="397"/>
      <c r="I45" s="358"/>
      <c r="J45" s="297" t="s">
        <v>67</v>
      </c>
      <c r="K45" s="359" t="s">
        <v>231</v>
      </c>
      <c r="L45" s="360"/>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191"/>
      <c r="AN45" s="78"/>
      <c r="AO45" s="78"/>
      <c r="AP45" s="78"/>
      <c r="AQ45" s="78"/>
      <c r="AR45" s="78"/>
      <c r="AS45" s="78"/>
      <c r="AT45" s="78"/>
      <c r="AU45" s="78"/>
      <c r="AV45" s="78"/>
      <c r="AW45" s="78"/>
      <c r="AX45" s="78"/>
      <c r="AY45" s="78"/>
      <c r="AZ45" s="78"/>
      <c r="BA45" s="78"/>
      <c r="BB45" s="193"/>
      <c r="BC45" s="193"/>
      <c r="BD45" s="193"/>
      <c r="BE45" s="193"/>
      <c r="BF45" s="193"/>
      <c r="BG45" s="193"/>
      <c r="BH45" s="193"/>
      <c r="BI45" s="193"/>
      <c r="BJ45" s="193"/>
      <c r="BK45" s="193"/>
      <c r="BL45" s="193"/>
      <c r="BM45" s="193"/>
      <c r="BN45" s="193"/>
    </row>
    <row r="46" spans="1:66" s="187" customFormat="1" ht="13.5" outlineLevel="1">
      <c r="A46" s="192"/>
      <c r="B46" s="192"/>
      <c r="C46" s="192"/>
      <c r="D46" s="192"/>
      <c r="E46" s="192"/>
      <c r="F46" s="192"/>
      <c r="G46" s="392" t="s">
        <v>222</v>
      </c>
      <c r="H46" s="394" t="s">
        <v>247</v>
      </c>
      <c r="I46" s="356"/>
      <c r="J46" s="297" t="s">
        <v>243</v>
      </c>
      <c r="K46" s="359">
        <v>4</v>
      </c>
      <c r="L46" s="360"/>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191"/>
      <c r="AN46" s="78"/>
      <c r="AO46" s="78"/>
      <c r="AP46" s="78"/>
      <c r="AQ46" s="78"/>
      <c r="AR46" s="78"/>
      <c r="AS46" s="78"/>
      <c r="AT46" s="78"/>
      <c r="AU46" s="78"/>
      <c r="AV46" s="78"/>
      <c r="AW46" s="78"/>
      <c r="AX46" s="78"/>
      <c r="AY46" s="78"/>
      <c r="AZ46" s="78"/>
      <c r="BA46" s="78"/>
      <c r="BB46" s="193"/>
      <c r="BC46" s="193"/>
      <c r="BD46" s="193"/>
      <c r="BE46" s="193"/>
      <c r="BF46" s="193"/>
      <c r="BG46" s="193"/>
      <c r="BH46" s="193"/>
      <c r="BI46" s="193"/>
      <c r="BJ46" s="193"/>
      <c r="BK46" s="193"/>
      <c r="BL46" s="193"/>
      <c r="BM46" s="193"/>
      <c r="BN46" s="193"/>
    </row>
    <row r="47" spans="1:66" s="187" customFormat="1" ht="13.5" outlineLevel="1">
      <c r="A47" s="192"/>
      <c r="B47" s="192"/>
      <c r="C47" s="192"/>
      <c r="D47" s="192"/>
      <c r="E47" s="192"/>
      <c r="F47" s="192"/>
      <c r="G47" s="396"/>
      <c r="H47" s="397"/>
      <c r="I47" s="358"/>
      <c r="J47" s="297" t="s">
        <v>67</v>
      </c>
      <c r="K47" s="359" t="s">
        <v>248</v>
      </c>
      <c r="L47" s="360"/>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191"/>
      <c r="AN47" s="78"/>
      <c r="AO47" s="78"/>
      <c r="AP47" s="78"/>
      <c r="AQ47" s="78"/>
      <c r="AR47" s="78"/>
      <c r="AS47" s="78"/>
      <c r="AT47" s="78"/>
      <c r="AU47" s="78"/>
      <c r="AV47" s="78"/>
      <c r="AW47" s="78"/>
      <c r="AX47" s="78"/>
      <c r="AY47" s="78"/>
      <c r="AZ47" s="78"/>
      <c r="BA47" s="78"/>
      <c r="BB47" s="193"/>
      <c r="BC47" s="193"/>
      <c r="BD47" s="193"/>
      <c r="BE47" s="193"/>
      <c r="BF47" s="193"/>
      <c r="BG47" s="193"/>
      <c r="BH47" s="193"/>
      <c r="BI47" s="193"/>
      <c r="BJ47" s="193"/>
      <c r="BK47" s="193"/>
      <c r="BL47" s="193"/>
      <c r="BM47" s="193"/>
      <c r="BN47" s="193"/>
    </row>
    <row r="48" spans="1:66" s="187" customFormat="1" ht="13.5" customHeight="1" outlineLevel="1">
      <c r="A48" s="192"/>
      <c r="B48" s="192"/>
      <c r="C48" s="192"/>
      <c r="D48" s="192"/>
      <c r="E48" s="192"/>
      <c r="F48" s="192"/>
      <c r="G48" s="392" t="s">
        <v>223</v>
      </c>
      <c r="H48" s="394" t="s">
        <v>249</v>
      </c>
      <c r="I48" s="356"/>
      <c r="J48" s="297" t="s">
        <v>243</v>
      </c>
      <c r="K48" s="298">
        <v>2</v>
      </c>
      <c r="L48" s="299">
        <v>2</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191"/>
      <c r="AN48" s="78"/>
      <c r="AO48" s="78"/>
      <c r="AP48" s="78"/>
      <c r="AQ48" s="78"/>
      <c r="AR48" s="78"/>
      <c r="AS48" s="78"/>
      <c r="AT48" s="78"/>
      <c r="AU48" s="78"/>
      <c r="AV48" s="78"/>
      <c r="AW48" s="78"/>
      <c r="AX48" s="78"/>
      <c r="AY48" s="78"/>
      <c r="AZ48" s="78"/>
      <c r="BA48" s="78"/>
      <c r="BB48" s="193"/>
      <c r="BC48" s="193"/>
      <c r="BD48" s="193"/>
      <c r="BE48" s="193"/>
      <c r="BF48" s="193"/>
      <c r="BG48" s="193"/>
      <c r="BH48" s="193"/>
      <c r="BI48" s="193"/>
      <c r="BJ48" s="193"/>
      <c r="BK48" s="193"/>
      <c r="BL48" s="193"/>
      <c r="BM48" s="193"/>
      <c r="BN48" s="193"/>
    </row>
    <row r="49" spans="7:66" s="187" customFormat="1" ht="13.5" outlineLevel="1">
      <c r="G49" s="396"/>
      <c r="H49" s="397"/>
      <c r="I49" s="358"/>
      <c r="J49" s="297" t="s">
        <v>67</v>
      </c>
      <c r="K49" s="359" t="s">
        <v>248</v>
      </c>
      <c r="L49" s="360"/>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191"/>
      <c r="AN49" s="78"/>
      <c r="AO49" s="78"/>
      <c r="AP49" s="78"/>
      <c r="AQ49" s="78"/>
      <c r="AR49" s="78"/>
      <c r="AS49" s="78"/>
      <c r="AT49" s="78"/>
      <c r="AU49" s="78"/>
      <c r="AV49" s="78"/>
      <c r="AW49" s="78"/>
      <c r="AX49" s="78"/>
      <c r="AY49" s="78"/>
      <c r="AZ49" s="78"/>
      <c r="BA49" s="78"/>
      <c r="BB49" s="193"/>
      <c r="BC49" s="193"/>
      <c r="BD49" s="193"/>
      <c r="BE49" s="193"/>
      <c r="BF49" s="193"/>
      <c r="BG49" s="193"/>
      <c r="BH49" s="193"/>
      <c r="BI49" s="193"/>
      <c r="BJ49" s="193"/>
      <c r="BK49" s="193"/>
      <c r="BL49" s="193"/>
      <c r="BM49" s="193"/>
      <c r="BN49" s="193"/>
    </row>
    <row r="50" spans="7:66" s="187" customFormat="1" ht="13.5" customHeight="1" outlineLevel="1">
      <c r="G50" s="392" t="s">
        <v>234</v>
      </c>
      <c r="H50" s="394" t="s">
        <v>250</v>
      </c>
      <c r="I50" s="356"/>
      <c r="J50" s="297" t="s">
        <v>243</v>
      </c>
      <c r="K50" s="300">
        <v>1</v>
      </c>
      <c r="L50" s="301">
        <v>1</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191"/>
      <c r="AN50" s="78"/>
      <c r="AO50" s="78"/>
      <c r="AP50" s="78"/>
      <c r="AQ50" s="78"/>
      <c r="AR50" s="78"/>
      <c r="AS50" s="78"/>
      <c r="AT50" s="78"/>
      <c r="AU50" s="78"/>
      <c r="AV50" s="78"/>
      <c r="AW50" s="78"/>
      <c r="AX50" s="78"/>
      <c r="AY50" s="78"/>
      <c r="AZ50" s="78"/>
      <c r="BA50" s="78"/>
      <c r="BB50" s="193"/>
      <c r="BC50" s="193"/>
      <c r="BD50" s="193"/>
      <c r="BE50" s="193"/>
      <c r="BF50" s="193"/>
      <c r="BG50" s="193"/>
      <c r="BH50" s="193"/>
      <c r="BI50" s="193"/>
      <c r="BJ50" s="193"/>
      <c r="BK50" s="193"/>
      <c r="BL50" s="193"/>
      <c r="BM50" s="193"/>
      <c r="BN50" s="193"/>
    </row>
    <row r="51" spans="7:66" s="187" customFormat="1" ht="13.5" outlineLevel="1">
      <c r="G51" s="396"/>
      <c r="H51" s="397"/>
      <c r="I51" s="358"/>
      <c r="J51" s="297" t="s">
        <v>67</v>
      </c>
      <c r="K51" s="300" t="s">
        <v>231</v>
      </c>
      <c r="L51" s="301" t="s">
        <v>231</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191"/>
      <c r="AN51" s="78"/>
      <c r="AO51" s="78"/>
      <c r="AP51" s="78"/>
      <c r="AQ51" s="78"/>
      <c r="AR51" s="78"/>
      <c r="AS51" s="78"/>
      <c r="AT51" s="78"/>
      <c r="AU51" s="78"/>
      <c r="AV51" s="78"/>
      <c r="AW51" s="78"/>
      <c r="AX51" s="78"/>
      <c r="AY51" s="78"/>
      <c r="AZ51" s="78"/>
      <c r="BA51" s="78"/>
      <c r="BB51" s="193"/>
      <c r="BC51" s="193"/>
      <c r="BD51" s="193"/>
      <c r="BE51" s="193"/>
      <c r="BF51" s="193"/>
      <c r="BG51" s="193"/>
      <c r="BH51" s="193"/>
      <c r="BI51" s="193"/>
      <c r="BJ51" s="193"/>
      <c r="BK51" s="193"/>
      <c r="BL51" s="193"/>
      <c r="BM51" s="193"/>
      <c r="BN51" s="193"/>
    </row>
    <row r="52" spans="7:66" s="187" customFormat="1" ht="13.5" customHeight="1" outlineLevel="1">
      <c r="G52" s="392" t="s">
        <v>226</v>
      </c>
      <c r="H52" s="394" t="s">
        <v>251</v>
      </c>
      <c r="I52" s="356"/>
      <c r="J52" s="297" t="s">
        <v>243</v>
      </c>
      <c r="K52" s="300">
        <v>2</v>
      </c>
      <c r="L52" s="301">
        <v>2</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191"/>
      <c r="AN52" s="78"/>
      <c r="AO52" s="78"/>
      <c r="AP52" s="78"/>
      <c r="AQ52" s="78"/>
      <c r="AR52" s="78"/>
      <c r="AS52" s="78"/>
      <c r="AT52" s="78"/>
      <c r="AU52" s="78"/>
      <c r="AV52" s="78"/>
      <c r="AW52" s="78"/>
      <c r="AX52" s="78"/>
      <c r="AY52" s="78"/>
      <c r="AZ52" s="78"/>
      <c r="BA52" s="78"/>
      <c r="BB52" s="193"/>
      <c r="BC52" s="193"/>
      <c r="BD52" s="193"/>
      <c r="BE52" s="193"/>
      <c r="BF52" s="193"/>
      <c r="BG52" s="193"/>
      <c r="BH52" s="193"/>
      <c r="BI52" s="193"/>
      <c r="BJ52" s="193"/>
      <c r="BK52" s="193"/>
      <c r="BL52" s="193"/>
      <c r="BM52" s="193"/>
      <c r="BN52" s="193"/>
    </row>
    <row r="53" spans="7:66" s="187" customFormat="1" ht="54" outlineLevel="1">
      <c r="G53" s="396"/>
      <c r="H53" s="397"/>
      <c r="I53" s="358"/>
      <c r="J53" s="297" t="s">
        <v>67</v>
      </c>
      <c r="K53" s="300" t="s">
        <v>252</v>
      </c>
      <c r="L53" s="301" t="s">
        <v>252</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191"/>
      <c r="AN53" s="78"/>
      <c r="AO53" s="78"/>
      <c r="AP53" s="78"/>
      <c r="AQ53" s="78"/>
      <c r="AR53" s="78"/>
      <c r="AS53" s="78"/>
      <c r="AT53" s="78"/>
      <c r="AU53" s="78"/>
      <c r="AV53" s="78"/>
      <c r="AW53" s="78"/>
      <c r="AX53" s="78"/>
      <c r="AY53" s="78"/>
      <c r="AZ53" s="78"/>
      <c r="BA53" s="78"/>
      <c r="BB53" s="193"/>
      <c r="BC53" s="193"/>
      <c r="BD53" s="193"/>
      <c r="BE53" s="193"/>
      <c r="BF53" s="193"/>
      <c r="BG53" s="193"/>
      <c r="BH53" s="193"/>
      <c r="BI53" s="193"/>
      <c r="BJ53" s="193"/>
      <c r="BK53" s="193"/>
      <c r="BL53" s="193"/>
      <c r="BM53" s="193"/>
      <c r="BN53" s="193"/>
    </row>
    <row r="54" spans="7:66" s="187" customFormat="1" ht="13.5" customHeight="1" outlineLevel="1">
      <c r="G54" s="392" t="s">
        <v>235</v>
      </c>
      <c r="H54" s="394" t="s">
        <v>253</v>
      </c>
      <c r="I54" s="356"/>
      <c r="J54" s="297" t="s">
        <v>243</v>
      </c>
      <c r="K54" s="300">
        <v>1</v>
      </c>
      <c r="L54" s="301">
        <v>1</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191"/>
      <c r="AN54" s="78"/>
      <c r="AO54" s="78"/>
      <c r="AP54" s="78"/>
      <c r="AQ54" s="78"/>
      <c r="AR54" s="78"/>
      <c r="AS54" s="78"/>
      <c r="AT54" s="78"/>
      <c r="AU54" s="78"/>
      <c r="AV54" s="78"/>
      <c r="AW54" s="78"/>
      <c r="AX54" s="78"/>
      <c r="AY54" s="78"/>
      <c r="AZ54" s="78"/>
      <c r="BA54" s="78"/>
      <c r="BB54" s="193"/>
      <c r="BC54" s="193"/>
      <c r="BD54" s="193"/>
      <c r="BE54" s="193"/>
      <c r="BF54" s="193"/>
      <c r="BG54" s="193"/>
      <c r="BH54" s="193"/>
      <c r="BI54" s="193"/>
      <c r="BJ54" s="193"/>
      <c r="BK54" s="193"/>
      <c r="BL54" s="193"/>
      <c r="BM54" s="193"/>
      <c r="BN54" s="193"/>
    </row>
    <row r="55" spans="7:66" s="187" customFormat="1" ht="13.5" outlineLevel="1">
      <c r="G55" s="393"/>
      <c r="H55" s="395"/>
      <c r="I55" s="357"/>
      <c r="J55" s="302" t="s">
        <v>67</v>
      </c>
      <c r="K55" s="303" t="s">
        <v>231</v>
      </c>
      <c r="L55" s="304" t="s">
        <v>231</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191"/>
      <c r="AN55" s="78"/>
      <c r="AO55" s="78"/>
      <c r="AP55" s="78"/>
      <c r="AQ55" s="78"/>
      <c r="AR55" s="78"/>
      <c r="AS55" s="78"/>
      <c r="AT55" s="78"/>
      <c r="AU55" s="78"/>
      <c r="AV55" s="78"/>
      <c r="AW55" s="78"/>
      <c r="AX55" s="78"/>
      <c r="AY55" s="78"/>
      <c r="AZ55" s="78"/>
      <c r="BA55" s="78"/>
      <c r="BB55" s="193"/>
      <c r="BC55" s="193"/>
      <c r="BD55" s="193"/>
      <c r="BE55" s="193"/>
      <c r="BF55" s="193"/>
      <c r="BG55" s="193"/>
      <c r="BH55" s="193"/>
      <c r="BI55" s="193"/>
      <c r="BJ55" s="193"/>
      <c r="BK55" s="193"/>
      <c r="BL55" s="193"/>
      <c r="BM55" s="193"/>
      <c r="BN55" s="193"/>
    </row>
    <row r="56" spans="7:66" s="186" customFormat="1" ht="16.5">
      <c r="G56" s="43"/>
      <c r="H56" s="43"/>
      <c r="I56" s="43"/>
      <c r="J56" s="43"/>
      <c r="K56" s="43"/>
      <c r="L56" s="43"/>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191"/>
      <c r="AN56" s="78"/>
      <c r="AO56" s="78"/>
      <c r="AP56" s="78"/>
      <c r="AQ56" s="78"/>
      <c r="AR56" s="78"/>
      <c r="AS56" s="78"/>
      <c r="AT56" s="78"/>
      <c r="AU56" s="78"/>
      <c r="AV56" s="78"/>
      <c r="AW56" s="78"/>
      <c r="AX56" s="78"/>
      <c r="AY56" s="78"/>
      <c r="AZ56" s="78"/>
      <c r="BA56" s="78"/>
      <c r="BB56" s="43"/>
      <c r="BC56" s="43"/>
      <c r="BD56" s="43"/>
      <c r="BE56" s="43"/>
      <c r="BF56" s="43"/>
      <c r="BG56" s="43"/>
      <c r="BH56" s="43"/>
      <c r="BI56" s="43"/>
      <c r="BJ56" s="43"/>
      <c r="BK56" s="43"/>
      <c r="BL56" s="43"/>
      <c r="BM56" s="43"/>
      <c r="BN56" s="43"/>
    </row>
  </sheetData>
  <autoFilter ref="G18:BN18" xr:uid="{A542E326-1280-458B-B1A0-6AE424ECA10D}"/>
  <mergeCells count="40">
    <mergeCell ref="G10:H10"/>
    <mergeCell ref="A16:A18"/>
    <mergeCell ref="B16:B18"/>
    <mergeCell ref="C16:C18"/>
    <mergeCell ref="D16:D18"/>
    <mergeCell ref="E16:E18"/>
    <mergeCell ref="F16:F18"/>
    <mergeCell ref="G16:G18"/>
    <mergeCell ref="H16:H18"/>
    <mergeCell ref="AV16:AX16"/>
    <mergeCell ref="AY16:AZ16"/>
    <mergeCell ref="BA16:BJ16"/>
    <mergeCell ref="H41:I41"/>
    <mergeCell ref="G42:G43"/>
    <mergeCell ref="H42:I43"/>
    <mergeCell ref="K42:L42"/>
    <mergeCell ref="K43:L43"/>
    <mergeCell ref="I16:AB16"/>
    <mergeCell ref="AC16:AF16"/>
    <mergeCell ref="AG16:AH16"/>
    <mergeCell ref="AI16:AO16"/>
    <mergeCell ref="AP16:AS16"/>
    <mergeCell ref="AT16:AU16"/>
    <mergeCell ref="G44:G45"/>
    <mergeCell ref="H44:I45"/>
    <mergeCell ref="K44:L44"/>
    <mergeCell ref="K45:L45"/>
    <mergeCell ref="G46:G47"/>
    <mergeCell ref="H46:I47"/>
    <mergeCell ref="K46:L46"/>
    <mergeCell ref="K47:L47"/>
    <mergeCell ref="G54:G55"/>
    <mergeCell ref="H54:I55"/>
    <mergeCell ref="G48:G49"/>
    <mergeCell ref="H48:I49"/>
    <mergeCell ref="K49:L49"/>
    <mergeCell ref="G50:G51"/>
    <mergeCell ref="H50:I51"/>
    <mergeCell ref="G52:G53"/>
    <mergeCell ref="H52:I53"/>
  </mergeCells>
  <conditionalFormatting sqref="B2">
    <cfRule type="containsBlanks" dxfId="20" priority="2">
      <formula>LEN(TRIM(B2))=0</formula>
    </cfRule>
  </conditionalFormatting>
  <conditionalFormatting sqref="B4">
    <cfRule type="containsBlanks" dxfId="19" priority="3">
      <formula>LEN(TRIM(B4))=0</formula>
    </cfRule>
  </conditionalFormatting>
  <conditionalFormatting sqref="D19:D37">
    <cfRule type="containsBlanks" dxfId="18" priority="1">
      <formula>LEN(TRIM(D19))=0</formula>
    </cfRule>
  </conditionalFormatting>
  <conditionalFormatting sqref="G14">
    <cfRule type="containsBlanks" dxfId="17" priority="5">
      <formula>LEN(TRIM(G14))=0</formula>
    </cfRule>
  </conditionalFormatting>
  <conditionalFormatting sqref="I19:BJ37">
    <cfRule type="containsBlanks" dxfId="16" priority="4">
      <formula>LEN(TRIM(I19))=0</formula>
    </cfRule>
  </conditionalFormatting>
  <dataValidations count="1">
    <dataValidation type="list" allowBlank="1" showInputMessage="1" showErrorMessage="1" sqref="B2" xr:uid="{2EF7B159-B2FB-4C9C-95ED-5C25F709CAE4}">
      <formula1>PartnershipList</formula1>
    </dataValidation>
  </dataValidations>
  <hyperlinks>
    <hyperlink ref="X19" location="M_3" display="M³" xr:uid="{17C9D7D2-BCB6-48ED-8BCE-A90027431AB7}"/>
    <hyperlink ref="AA19" location="M_4" display="M⁴" xr:uid="{2BB2DBF0-92C4-4872-BCE8-1D6043C4EC98}"/>
    <hyperlink ref="X20" location="M_3" display="M³" xr:uid="{70DD3105-021B-4A5F-A5A8-4C73AA1FE7CD}"/>
    <hyperlink ref="AA20" location="M_4" display="M⁴" xr:uid="{AEBA7B45-9850-416C-B954-9B8F58AEE375}"/>
    <hyperlink ref="X21" location="M_3" display="M³" xr:uid="{D9019B1B-3834-4095-BFF2-8CB8EAD27F98}"/>
    <hyperlink ref="AA21" location="M_4" display="M⁴" xr:uid="{174DBCDD-D45D-4D4F-9737-47DDB206BC56}"/>
    <hyperlink ref="AU21" location="M_6" display="M⁶" xr:uid="{B0117733-DA6C-4A0A-A951-0614815E7D49}"/>
    <hyperlink ref="X22" location="M_3" display="M³" xr:uid="{458EB645-CD7F-490E-A420-54E95BE85781}"/>
    <hyperlink ref="AA22" location="M_4" display="M⁴" xr:uid="{BA226DA5-2BF7-4053-9ACE-2D913A60A91C}"/>
    <hyperlink ref="AU22" location="M_6" display="M⁶" xr:uid="{246072BA-3FD9-4BF5-8988-DCC795409B61}"/>
    <hyperlink ref="X23" location="M_3" display="M³" xr:uid="{F0E5BA8A-3C0F-4BE3-9DBB-BDF37A868D02}"/>
    <hyperlink ref="AA23" location="M_4" display="M⁴" xr:uid="{36A0AB31-9F84-48B3-B79D-9A1687B571A4}"/>
    <hyperlink ref="AU23" location="M_6" display="M⁶" xr:uid="{1DE607F3-EBBF-47A9-85C5-E03E15851BE5}"/>
    <hyperlink ref="X24" location="M_3" display="M³" xr:uid="{3758312F-240C-4415-B899-BAE8A496EB68}"/>
    <hyperlink ref="AA24" location="M_4" display="M⁴" xr:uid="{2825CEA6-34A1-4AD3-A3FF-6B5C0AD97925}"/>
    <hyperlink ref="AU24" location="M_6" display="M⁶" xr:uid="{B0732646-1ED0-4BA9-8DEB-5112E7F9C8A8}"/>
    <hyperlink ref="X25" location="M_3" display="M³" xr:uid="{EE6049A9-CBCE-4F98-8D95-872F33EC896F}"/>
    <hyperlink ref="AA25" location="M_4" display="M⁴" xr:uid="{8E99768D-35FB-4CDC-9075-0E7A9385DBD1}"/>
    <hyperlink ref="X26" location="M_3" display="M³" xr:uid="{E82182C3-1C00-4ED3-8D1A-327FB659319A}"/>
    <hyperlink ref="AA26" location="M_4" display="M⁴" xr:uid="{F031D19D-2473-4F4D-B255-3BC7CA0311DF}"/>
    <hyperlink ref="X27" location="M_3" display="M³" xr:uid="{6E80F7A2-26A3-427D-8784-6EC4ACE1E8EB}"/>
    <hyperlink ref="AA27" location="M_4" display="M⁴" xr:uid="{CD8663C8-57CF-46D4-AF1E-BD4EF507C882}"/>
    <hyperlink ref="AU27" location="M_6" display="M⁶" xr:uid="{36E7FD0B-C1E5-4C5B-A58C-B1B35C3371C6}"/>
    <hyperlink ref="X28" location="M_3" display="M³" xr:uid="{CDD6B968-7572-495F-809D-1D8449824C1F}"/>
    <hyperlink ref="AA28" location="M_4" display="M⁴" xr:uid="{9C553E3B-86D5-4669-AF60-CC517C0BC94C}"/>
    <hyperlink ref="AU28" location="M_6" display="M⁶" xr:uid="{9FEE5BB6-4E4B-40D0-905D-A1F50D6911EF}"/>
    <hyperlink ref="T29" location="M_2" display="M²" xr:uid="{4C05E700-05DB-416C-A729-B924A351D3EA}"/>
    <hyperlink ref="P29" location="M_1" display="M¹" xr:uid="{4E015F52-541C-4D40-8CB3-3ECD4CC6CAB0}"/>
    <hyperlink ref="Q29" location="M_1" display="M¹" xr:uid="{DE74BC99-5917-4F59-9F07-7272500BE110}"/>
    <hyperlink ref="R29" location="M_1" display="M¹" xr:uid="{98C599FD-8354-4A62-9F6A-3E2689879867}"/>
    <hyperlink ref="X29" location="M_3" display="M³" xr:uid="{49E777A3-586A-4777-A8DC-DCB4176C06AF}"/>
    <hyperlink ref="AA29" location="M_4" display="M⁴" xr:uid="{625BCC47-3C04-45E9-9C18-A13AF9A3E1B1}"/>
    <hyperlink ref="AB29" location="M_5" display="M⁵" xr:uid="{A4137264-75DF-434D-850C-1A8C3FE3CB71}"/>
    <hyperlink ref="AU29" location="M_6" display="M⁶" xr:uid="{DAF4A581-A026-49D6-A60E-06699989888C}"/>
    <hyperlink ref="AX29" location="M_7" display="M⁷" xr:uid="{E383330C-D333-48BA-9698-5532AA0A5E7A}"/>
    <hyperlink ref="X37" location="M_3" display="M³" xr:uid="{AFC5BD4E-0E76-4E40-A8C4-B4580DFDF87B}"/>
    <hyperlink ref="AA37" location="M_4" display="M⁴" xr:uid="{9774F431-8AFD-405F-9C6B-362D03E5CA88}"/>
    <hyperlink ref="T30" location="M_2" display="M²" xr:uid="{B7E3B06A-CE6B-494E-8CA0-27740BF6DF4A}"/>
    <hyperlink ref="P30" location="M_1" display="M¹" xr:uid="{4CDB1098-4445-4404-9A4A-A881A4B5A73A}"/>
    <hyperlink ref="Q30" location="M_1" display="M¹" xr:uid="{57AE4CE5-6C8E-44D7-85BC-071C7913BB58}"/>
    <hyperlink ref="R30" location="M_1" display="M¹" xr:uid="{9C97EF3A-B7D7-4647-984C-364500C5A987}"/>
    <hyperlink ref="X30" location="M_3" display="M³" xr:uid="{A4D55803-8A36-4C41-8569-C6DE82200CCC}"/>
    <hyperlink ref="AA30" location="M_4" display="M⁴" xr:uid="{F7DD0F97-7988-4373-B89D-0F3A973FBCFD}"/>
    <hyperlink ref="AB30" location="M_5" display="M⁵" xr:uid="{8735C1FC-E8A4-4955-96A1-6DF4ABCA385D}"/>
    <hyperlink ref="AU30" location="M_6" display="M⁶" xr:uid="{3497BAB8-CBEB-4B3B-8A96-35FE872F5497}"/>
    <hyperlink ref="AX30" location="M_7" display="M⁷" xr:uid="{8110D969-728A-44DB-BD60-5D38299F2185}"/>
    <hyperlink ref="T31" location="M_2" display="M²" xr:uid="{721A2BE0-38AC-4F0B-A18D-D28333CD97E7}"/>
    <hyperlink ref="P31" location="M_1" display="M¹" xr:uid="{5667BA2A-E851-4704-9D5F-3AAEDF6279D2}"/>
    <hyperlink ref="Q31" location="M_1" display="M¹" xr:uid="{1DC0A4A0-ADE7-4B3A-B9F4-FCCB7CD67BF1}"/>
    <hyperlink ref="R31" location="M_1" display="M¹" xr:uid="{713090BE-38C9-4B93-8172-1C4CBC0A7D8B}"/>
    <hyperlink ref="X31" location="M_3" display="M³" xr:uid="{46B7D1F1-FE37-4CD8-A661-B10E450E3DD5}"/>
    <hyperlink ref="AA31" location="M_4" display="M⁴" xr:uid="{CB0F668F-5CA3-4B1A-B465-DB8279F45598}"/>
    <hyperlink ref="AB31" location="M_5" display="M⁵" xr:uid="{0A8DFA2F-04BF-49F2-A522-3E5130435D20}"/>
    <hyperlink ref="AU31" location="M_6" display="M⁶" xr:uid="{A86BF2D2-D546-4DA3-A52B-FD201C32A70A}"/>
    <hyperlink ref="AX31" location="M_7" display="M⁷" xr:uid="{95264713-E639-47E1-BD29-397020C4B66B}"/>
    <hyperlink ref="T32" location="M_2" display="M²" xr:uid="{6D5ED4DA-5908-4A8E-ACCC-39426711836F}"/>
    <hyperlink ref="P32" location="M_1" display="M¹" xr:uid="{69747703-39E1-4B22-8331-ACBFE92188EA}"/>
    <hyperlink ref="Q32" location="M_1" display="M¹" xr:uid="{3D99B65D-609F-4547-A944-B7B90DB84C59}"/>
    <hyperlink ref="R32" location="M_1" display="M¹" xr:uid="{AAB7F175-83EB-4928-AC36-50C03B0F59F4}"/>
    <hyperlink ref="X32" location="M_3" display="M³" xr:uid="{868793EF-E470-4CC4-895A-6CE72C24FDAC}"/>
    <hyperlink ref="AA32" location="M_4" display="M⁴" xr:uid="{82E41E93-A263-495A-8F8A-FDD69282A06A}"/>
    <hyperlink ref="AB32" location="M_5" display="M⁵" xr:uid="{72C60175-7EF6-4E1E-9247-1A474ED844A9}"/>
    <hyperlink ref="AU32" location="M_6" display="M⁶" xr:uid="{6836B5E4-F598-47A7-9487-F76300008EC0}"/>
    <hyperlink ref="AX32" location="M_7" display="M⁷" xr:uid="{7D40E63C-4036-4FAD-86FC-3F20FBFF0F8C}"/>
    <hyperlink ref="T33" location="M_2" display="M²" xr:uid="{6278F2FA-A30E-40F0-BC64-0C71971464D7}"/>
    <hyperlink ref="P33" location="M_1" display="M¹" xr:uid="{44F5BA4D-DEF4-45B4-9A9F-71AE79E91B39}"/>
    <hyperlink ref="Q33" location="M_1" display="M¹" xr:uid="{412CF1CF-A142-4FC1-A16B-0CAF7B958EBC}"/>
    <hyperlink ref="R33" location="M_1" display="M¹" xr:uid="{8222C259-34EA-49EA-98FC-8C57F5B878B7}"/>
    <hyperlink ref="X33" location="M_3" display="M³" xr:uid="{247ABFDD-3540-4031-9D21-026ED900EE98}"/>
    <hyperlink ref="AA33" location="M_4" display="M⁴" xr:uid="{148C0E89-6A9C-4DDD-93F2-A195F065DE81}"/>
    <hyperlink ref="AB33" location="M_5" display="M⁵" xr:uid="{FB794653-7C7D-406F-941F-5FC233EAD522}"/>
    <hyperlink ref="AU33" location="M_6" display="M⁶" xr:uid="{1D1F4354-6A21-4E70-A92E-8DA7847FE8E9}"/>
    <hyperlink ref="AX33" location="M_7" display="M⁷" xr:uid="{2594BB7D-2982-402C-B0E9-00A278C5D8EC}"/>
    <hyperlink ref="T34" location="M_2" display="M²" xr:uid="{43DE11F4-1C3E-43C0-A222-9D5442F044B9}"/>
    <hyperlink ref="P34" location="M_1" display="M¹" xr:uid="{8F2D4DAC-A7E9-45F5-9626-091B9350C8FF}"/>
    <hyperlink ref="Q34" location="M_1" display="M¹" xr:uid="{8C864FDC-6CD2-4D83-AB5C-A2EED9D33060}"/>
    <hyperlink ref="R34" location="M_1" display="M¹" xr:uid="{77340508-4CFC-46AD-90C6-53290FF06EBD}"/>
    <hyperlink ref="X34" location="M_3" display="M³" xr:uid="{9523CEEE-CC6E-4856-8119-86C6EAE5E2E9}"/>
    <hyperlink ref="AA34" location="M_4" display="M⁴" xr:uid="{C644E0AC-98E0-4369-82A1-5B78948455C3}"/>
    <hyperlink ref="AB34" location="M_5" display="M⁵" xr:uid="{BC662D19-976C-4ACB-819E-CB17E5147E1E}"/>
    <hyperlink ref="AU34" location="M_6" display="M⁶" xr:uid="{52F89DFB-92CB-4C93-9D9A-47B484196E94}"/>
    <hyperlink ref="AX34" location="M_7" display="M⁷" xr:uid="{2138C14D-0AD9-48E8-B09D-8940EF96D6F7}"/>
    <hyperlink ref="X35" location="M_3" display="M³" xr:uid="{DFB93AD6-B348-4C67-97C0-4F100F809E73}"/>
    <hyperlink ref="AA35" location="M_4" display="M⁴" xr:uid="{9EFF5D31-BBCB-44FE-B615-11C288B5DFB1}"/>
    <hyperlink ref="AU35" location="M_6" display="M⁶" xr:uid="{B394791F-73DE-4E20-A9EC-44BC51723A32}"/>
    <hyperlink ref="X36" location="M_3" display="M³" xr:uid="{FC398C4C-DEBA-4A19-B147-8A5EA0402350}"/>
    <hyperlink ref="AA36" location="M_4" display="M⁴" xr:uid="{B975784E-BB1A-4826-AF65-A9219AE2E687}"/>
    <hyperlink ref="AU36" location="M_6" display="M⁶" xr:uid="{3A8E598E-126B-4EB0-9C28-86A69A9AB8F4}"/>
  </hyperlinks>
  <printOptions horizontalCentered="1"/>
  <pageMargins left="0.19685039370078741" right="0.19685039370078741" top="0.39370078740157483" bottom="0.39370078740157483" header="0.31496062992125984" footer="0.19685039370078741"/>
  <pageSetup paperSize="8" scale="21" orientation="landscape" r:id="rId1"/>
  <headerFooter>
    <oddFooter>&amp;L&amp;"Century Gothic,Bold"&amp;10ISSUE DATE: 04/04/2024&amp;C&amp;"Century Gothic,Bold"&amp;10MRM-ATB-REG-0001&amp;R&amp;"Century Gothic,Bold"&amp;10PAGE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848D-D542-41C2-927E-2167EEBAECFF}">
  <dimension ref="A1:T249"/>
  <sheetViews>
    <sheetView topLeftCell="F192" workbookViewId="0">
      <selection activeCell="J194" sqref="J194"/>
    </sheetView>
  </sheetViews>
  <sheetFormatPr defaultRowHeight="15"/>
  <cols>
    <col min="1" max="1" width="67.7109375" bestFit="1" customWidth="1"/>
    <col min="3" max="3" width="16.28515625" bestFit="1" customWidth="1"/>
    <col min="4" max="5" width="17.28515625" customWidth="1"/>
    <col min="7" max="7" width="29.140625" bestFit="1" customWidth="1"/>
    <col min="8" max="8" width="19.5703125" customWidth="1"/>
    <col min="9" max="9" width="30.85546875" bestFit="1" customWidth="1"/>
    <col min="10" max="10" width="11.28515625" customWidth="1"/>
    <col min="11" max="11" width="29.140625" bestFit="1" customWidth="1"/>
    <col min="14" max="14" width="28.140625" bestFit="1" customWidth="1"/>
    <col min="15" max="16" width="11.140625" bestFit="1" customWidth="1"/>
    <col min="18" max="18" width="27.5703125" customWidth="1"/>
    <col min="19" max="19" width="24" bestFit="1" customWidth="1"/>
    <col min="20" max="20" width="11.5703125" customWidth="1"/>
  </cols>
  <sheetData>
    <row r="1" spans="1:20" ht="15.75" thickBot="1">
      <c r="A1" s="4" t="s">
        <v>254</v>
      </c>
      <c r="B1" s="5" t="s">
        <v>72</v>
      </c>
      <c r="C1" s="5" t="s">
        <v>255</v>
      </c>
      <c r="D1" s="5" t="s">
        <v>67</v>
      </c>
      <c r="E1" s="5" t="s">
        <v>256</v>
      </c>
      <c r="F1" s="5" t="s">
        <v>72</v>
      </c>
      <c r="G1" s="5" t="s">
        <v>257</v>
      </c>
      <c r="H1" s="5" t="s">
        <v>60</v>
      </c>
      <c r="I1" s="137" t="s">
        <v>63</v>
      </c>
      <c r="J1" s="138" t="s">
        <v>258</v>
      </c>
      <c r="K1" s="139" t="s">
        <v>58</v>
      </c>
      <c r="M1" s="12" t="s">
        <v>259</v>
      </c>
      <c r="N1" s="12" t="s">
        <v>58</v>
      </c>
      <c r="O1" s="13" t="s">
        <v>260</v>
      </c>
      <c r="P1" s="13" t="s">
        <v>261</v>
      </c>
      <c r="R1" t="s">
        <v>41</v>
      </c>
      <c r="S1" t="s">
        <v>262</v>
      </c>
      <c r="T1" t="s">
        <v>31</v>
      </c>
    </row>
    <row r="2" spans="1:20">
      <c r="A2" s="1" t="s">
        <v>3</v>
      </c>
      <c r="B2" s="1" t="s">
        <v>221</v>
      </c>
      <c r="C2" s="6" t="s">
        <v>3</v>
      </c>
      <c r="D2" s="6" t="s">
        <v>3</v>
      </c>
      <c r="E2" s="9">
        <v>1</v>
      </c>
      <c r="F2" s="136" t="s">
        <v>221</v>
      </c>
      <c r="G2" s="150" t="s">
        <v>263</v>
      </c>
      <c r="H2" s="147" t="s">
        <v>264</v>
      </c>
      <c r="I2" s="140"/>
      <c r="J2" s="144"/>
      <c r="K2" s="141"/>
      <c r="M2" s="8" t="s">
        <v>265</v>
      </c>
      <c r="N2" s="10" t="s">
        <v>263</v>
      </c>
      <c r="O2" s="11">
        <v>45597</v>
      </c>
      <c r="P2" s="11">
        <v>45624</v>
      </c>
      <c r="R2" t="s">
        <v>42</v>
      </c>
      <c r="S2" t="s">
        <v>266</v>
      </c>
      <c r="T2" t="s">
        <v>33</v>
      </c>
    </row>
    <row r="3" spans="1:20" ht="15.75" thickBot="1">
      <c r="A3" s="2" t="s">
        <v>168</v>
      </c>
      <c r="B3" s="3" t="s">
        <v>224</v>
      </c>
      <c r="C3" s="6" t="s">
        <v>225</v>
      </c>
      <c r="D3" s="6" t="s">
        <v>3</v>
      </c>
      <c r="E3" s="9">
        <v>2</v>
      </c>
      <c r="F3" s="136" t="s">
        <v>224</v>
      </c>
      <c r="G3" s="151" t="s">
        <v>267</v>
      </c>
      <c r="H3" s="148" t="s">
        <v>268</v>
      </c>
      <c r="I3" s="140"/>
      <c r="J3" s="145"/>
      <c r="K3" s="141"/>
      <c r="M3" s="8" t="s">
        <v>269</v>
      </c>
      <c r="N3" s="8" t="s">
        <v>263</v>
      </c>
      <c r="O3" s="11">
        <v>45625</v>
      </c>
      <c r="P3" s="11">
        <v>45652</v>
      </c>
      <c r="R3" t="s">
        <v>44</v>
      </c>
      <c r="S3" t="s">
        <v>270</v>
      </c>
      <c r="T3" t="s">
        <v>35</v>
      </c>
    </row>
    <row r="4" spans="1:20">
      <c r="A4" s="2" t="s">
        <v>169</v>
      </c>
      <c r="C4" s="6" t="s">
        <v>227</v>
      </c>
      <c r="D4" s="6" t="s">
        <v>225</v>
      </c>
      <c r="E4" s="9">
        <v>3</v>
      </c>
      <c r="F4" s="136" t="s">
        <v>221</v>
      </c>
      <c r="G4" s="151" t="s">
        <v>271</v>
      </c>
      <c r="H4" s="148" t="s">
        <v>272</v>
      </c>
      <c r="I4" s="140"/>
      <c r="J4" s="145"/>
      <c r="K4" s="141"/>
      <c r="M4" s="8" t="s">
        <v>273</v>
      </c>
      <c r="N4" s="8" t="s">
        <v>263</v>
      </c>
      <c r="O4" s="11">
        <v>45653</v>
      </c>
      <c r="P4" s="11">
        <v>45680</v>
      </c>
      <c r="R4" t="s">
        <v>274</v>
      </c>
      <c r="S4" t="s">
        <v>101</v>
      </c>
      <c r="T4" t="s">
        <v>275</v>
      </c>
    </row>
    <row r="5" spans="1:20">
      <c r="A5" s="2" t="s">
        <v>170</v>
      </c>
      <c r="C5" s="6" t="s">
        <v>228</v>
      </c>
      <c r="D5" s="6" t="s">
        <v>225</v>
      </c>
      <c r="E5" s="9">
        <v>4</v>
      </c>
      <c r="F5" s="136" t="s">
        <v>224</v>
      </c>
      <c r="G5" s="151" t="s">
        <v>276</v>
      </c>
      <c r="H5" s="148" t="s">
        <v>277</v>
      </c>
      <c r="I5" s="140"/>
      <c r="J5" s="145"/>
      <c r="K5" s="141"/>
      <c r="M5" s="8" t="s">
        <v>278</v>
      </c>
      <c r="N5" s="8" t="s">
        <v>263</v>
      </c>
      <c r="O5" s="11">
        <v>45681</v>
      </c>
      <c r="P5" s="11">
        <v>45708</v>
      </c>
      <c r="R5" t="s">
        <v>46</v>
      </c>
      <c r="S5" t="s">
        <v>279</v>
      </c>
      <c r="T5" t="s">
        <v>280</v>
      </c>
    </row>
    <row r="6" spans="1:20" ht="15.75" thickBot="1">
      <c r="A6" s="2" t="s">
        <v>171</v>
      </c>
      <c r="C6" s="6" t="s">
        <v>229</v>
      </c>
      <c r="D6" s="6" t="s">
        <v>227</v>
      </c>
      <c r="E6" s="9">
        <v>5</v>
      </c>
      <c r="F6" s="136" t="s">
        <v>221</v>
      </c>
      <c r="G6" s="152" t="s">
        <v>281</v>
      </c>
      <c r="H6" s="149" t="s">
        <v>282</v>
      </c>
      <c r="I6" s="140"/>
      <c r="J6" s="145"/>
      <c r="K6" s="141"/>
      <c r="M6" s="8" t="s">
        <v>283</v>
      </c>
      <c r="N6" s="8" t="s">
        <v>263</v>
      </c>
      <c r="O6" s="11">
        <v>45709</v>
      </c>
      <c r="P6" s="11">
        <v>45736</v>
      </c>
      <c r="R6" t="s">
        <v>48</v>
      </c>
      <c r="S6" t="s">
        <v>284</v>
      </c>
      <c r="T6" t="s">
        <v>285</v>
      </c>
    </row>
    <row r="7" spans="1:20">
      <c r="A7" s="2" t="s">
        <v>286</v>
      </c>
      <c r="C7" s="6" t="s">
        <v>230</v>
      </c>
      <c r="D7" s="6" t="s">
        <v>227</v>
      </c>
      <c r="E7" s="9">
        <v>6</v>
      </c>
      <c r="F7" s="8" t="s">
        <v>224</v>
      </c>
      <c r="I7" s="140"/>
      <c r="J7" s="145"/>
      <c r="K7" s="141"/>
      <c r="M7" s="8" t="s">
        <v>287</v>
      </c>
      <c r="N7" s="8" t="s">
        <v>263</v>
      </c>
      <c r="O7" s="11">
        <v>45737</v>
      </c>
      <c r="P7" s="11">
        <v>45764</v>
      </c>
      <c r="R7" t="s">
        <v>288</v>
      </c>
      <c r="T7" t="s">
        <v>37</v>
      </c>
    </row>
    <row r="8" spans="1:20">
      <c r="A8" s="2" t="s">
        <v>173</v>
      </c>
      <c r="C8" s="6" t="s">
        <v>231</v>
      </c>
      <c r="D8" s="6" t="s">
        <v>228</v>
      </c>
      <c r="E8" s="9">
        <v>7</v>
      </c>
      <c r="F8" s="8" t="s">
        <v>221</v>
      </c>
      <c r="I8" s="140"/>
      <c r="J8" s="145"/>
      <c r="K8" s="141"/>
      <c r="M8" s="8" t="s">
        <v>289</v>
      </c>
      <c r="N8" s="8" t="s">
        <v>263</v>
      </c>
      <c r="O8" s="11">
        <v>45765</v>
      </c>
      <c r="P8" s="11">
        <v>45792</v>
      </c>
      <c r="T8" t="s">
        <v>39</v>
      </c>
    </row>
    <row r="9" spans="1:20">
      <c r="A9" s="2" t="s">
        <v>174</v>
      </c>
      <c r="C9" s="7" t="s">
        <v>236</v>
      </c>
      <c r="D9" s="6" t="s">
        <v>229</v>
      </c>
      <c r="E9" s="9">
        <v>8</v>
      </c>
      <c r="F9" s="8" t="s">
        <v>224</v>
      </c>
      <c r="I9" s="140"/>
      <c r="J9" s="145"/>
      <c r="K9" s="141"/>
      <c r="M9" s="8" t="s">
        <v>290</v>
      </c>
      <c r="N9" s="8" t="s">
        <v>263</v>
      </c>
      <c r="O9" s="11">
        <v>45793</v>
      </c>
      <c r="P9" s="11">
        <v>45820</v>
      </c>
    </row>
    <row r="10" spans="1:20">
      <c r="A10" s="2" t="s">
        <v>175</v>
      </c>
      <c r="C10" s="8"/>
      <c r="D10" s="6" t="s">
        <v>230</v>
      </c>
      <c r="E10" s="9">
        <v>9</v>
      </c>
      <c r="F10" s="8" t="s">
        <v>221</v>
      </c>
      <c r="I10" s="140"/>
      <c r="J10" s="145"/>
      <c r="K10" s="141"/>
      <c r="M10" s="8" t="s">
        <v>291</v>
      </c>
      <c r="N10" s="8" t="s">
        <v>263</v>
      </c>
      <c r="O10" s="11">
        <v>45821</v>
      </c>
      <c r="P10" s="11">
        <v>45848</v>
      </c>
    </row>
    <row r="11" spans="1:20">
      <c r="A11" s="2" t="s">
        <v>292</v>
      </c>
      <c r="D11" s="6" t="s">
        <v>230</v>
      </c>
      <c r="E11" s="9">
        <v>10</v>
      </c>
      <c r="F11" s="8" t="s">
        <v>224</v>
      </c>
      <c r="I11" s="140"/>
      <c r="J11" s="145"/>
      <c r="K11" s="141"/>
      <c r="M11" s="8" t="s">
        <v>293</v>
      </c>
      <c r="N11" s="8" t="s">
        <v>263</v>
      </c>
      <c r="O11" s="11">
        <v>45849</v>
      </c>
      <c r="P11" s="11">
        <v>45876</v>
      </c>
    </row>
    <row r="12" spans="1:20">
      <c r="A12" s="2" t="s">
        <v>177</v>
      </c>
      <c r="D12" s="6" t="s">
        <v>230</v>
      </c>
      <c r="E12" s="9">
        <v>15</v>
      </c>
      <c r="F12" s="8" t="s">
        <v>221</v>
      </c>
      <c r="I12" s="140"/>
      <c r="J12" s="145"/>
      <c r="K12" s="141"/>
      <c r="M12" s="8" t="s">
        <v>294</v>
      </c>
      <c r="N12" s="8" t="s">
        <v>263</v>
      </c>
      <c r="O12" s="11">
        <v>45877</v>
      </c>
      <c r="P12" s="11">
        <v>45904</v>
      </c>
    </row>
    <row r="13" spans="1:20">
      <c r="A13" s="2" t="s">
        <v>178</v>
      </c>
      <c r="D13" s="6" t="s">
        <v>230</v>
      </c>
      <c r="E13" s="9">
        <v>16</v>
      </c>
      <c r="F13" s="8" t="s">
        <v>224</v>
      </c>
      <c r="I13" s="140"/>
      <c r="J13" s="145"/>
      <c r="K13" s="141"/>
      <c r="M13" s="8" t="s">
        <v>295</v>
      </c>
      <c r="N13" s="8" t="s">
        <v>263</v>
      </c>
      <c r="O13" s="11">
        <v>45905</v>
      </c>
      <c r="P13" s="11">
        <v>45932</v>
      </c>
    </row>
    <row r="14" spans="1:20">
      <c r="A14" s="2" t="s">
        <v>296</v>
      </c>
      <c r="D14" s="6" t="s">
        <v>231</v>
      </c>
      <c r="E14" s="9">
        <v>11</v>
      </c>
      <c r="F14" s="8" t="s">
        <v>221</v>
      </c>
      <c r="I14" s="140"/>
      <c r="J14" s="145"/>
      <c r="K14" s="141"/>
      <c r="M14" s="14" t="s">
        <v>297</v>
      </c>
      <c r="N14" s="8" t="s">
        <v>263</v>
      </c>
      <c r="O14" s="11">
        <v>45933</v>
      </c>
      <c r="P14" s="11">
        <v>45960</v>
      </c>
    </row>
    <row r="15" spans="1:20">
      <c r="A15" s="2" t="s">
        <v>188</v>
      </c>
      <c r="D15" s="6" t="s">
        <v>231</v>
      </c>
      <c r="E15" s="9">
        <v>12</v>
      </c>
      <c r="F15" s="8" t="s">
        <v>224</v>
      </c>
      <c r="I15" s="140"/>
      <c r="J15" s="145"/>
      <c r="K15" s="141"/>
      <c r="M15" s="14" t="s">
        <v>298</v>
      </c>
      <c r="N15" s="8" t="s">
        <v>263</v>
      </c>
      <c r="O15" s="11">
        <v>45961</v>
      </c>
      <c r="P15" s="11">
        <v>45988</v>
      </c>
    </row>
    <row r="16" spans="1:20">
      <c r="A16" s="2" t="s">
        <v>299</v>
      </c>
      <c r="D16" s="6" t="s">
        <v>231</v>
      </c>
      <c r="E16" s="9">
        <v>13</v>
      </c>
      <c r="F16" s="8" t="s">
        <v>221</v>
      </c>
      <c r="I16" s="140"/>
      <c r="J16" s="145"/>
      <c r="K16" s="141"/>
      <c r="M16" s="14" t="s">
        <v>300</v>
      </c>
      <c r="N16" s="8" t="s">
        <v>263</v>
      </c>
      <c r="O16" s="11">
        <v>45989</v>
      </c>
      <c r="P16" s="11">
        <v>46019</v>
      </c>
    </row>
    <row r="17" spans="1:16">
      <c r="A17" s="2" t="s">
        <v>301</v>
      </c>
      <c r="D17" s="6" t="s">
        <v>231</v>
      </c>
      <c r="E17" s="9">
        <v>14</v>
      </c>
      <c r="F17" s="8" t="s">
        <v>224</v>
      </c>
      <c r="I17" s="140"/>
      <c r="J17" s="145"/>
      <c r="K17" s="141"/>
      <c r="M17" s="14" t="s">
        <v>302</v>
      </c>
      <c r="N17" s="8" t="s">
        <v>263</v>
      </c>
      <c r="O17" s="11">
        <v>46020</v>
      </c>
      <c r="P17" s="11">
        <v>46042</v>
      </c>
    </row>
    <row r="18" spans="1:16">
      <c r="A18" s="2" t="s">
        <v>183</v>
      </c>
      <c r="D18" s="6" t="s">
        <v>231</v>
      </c>
      <c r="E18" s="9">
        <v>15</v>
      </c>
      <c r="F18" s="8" t="s">
        <v>221</v>
      </c>
      <c r="I18" s="140"/>
      <c r="J18" s="145"/>
      <c r="K18" s="141"/>
      <c r="M18" s="14" t="s">
        <v>303</v>
      </c>
      <c r="N18" s="8" t="s">
        <v>263</v>
      </c>
      <c r="O18" s="11">
        <v>46043</v>
      </c>
      <c r="P18" s="11">
        <v>46070</v>
      </c>
    </row>
    <row r="19" spans="1:16">
      <c r="A19" s="2" t="s">
        <v>184</v>
      </c>
      <c r="D19" s="6" t="s">
        <v>231</v>
      </c>
      <c r="E19" s="9">
        <v>16</v>
      </c>
      <c r="F19" s="8" t="s">
        <v>224</v>
      </c>
      <c r="I19" s="140"/>
      <c r="J19" s="145"/>
      <c r="K19" s="141"/>
      <c r="M19" s="8" t="s">
        <v>304</v>
      </c>
      <c r="N19" s="8" t="s">
        <v>263</v>
      </c>
      <c r="O19" s="11">
        <v>46071</v>
      </c>
      <c r="P19" s="11">
        <v>46098</v>
      </c>
    </row>
    <row r="20" spans="1:16">
      <c r="A20" s="2" t="s">
        <v>185</v>
      </c>
      <c r="D20" s="7" t="s">
        <v>236</v>
      </c>
      <c r="E20" s="9">
        <v>17</v>
      </c>
      <c r="F20" s="8" t="s">
        <v>237</v>
      </c>
      <c r="I20" s="140"/>
      <c r="J20" s="145"/>
      <c r="K20" s="141"/>
      <c r="M20" s="8" t="s">
        <v>305</v>
      </c>
      <c r="N20" s="8" t="s">
        <v>263</v>
      </c>
      <c r="O20" s="11">
        <v>46099</v>
      </c>
      <c r="P20" s="11">
        <v>46126</v>
      </c>
    </row>
    <row r="21" spans="1:16">
      <c r="A21" s="2" t="s">
        <v>186</v>
      </c>
      <c r="I21" s="140"/>
      <c r="J21" s="145"/>
      <c r="K21" s="141"/>
      <c r="M21" s="8" t="s">
        <v>306</v>
      </c>
      <c r="N21" s="8" t="s">
        <v>263</v>
      </c>
      <c r="O21" s="11">
        <v>46127</v>
      </c>
      <c r="P21" s="11">
        <v>46154</v>
      </c>
    </row>
    <row r="22" spans="1:16">
      <c r="A22" s="2" t="s">
        <v>187</v>
      </c>
      <c r="I22" s="140"/>
      <c r="J22" s="145"/>
      <c r="K22" s="141"/>
      <c r="M22" s="8" t="s">
        <v>307</v>
      </c>
      <c r="N22" s="8" t="s">
        <v>263</v>
      </c>
      <c r="O22" s="11">
        <v>46155</v>
      </c>
      <c r="P22" s="11">
        <v>46182</v>
      </c>
    </row>
    <row r="23" spans="1:16">
      <c r="A23" s="2" t="s">
        <v>308</v>
      </c>
      <c r="I23" s="140"/>
      <c r="J23" s="145"/>
      <c r="K23" s="141"/>
      <c r="M23" s="8" t="s">
        <v>309</v>
      </c>
      <c r="N23" s="8" t="s">
        <v>263</v>
      </c>
      <c r="O23" s="11">
        <v>46183</v>
      </c>
      <c r="P23" s="11">
        <v>46210</v>
      </c>
    </row>
    <row r="24" spans="1:16">
      <c r="A24" s="2" t="s">
        <v>310</v>
      </c>
      <c r="I24" s="140"/>
      <c r="J24" s="145"/>
      <c r="K24" s="141"/>
      <c r="M24" s="8" t="s">
        <v>311</v>
      </c>
      <c r="N24" s="8" t="s">
        <v>263</v>
      </c>
      <c r="O24" s="11">
        <v>46211</v>
      </c>
      <c r="P24" s="11">
        <v>46238</v>
      </c>
    </row>
    <row r="25" spans="1:16">
      <c r="A25" s="2" t="s">
        <v>190</v>
      </c>
      <c r="I25" s="140"/>
      <c r="J25" s="145"/>
      <c r="K25" s="141"/>
      <c r="M25" s="8" t="s">
        <v>312</v>
      </c>
      <c r="N25" s="8" t="s">
        <v>263</v>
      </c>
      <c r="O25" s="11">
        <v>46239</v>
      </c>
      <c r="P25" s="11">
        <v>46266</v>
      </c>
    </row>
    <row r="26" spans="1:16">
      <c r="A26" s="2" t="s">
        <v>313</v>
      </c>
      <c r="I26" s="140"/>
      <c r="J26" s="145"/>
      <c r="K26" s="141"/>
      <c r="M26" s="8" t="s">
        <v>314</v>
      </c>
      <c r="N26" s="8" t="s">
        <v>263</v>
      </c>
      <c r="O26" s="11">
        <v>46267</v>
      </c>
      <c r="P26" s="11">
        <v>46294</v>
      </c>
    </row>
    <row r="27" spans="1:16">
      <c r="A27" s="2" t="s">
        <v>315</v>
      </c>
      <c r="I27" s="140"/>
      <c r="J27" s="145"/>
      <c r="K27" s="141"/>
      <c r="M27" s="8" t="s">
        <v>316</v>
      </c>
      <c r="N27" s="8" t="s">
        <v>263</v>
      </c>
      <c r="O27" s="11">
        <v>46295</v>
      </c>
      <c r="P27" s="11">
        <v>46322</v>
      </c>
    </row>
    <row r="28" spans="1:16">
      <c r="A28" s="2" t="s">
        <v>317</v>
      </c>
      <c r="I28" s="140"/>
      <c r="J28" s="145"/>
      <c r="K28" s="141"/>
      <c r="M28" s="8" t="s">
        <v>318</v>
      </c>
      <c r="N28" s="8" t="s">
        <v>263</v>
      </c>
      <c r="O28" s="11">
        <v>46323</v>
      </c>
      <c r="P28" s="11">
        <v>46350</v>
      </c>
    </row>
    <row r="29" spans="1:16">
      <c r="A29" s="2" t="s">
        <v>319</v>
      </c>
      <c r="I29" s="140"/>
      <c r="J29" s="145"/>
      <c r="K29" s="141"/>
      <c r="M29" s="8" t="s">
        <v>320</v>
      </c>
      <c r="N29" s="8" t="s">
        <v>263</v>
      </c>
      <c r="O29" s="11">
        <v>46351</v>
      </c>
      <c r="P29" s="11">
        <v>46378</v>
      </c>
    </row>
    <row r="30" spans="1:16">
      <c r="A30" s="2" t="s">
        <v>321</v>
      </c>
      <c r="I30" s="140"/>
      <c r="J30" s="145"/>
      <c r="K30" s="141"/>
      <c r="M30" s="8" t="s">
        <v>322</v>
      </c>
      <c r="N30" s="8" t="s">
        <v>263</v>
      </c>
      <c r="O30" s="11">
        <v>46379</v>
      </c>
      <c r="P30" s="11">
        <v>46406</v>
      </c>
    </row>
    <row r="31" spans="1:16">
      <c r="A31" s="2" t="s">
        <v>323</v>
      </c>
      <c r="I31" s="140"/>
      <c r="J31" s="145"/>
      <c r="K31" s="141"/>
      <c r="M31" s="8" t="s">
        <v>324</v>
      </c>
      <c r="N31" s="8" t="s">
        <v>263</v>
      </c>
      <c r="O31" s="11">
        <v>46407</v>
      </c>
      <c r="P31" s="11">
        <v>45729</v>
      </c>
    </row>
    <row r="32" spans="1:16">
      <c r="A32" s="2" t="s">
        <v>325</v>
      </c>
      <c r="I32" s="140"/>
      <c r="J32" s="145"/>
      <c r="K32" s="141"/>
      <c r="M32" s="8" t="s">
        <v>287</v>
      </c>
      <c r="N32" s="8" t="s">
        <v>271</v>
      </c>
      <c r="O32" s="11">
        <v>45730</v>
      </c>
      <c r="P32" s="11">
        <v>45757</v>
      </c>
    </row>
    <row r="33" spans="1:16">
      <c r="A33" s="2" t="s">
        <v>326</v>
      </c>
      <c r="I33" s="140"/>
      <c r="J33" s="145"/>
      <c r="K33" s="141"/>
      <c r="M33" s="8" t="s">
        <v>289</v>
      </c>
      <c r="N33" s="8" t="s">
        <v>271</v>
      </c>
      <c r="O33" s="11">
        <v>45758</v>
      </c>
      <c r="P33" s="11">
        <v>45785</v>
      </c>
    </row>
    <row r="34" spans="1:16">
      <c r="A34" s="2" t="s">
        <v>199</v>
      </c>
      <c r="I34" s="140"/>
      <c r="J34" s="145"/>
      <c r="K34" s="141"/>
      <c r="M34" s="8" t="s">
        <v>290</v>
      </c>
      <c r="N34" s="8" t="s">
        <v>271</v>
      </c>
      <c r="O34" s="11">
        <v>45786</v>
      </c>
      <c r="P34" s="11">
        <v>45813</v>
      </c>
    </row>
    <row r="35" spans="1:16">
      <c r="A35" s="2" t="s">
        <v>327</v>
      </c>
      <c r="I35" s="140"/>
      <c r="J35" s="145"/>
      <c r="K35" s="141"/>
      <c r="M35" s="8" t="s">
        <v>291</v>
      </c>
      <c r="N35" s="8" t="s">
        <v>271</v>
      </c>
      <c r="O35" s="11">
        <v>45814</v>
      </c>
      <c r="P35" s="11">
        <v>45841</v>
      </c>
    </row>
    <row r="36" spans="1:16">
      <c r="A36" s="2" t="s">
        <v>200</v>
      </c>
      <c r="I36" s="140"/>
      <c r="J36" s="145"/>
      <c r="K36" s="141"/>
      <c r="M36" s="8" t="s">
        <v>293</v>
      </c>
      <c r="N36" s="8" t="s">
        <v>271</v>
      </c>
      <c r="O36" s="11">
        <v>45842</v>
      </c>
      <c r="P36" s="11">
        <v>45869</v>
      </c>
    </row>
    <row r="37" spans="1:16">
      <c r="A37" s="2" t="s">
        <v>201</v>
      </c>
      <c r="I37" s="140"/>
      <c r="J37" s="145"/>
      <c r="K37" s="141"/>
      <c r="M37" s="8" t="s">
        <v>294</v>
      </c>
      <c r="N37" s="8" t="s">
        <v>271</v>
      </c>
      <c r="O37" s="11">
        <v>45870</v>
      </c>
      <c r="P37" s="11">
        <v>45897</v>
      </c>
    </row>
    <row r="38" spans="1:16">
      <c r="A38" s="2" t="s">
        <v>202</v>
      </c>
      <c r="I38" s="140"/>
      <c r="J38" s="145"/>
      <c r="K38" s="141"/>
      <c r="M38" s="8" t="s">
        <v>295</v>
      </c>
      <c r="N38" s="8" t="s">
        <v>271</v>
      </c>
      <c r="O38" s="11">
        <v>45898</v>
      </c>
      <c r="P38" s="11">
        <v>45925</v>
      </c>
    </row>
    <row r="39" spans="1:16">
      <c r="A39" s="2" t="s">
        <v>203</v>
      </c>
      <c r="I39" s="140"/>
      <c r="J39" s="145"/>
      <c r="K39" s="141"/>
      <c r="M39" s="14" t="s">
        <v>297</v>
      </c>
      <c r="N39" s="8" t="s">
        <v>271</v>
      </c>
      <c r="O39" s="11">
        <v>45926</v>
      </c>
      <c r="P39" s="11">
        <v>45953</v>
      </c>
    </row>
    <row r="40" spans="1:16">
      <c r="A40" s="2" t="s">
        <v>204</v>
      </c>
      <c r="I40" s="140"/>
      <c r="J40" s="145"/>
      <c r="K40" s="141"/>
      <c r="M40" s="14" t="s">
        <v>298</v>
      </c>
      <c r="N40" s="8" t="s">
        <v>271</v>
      </c>
      <c r="O40" s="11">
        <v>45954</v>
      </c>
      <c r="P40" s="11">
        <v>45981</v>
      </c>
    </row>
    <row r="41" spans="1:16">
      <c r="A41" s="2" t="s">
        <v>205</v>
      </c>
      <c r="I41" s="140"/>
      <c r="J41" s="145"/>
      <c r="K41" s="141"/>
      <c r="M41" s="14" t="s">
        <v>300</v>
      </c>
      <c r="N41" s="8" t="s">
        <v>271</v>
      </c>
      <c r="O41" s="11">
        <v>45982</v>
      </c>
      <c r="P41" s="11">
        <v>46009</v>
      </c>
    </row>
    <row r="42" spans="1:16">
      <c r="A42" s="2" t="s">
        <v>206</v>
      </c>
      <c r="I42" s="140"/>
      <c r="J42" s="145"/>
      <c r="K42" s="141"/>
      <c r="M42" s="14" t="s">
        <v>302</v>
      </c>
      <c r="N42" s="8" t="s">
        <v>271</v>
      </c>
      <c r="O42" s="11">
        <v>46010</v>
      </c>
      <c r="P42" s="11">
        <v>46037</v>
      </c>
    </row>
    <row r="43" spans="1:16">
      <c r="A43" s="2" t="s">
        <v>207</v>
      </c>
      <c r="I43" s="140"/>
      <c r="J43" s="145"/>
      <c r="K43" s="141"/>
      <c r="M43" s="14" t="s">
        <v>303</v>
      </c>
      <c r="N43" s="8" t="s">
        <v>271</v>
      </c>
      <c r="O43" s="11">
        <v>46038</v>
      </c>
      <c r="P43" s="11">
        <v>46065</v>
      </c>
    </row>
    <row r="44" spans="1:16">
      <c r="A44" s="2" t="s">
        <v>208</v>
      </c>
      <c r="I44" s="140"/>
      <c r="J44" s="145"/>
      <c r="K44" s="141"/>
      <c r="M44" s="8" t="s">
        <v>304</v>
      </c>
      <c r="N44" s="8" t="s">
        <v>271</v>
      </c>
      <c r="O44" s="11">
        <v>46066</v>
      </c>
      <c r="P44" s="11">
        <v>46093</v>
      </c>
    </row>
    <row r="45" spans="1:16">
      <c r="A45" s="2" t="s">
        <v>209</v>
      </c>
      <c r="I45" s="140"/>
      <c r="J45" s="145"/>
      <c r="K45" s="141"/>
      <c r="M45" s="8" t="s">
        <v>305</v>
      </c>
      <c r="N45" s="8" t="s">
        <v>271</v>
      </c>
      <c r="O45" s="11">
        <v>46094</v>
      </c>
      <c r="P45" s="11">
        <v>46121</v>
      </c>
    </row>
    <row r="46" spans="1:16">
      <c r="A46" s="2" t="s">
        <v>210</v>
      </c>
      <c r="I46" s="140"/>
      <c r="J46" s="145"/>
      <c r="K46" s="141"/>
      <c r="M46" s="8" t="s">
        <v>306</v>
      </c>
      <c r="N46" s="8" t="s">
        <v>271</v>
      </c>
      <c r="O46" s="11">
        <v>46122</v>
      </c>
      <c r="P46" s="11">
        <v>46149</v>
      </c>
    </row>
    <row r="47" spans="1:16">
      <c r="A47" s="2" t="s">
        <v>328</v>
      </c>
      <c r="I47" s="140"/>
      <c r="J47" s="145"/>
      <c r="K47" s="141"/>
      <c r="M47" s="8" t="s">
        <v>307</v>
      </c>
      <c r="N47" s="8" t="s">
        <v>271</v>
      </c>
      <c r="O47" s="11">
        <v>46150</v>
      </c>
      <c r="P47" s="11">
        <v>46177</v>
      </c>
    </row>
    <row r="48" spans="1:16">
      <c r="A48" s="2" t="s">
        <v>215</v>
      </c>
      <c r="I48" s="140"/>
      <c r="J48" s="145"/>
      <c r="K48" s="141"/>
      <c r="M48" s="8" t="s">
        <v>309</v>
      </c>
      <c r="N48" s="8" t="s">
        <v>271</v>
      </c>
      <c r="O48" s="11">
        <v>46178</v>
      </c>
      <c r="P48" s="11">
        <v>46205</v>
      </c>
    </row>
    <row r="49" spans="1:16">
      <c r="A49" s="2" t="s">
        <v>216</v>
      </c>
      <c r="I49" s="140"/>
      <c r="J49" s="145"/>
      <c r="K49" s="141"/>
      <c r="M49" s="8" t="s">
        <v>311</v>
      </c>
      <c r="N49" s="8" t="s">
        <v>271</v>
      </c>
      <c r="O49" s="11">
        <v>46206</v>
      </c>
      <c r="P49" s="11">
        <v>46233</v>
      </c>
    </row>
    <row r="50" spans="1:16">
      <c r="A50" s="2" t="s">
        <v>217</v>
      </c>
      <c r="I50" s="140"/>
      <c r="J50" s="145"/>
      <c r="K50" s="141"/>
      <c r="M50" s="8" t="s">
        <v>312</v>
      </c>
      <c r="N50" s="8" t="s">
        <v>271</v>
      </c>
      <c r="O50" s="11">
        <v>46234</v>
      </c>
      <c r="P50" s="11">
        <v>46261</v>
      </c>
    </row>
    <row r="51" spans="1:16">
      <c r="A51" s="2" t="s">
        <v>211</v>
      </c>
      <c r="I51" s="140"/>
      <c r="J51" s="145"/>
      <c r="K51" s="141"/>
      <c r="M51" s="8" t="s">
        <v>314</v>
      </c>
      <c r="N51" s="8" t="s">
        <v>271</v>
      </c>
      <c r="O51" s="11">
        <v>46262</v>
      </c>
      <c r="P51" s="11">
        <v>46289</v>
      </c>
    </row>
    <row r="52" spans="1:16">
      <c r="A52" s="2" t="s">
        <v>212</v>
      </c>
      <c r="I52" s="140"/>
      <c r="J52" s="145"/>
      <c r="K52" s="141"/>
      <c r="M52" s="8" t="s">
        <v>316</v>
      </c>
      <c r="N52" s="8" t="s">
        <v>271</v>
      </c>
      <c r="O52" s="11">
        <v>46290</v>
      </c>
      <c r="P52" s="11">
        <v>46317</v>
      </c>
    </row>
    <row r="53" spans="1:16">
      <c r="A53" s="2" t="s">
        <v>213</v>
      </c>
      <c r="I53" s="140"/>
      <c r="J53" s="145"/>
      <c r="K53" s="141"/>
      <c r="M53" s="8" t="s">
        <v>318</v>
      </c>
      <c r="N53" s="8" t="s">
        <v>271</v>
      </c>
      <c r="O53" s="11">
        <v>46318</v>
      </c>
      <c r="P53" s="11">
        <v>46345</v>
      </c>
    </row>
    <row r="54" spans="1:16">
      <c r="A54" s="2" t="s">
        <v>214</v>
      </c>
      <c r="I54" s="140"/>
      <c r="J54" s="145"/>
      <c r="K54" s="141"/>
      <c r="M54" s="8" t="s">
        <v>320</v>
      </c>
      <c r="N54" s="8" t="s">
        <v>271</v>
      </c>
      <c r="O54" s="11">
        <v>46346</v>
      </c>
      <c r="P54" s="11">
        <v>46373</v>
      </c>
    </row>
    <row r="55" spans="1:16">
      <c r="A55" s="2" t="s">
        <v>219</v>
      </c>
      <c r="I55" s="140"/>
      <c r="J55" s="145"/>
      <c r="K55" s="141"/>
      <c r="M55" s="8" t="s">
        <v>322</v>
      </c>
      <c r="N55" s="8" t="s">
        <v>271</v>
      </c>
      <c r="O55" s="11">
        <v>46374</v>
      </c>
      <c r="P55" s="11">
        <v>46401</v>
      </c>
    </row>
    <row r="56" spans="1:16">
      <c r="A56" s="2" t="s">
        <v>220</v>
      </c>
      <c r="I56" s="140"/>
      <c r="J56" s="145"/>
      <c r="K56" s="141"/>
      <c r="M56" s="8" t="s">
        <v>324</v>
      </c>
      <c r="N56" s="8" t="s">
        <v>271</v>
      </c>
      <c r="O56" s="11">
        <v>46402</v>
      </c>
      <c r="P56" s="11">
        <v>45834</v>
      </c>
    </row>
    <row r="57" spans="1:16">
      <c r="A57" s="2" t="s">
        <v>329</v>
      </c>
      <c r="I57" s="140"/>
      <c r="J57" s="145"/>
      <c r="K57" s="141"/>
      <c r="M57" s="8" t="s">
        <v>293</v>
      </c>
      <c r="N57" s="8" t="s">
        <v>281</v>
      </c>
      <c r="O57" s="11">
        <v>45835</v>
      </c>
      <c r="P57" s="11">
        <v>45862</v>
      </c>
    </row>
    <row r="58" spans="1:16" ht="15.75" thickBot="1">
      <c r="A58" s="3" t="s">
        <v>191</v>
      </c>
      <c r="I58" s="140"/>
      <c r="J58" s="145"/>
      <c r="K58" s="141"/>
      <c r="M58" s="8" t="s">
        <v>294</v>
      </c>
      <c r="N58" s="8" t="s">
        <v>281</v>
      </c>
      <c r="O58" s="11">
        <v>45863</v>
      </c>
      <c r="P58" s="11">
        <v>45890</v>
      </c>
    </row>
    <row r="59" spans="1:16">
      <c r="A59" s="1" t="s">
        <v>330</v>
      </c>
      <c r="I59" s="140"/>
      <c r="J59" s="145"/>
      <c r="K59" s="141"/>
      <c r="M59" s="8" t="s">
        <v>295</v>
      </c>
      <c r="N59" s="8" t="s">
        <v>281</v>
      </c>
      <c r="O59" s="11">
        <v>45891</v>
      </c>
      <c r="P59" s="11">
        <v>45918</v>
      </c>
    </row>
    <row r="60" spans="1:16" ht="15.75" thickBot="1">
      <c r="A60" s="3" t="s">
        <v>331</v>
      </c>
      <c r="I60" s="140"/>
      <c r="J60" s="145"/>
      <c r="K60" s="141"/>
      <c r="M60" s="14" t="s">
        <v>297</v>
      </c>
      <c r="N60" s="8" t="s">
        <v>281</v>
      </c>
      <c r="O60" s="11">
        <v>45919</v>
      </c>
      <c r="P60" s="11">
        <v>45946</v>
      </c>
    </row>
    <row r="61" spans="1:16">
      <c r="I61" s="140"/>
      <c r="J61" s="145"/>
      <c r="K61" s="141"/>
      <c r="M61" s="14" t="s">
        <v>298</v>
      </c>
      <c r="N61" s="8" t="s">
        <v>281</v>
      </c>
      <c r="O61" s="11">
        <v>45947</v>
      </c>
      <c r="P61" s="11">
        <v>45974</v>
      </c>
    </row>
    <row r="62" spans="1:16">
      <c r="I62" s="140"/>
      <c r="J62" s="145"/>
      <c r="K62" s="141"/>
      <c r="M62" s="14" t="s">
        <v>300</v>
      </c>
      <c r="N62" s="8" t="s">
        <v>281</v>
      </c>
      <c r="O62" s="11">
        <v>45975</v>
      </c>
      <c r="P62" s="11">
        <v>46002</v>
      </c>
    </row>
    <row r="63" spans="1:16">
      <c r="I63" s="140"/>
      <c r="J63" s="145"/>
      <c r="K63" s="141"/>
      <c r="M63" s="14" t="s">
        <v>302</v>
      </c>
      <c r="N63" s="8" t="s">
        <v>281</v>
      </c>
      <c r="O63" s="11">
        <v>46003</v>
      </c>
      <c r="P63" s="11">
        <v>46035</v>
      </c>
    </row>
    <row r="64" spans="1:16">
      <c r="I64" s="140"/>
      <c r="J64" s="145"/>
      <c r="K64" s="141"/>
      <c r="M64" s="14" t="s">
        <v>303</v>
      </c>
      <c r="N64" s="8" t="s">
        <v>281</v>
      </c>
      <c r="O64" s="11">
        <v>46036</v>
      </c>
      <c r="P64" s="11">
        <v>46063</v>
      </c>
    </row>
    <row r="65" spans="9:16">
      <c r="I65" s="140"/>
      <c r="J65" s="145"/>
      <c r="K65" s="141"/>
      <c r="M65" s="8" t="s">
        <v>304</v>
      </c>
      <c r="N65" s="8" t="s">
        <v>281</v>
      </c>
      <c r="O65" s="11">
        <v>46064</v>
      </c>
      <c r="P65" s="11">
        <v>46091</v>
      </c>
    </row>
    <row r="66" spans="9:16">
      <c r="I66" s="140"/>
      <c r="J66" s="145"/>
      <c r="K66" s="141"/>
      <c r="M66" s="8" t="s">
        <v>305</v>
      </c>
      <c r="N66" s="8" t="s">
        <v>281</v>
      </c>
      <c r="O66" s="11">
        <v>46092</v>
      </c>
      <c r="P66" s="11">
        <v>46119</v>
      </c>
    </row>
    <row r="67" spans="9:16">
      <c r="I67" s="140"/>
      <c r="J67" s="145"/>
      <c r="K67" s="141"/>
      <c r="M67" s="8" t="s">
        <v>306</v>
      </c>
      <c r="N67" s="8" t="s">
        <v>281</v>
      </c>
      <c r="O67" s="11">
        <v>46120</v>
      </c>
      <c r="P67" s="11">
        <v>46147</v>
      </c>
    </row>
    <row r="68" spans="9:16">
      <c r="I68" s="140"/>
      <c r="J68" s="145"/>
      <c r="K68" s="141"/>
      <c r="M68" s="8" t="s">
        <v>307</v>
      </c>
      <c r="N68" s="8" t="s">
        <v>281</v>
      </c>
      <c r="O68" s="11">
        <v>46148</v>
      </c>
      <c r="P68" s="11">
        <v>46175</v>
      </c>
    </row>
    <row r="69" spans="9:16">
      <c r="I69" s="140"/>
      <c r="J69" s="145"/>
      <c r="K69" s="141"/>
      <c r="M69" s="8" t="s">
        <v>309</v>
      </c>
      <c r="N69" s="8" t="s">
        <v>281</v>
      </c>
      <c r="O69" s="11">
        <v>46176</v>
      </c>
      <c r="P69" s="11">
        <v>46203</v>
      </c>
    </row>
    <row r="70" spans="9:16">
      <c r="I70" s="140"/>
      <c r="J70" s="145"/>
      <c r="K70" s="141"/>
      <c r="M70" s="8" t="s">
        <v>311</v>
      </c>
      <c r="N70" s="8" t="s">
        <v>281</v>
      </c>
      <c r="O70" s="11">
        <v>46204</v>
      </c>
      <c r="P70" s="11">
        <v>46231</v>
      </c>
    </row>
    <row r="71" spans="9:16">
      <c r="I71" s="140"/>
      <c r="J71" s="145"/>
      <c r="K71" s="141"/>
      <c r="M71" s="8" t="s">
        <v>312</v>
      </c>
      <c r="N71" s="8" t="s">
        <v>281</v>
      </c>
      <c r="O71" s="11">
        <v>46232</v>
      </c>
      <c r="P71" s="11">
        <v>46259</v>
      </c>
    </row>
    <row r="72" spans="9:16">
      <c r="I72" s="140"/>
      <c r="J72" s="145"/>
      <c r="K72" s="141"/>
      <c r="M72" s="8" t="s">
        <v>314</v>
      </c>
      <c r="N72" s="8" t="s">
        <v>281</v>
      </c>
      <c r="O72" s="11">
        <v>46260</v>
      </c>
      <c r="P72" s="11">
        <v>46287</v>
      </c>
    </row>
    <row r="73" spans="9:16">
      <c r="I73" s="140"/>
      <c r="J73" s="145"/>
      <c r="K73" s="141"/>
      <c r="M73" s="8" t="s">
        <v>316</v>
      </c>
      <c r="N73" s="8" t="s">
        <v>281</v>
      </c>
      <c r="O73" s="11">
        <v>46288</v>
      </c>
      <c r="P73" s="11">
        <v>46315</v>
      </c>
    </row>
    <row r="74" spans="9:16">
      <c r="I74" s="140"/>
      <c r="J74" s="145"/>
      <c r="K74" s="141"/>
      <c r="M74" s="8" t="s">
        <v>318</v>
      </c>
      <c r="N74" s="8" t="s">
        <v>281</v>
      </c>
      <c r="O74" s="11">
        <v>46316</v>
      </c>
      <c r="P74" s="11">
        <v>46343</v>
      </c>
    </row>
    <row r="75" spans="9:16">
      <c r="I75" s="140"/>
      <c r="J75" s="145"/>
      <c r="K75" s="141"/>
      <c r="M75" s="8" t="s">
        <v>320</v>
      </c>
      <c r="N75" s="8" t="s">
        <v>281</v>
      </c>
      <c r="O75" s="11">
        <v>46344</v>
      </c>
      <c r="P75" s="11">
        <v>46371</v>
      </c>
    </row>
    <row r="76" spans="9:16">
      <c r="I76" s="140"/>
      <c r="J76" s="145"/>
      <c r="K76" s="141"/>
      <c r="M76" s="8" t="s">
        <v>322</v>
      </c>
      <c r="N76" s="8" t="s">
        <v>281</v>
      </c>
      <c r="O76" s="11">
        <v>46372</v>
      </c>
      <c r="P76" s="11">
        <v>46399</v>
      </c>
    </row>
    <row r="77" spans="9:16">
      <c r="I77" s="140"/>
      <c r="J77" s="145"/>
      <c r="K77" s="141"/>
      <c r="M77" s="8" t="s">
        <v>324</v>
      </c>
      <c r="N77" s="8" t="s">
        <v>281</v>
      </c>
      <c r="O77" s="11">
        <v>46400</v>
      </c>
      <c r="P77" s="11">
        <v>45610</v>
      </c>
    </row>
    <row r="78" spans="9:16">
      <c r="I78" s="140"/>
      <c r="J78" s="145"/>
      <c r="K78" s="141"/>
      <c r="M78" s="8" t="s">
        <v>269</v>
      </c>
      <c r="N78" s="8" t="s">
        <v>267</v>
      </c>
      <c r="O78" s="11">
        <v>45611</v>
      </c>
      <c r="P78" s="11">
        <v>45638</v>
      </c>
    </row>
    <row r="79" spans="9:16">
      <c r="I79" s="140"/>
      <c r="J79" s="145"/>
      <c r="K79" s="141"/>
      <c r="M79" s="8" t="s">
        <v>273</v>
      </c>
      <c r="N79" s="8" t="s">
        <v>267</v>
      </c>
      <c r="O79" s="11">
        <v>45639</v>
      </c>
      <c r="P79" s="11">
        <v>45666</v>
      </c>
    </row>
    <row r="80" spans="9:16">
      <c r="I80" s="140"/>
      <c r="J80" s="145"/>
      <c r="K80" s="141"/>
      <c r="M80" s="8" t="s">
        <v>278</v>
      </c>
      <c r="N80" s="8" t="s">
        <v>267</v>
      </c>
      <c r="O80" s="11">
        <v>45667</v>
      </c>
      <c r="P80" s="11">
        <v>45694</v>
      </c>
    </row>
    <row r="81" spans="9:16">
      <c r="I81" s="140"/>
      <c r="J81" s="145"/>
      <c r="K81" s="141"/>
      <c r="M81" s="8" t="s">
        <v>283</v>
      </c>
      <c r="N81" s="8" t="s">
        <v>267</v>
      </c>
      <c r="O81" s="11">
        <v>45695</v>
      </c>
      <c r="P81" s="11">
        <v>45722</v>
      </c>
    </row>
    <row r="82" spans="9:16">
      <c r="I82" s="140"/>
      <c r="J82" s="145"/>
      <c r="K82" s="141"/>
      <c r="M82" s="8" t="s">
        <v>287</v>
      </c>
      <c r="N82" s="8" t="s">
        <v>267</v>
      </c>
      <c r="O82" s="11">
        <v>45723</v>
      </c>
      <c r="P82" s="11">
        <v>45750</v>
      </c>
    </row>
    <row r="83" spans="9:16">
      <c r="I83" s="140"/>
      <c r="J83" s="145"/>
      <c r="K83" s="141"/>
      <c r="M83" s="8" t="s">
        <v>289</v>
      </c>
      <c r="N83" s="8" t="s">
        <v>267</v>
      </c>
      <c r="O83" s="11">
        <v>45751</v>
      </c>
      <c r="P83" s="11">
        <v>45778</v>
      </c>
    </row>
    <row r="84" spans="9:16">
      <c r="I84" s="140"/>
      <c r="J84" s="145"/>
      <c r="K84" s="141"/>
      <c r="M84" s="8" t="s">
        <v>290</v>
      </c>
      <c r="N84" s="8" t="s">
        <v>267</v>
      </c>
      <c r="O84" s="11">
        <v>45779</v>
      </c>
      <c r="P84" s="11">
        <v>45806</v>
      </c>
    </row>
    <row r="85" spans="9:16">
      <c r="I85" s="140"/>
      <c r="J85" s="145"/>
      <c r="K85" s="141"/>
      <c r="M85" s="8" t="s">
        <v>291</v>
      </c>
      <c r="N85" s="8" t="s">
        <v>267</v>
      </c>
      <c r="O85" s="11">
        <v>45807</v>
      </c>
      <c r="P85" s="11">
        <v>45834</v>
      </c>
    </row>
    <row r="86" spans="9:16">
      <c r="I86" s="140"/>
      <c r="J86" s="145"/>
      <c r="K86" s="141"/>
      <c r="M86" s="8" t="s">
        <v>293</v>
      </c>
      <c r="N86" s="8" t="s">
        <v>267</v>
      </c>
      <c r="O86" s="11">
        <v>45835</v>
      </c>
      <c r="P86" s="11">
        <v>45862</v>
      </c>
    </row>
    <row r="87" spans="9:16">
      <c r="I87" s="140"/>
      <c r="J87" s="145"/>
      <c r="K87" s="141"/>
      <c r="M87" s="8" t="s">
        <v>294</v>
      </c>
      <c r="N87" s="8" t="s">
        <v>267</v>
      </c>
      <c r="O87" s="11">
        <v>45863</v>
      </c>
      <c r="P87" s="11">
        <v>45890</v>
      </c>
    </row>
    <row r="88" spans="9:16">
      <c r="I88" s="140"/>
      <c r="J88" s="145"/>
      <c r="K88" s="141"/>
      <c r="M88" s="8" t="s">
        <v>295</v>
      </c>
      <c r="N88" s="8" t="s">
        <v>267</v>
      </c>
      <c r="O88" s="11">
        <v>45891</v>
      </c>
      <c r="P88" s="11">
        <v>45918</v>
      </c>
    </row>
    <row r="89" spans="9:16">
      <c r="I89" s="140"/>
      <c r="J89" s="145"/>
      <c r="K89" s="141"/>
      <c r="M89" s="14" t="s">
        <v>297</v>
      </c>
      <c r="N89" s="8" t="s">
        <v>267</v>
      </c>
      <c r="O89" s="11">
        <v>45919</v>
      </c>
      <c r="P89" s="11">
        <v>45946</v>
      </c>
    </row>
    <row r="90" spans="9:16">
      <c r="I90" s="140"/>
      <c r="J90" s="145"/>
      <c r="K90" s="141"/>
      <c r="M90" s="14" t="s">
        <v>298</v>
      </c>
      <c r="N90" s="8" t="s">
        <v>267</v>
      </c>
      <c r="O90" s="11">
        <v>45947</v>
      </c>
      <c r="P90" s="11">
        <v>45974</v>
      </c>
    </row>
    <row r="91" spans="9:16">
      <c r="I91" s="140"/>
      <c r="J91" s="145"/>
      <c r="K91" s="141"/>
      <c r="M91" s="14" t="s">
        <v>300</v>
      </c>
      <c r="N91" s="8" t="s">
        <v>267</v>
      </c>
      <c r="O91" s="11">
        <v>45975</v>
      </c>
      <c r="P91" s="11">
        <v>46002</v>
      </c>
    </row>
    <row r="92" spans="9:16">
      <c r="I92" s="140"/>
      <c r="J92" s="145"/>
      <c r="K92" s="141"/>
      <c r="M92" s="14" t="s">
        <v>302</v>
      </c>
      <c r="N92" s="8" t="s">
        <v>267</v>
      </c>
      <c r="O92" s="11">
        <v>46003</v>
      </c>
      <c r="P92" s="11">
        <v>46028</v>
      </c>
    </row>
    <row r="93" spans="9:16">
      <c r="I93" s="140"/>
      <c r="J93" s="145"/>
      <c r="K93" s="141"/>
      <c r="M93" s="14" t="s">
        <v>303</v>
      </c>
      <c r="N93" s="8" t="s">
        <v>267</v>
      </c>
      <c r="O93" s="11">
        <v>46029</v>
      </c>
      <c r="P93" s="11">
        <v>46056</v>
      </c>
    </row>
    <row r="94" spans="9:16">
      <c r="I94" s="140"/>
      <c r="J94" s="145"/>
      <c r="K94" s="141"/>
      <c r="M94" s="8" t="s">
        <v>304</v>
      </c>
      <c r="N94" s="8" t="s">
        <v>267</v>
      </c>
      <c r="O94" s="11">
        <v>46057</v>
      </c>
      <c r="P94" s="11">
        <v>46084</v>
      </c>
    </row>
    <row r="95" spans="9:16">
      <c r="I95" s="140"/>
      <c r="J95" s="145"/>
      <c r="K95" s="141"/>
      <c r="M95" s="8" t="s">
        <v>305</v>
      </c>
      <c r="N95" s="8" t="s">
        <v>267</v>
      </c>
      <c r="O95" s="11">
        <v>46085</v>
      </c>
      <c r="P95" s="11">
        <v>46112</v>
      </c>
    </row>
    <row r="96" spans="9:16">
      <c r="I96" s="140"/>
      <c r="J96" s="145"/>
      <c r="K96" s="141"/>
      <c r="M96" s="8" t="s">
        <v>306</v>
      </c>
      <c r="N96" s="8" t="s">
        <v>267</v>
      </c>
      <c r="O96" s="11">
        <v>46113</v>
      </c>
      <c r="P96" s="11">
        <v>46140</v>
      </c>
    </row>
    <row r="97" spans="9:16">
      <c r="I97" s="140"/>
      <c r="J97" s="145"/>
      <c r="K97" s="141"/>
      <c r="M97" s="8" t="s">
        <v>307</v>
      </c>
      <c r="N97" s="8" t="s">
        <v>267</v>
      </c>
      <c r="O97" s="11">
        <v>46141</v>
      </c>
      <c r="P97" s="11">
        <v>46168</v>
      </c>
    </row>
    <row r="98" spans="9:16">
      <c r="I98" s="140"/>
      <c r="J98" s="145"/>
      <c r="K98" s="141"/>
      <c r="M98" s="8" t="s">
        <v>309</v>
      </c>
      <c r="N98" s="8" t="s">
        <v>267</v>
      </c>
      <c r="O98" s="11">
        <v>46169</v>
      </c>
      <c r="P98" s="11">
        <v>46196</v>
      </c>
    </row>
    <row r="99" spans="9:16">
      <c r="I99" s="140"/>
      <c r="J99" s="145"/>
      <c r="K99" s="141"/>
      <c r="M99" s="8" t="s">
        <v>311</v>
      </c>
      <c r="N99" s="8" t="s">
        <v>267</v>
      </c>
      <c r="O99" s="11">
        <v>46197</v>
      </c>
      <c r="P99" s="11">
        <v>46224</v>
      </c>
    </row>
    <row r="100" spans="9:16">
      <c r="I100" s="140"/>
      <c r="J100" s="145"/>
      <c r="K100" s="141"/>
      <c r="M100" s="8" t="s">
        <v>312</v>
      </c>
      <c r="N100" s="8" t="s">
        <v>267</v>
      </c>
      <c r="O100" s="11">
        <v>46225</v>
      </c>
      <c r="P100" s="11">
        <v>46252</v>
      </c>
    </row>
    <row r="101" spans="9:16">
      <c r="I101" s="140"/>
      <c r="J101" s="145"/>
      <c r="K101" s="141"/>
      <c r="M101" s="8" t="s">
        <v>314</v>
      </c>
      <c r="N101" s="8" t="s">
        <v>267</v>
      </c>
      <c r="O101" s="11">
        <v>46253</v>
      </c>
      <c r="P101" s="11">
        <v>46280</v>
      </c>
    </row>
    <row r="102" spans="9:16">
      <c r="I102" s="140"/>
      <c r="J102" s="145"/>
      <c r="K102" s="141"/>
      <c r="M102" s="8" t="s">
        <v>316</v>
      </c>
      <c r="N102" s="8" t="s">
        <v>267</v>
      </c>
      <c r="O102" s="11">
        <v>46281</v>
      </c>
      <c r="P102" s="11">
        <v>46308</v>
      </c>
    </row>
    <row r="103" spans="9:16">
      <c r="I103" s="140"/>
      <c r="J103" s="145"/>
      <c r="K103" s="141"/>
      <c r="M103" s="8" t="s">
        <v>318</v>
      </c>
      <c r="N103" s="8" t="s">
        <v>267</v>
      </c>
      <c r="O103" s="11">
        <v>46309</v>
      </c>
      <c r="P103" s="11">
        <v>46336</v>
      </c>
    </row>
    <row r="104" spans="9:16">
      <c r="I104" s="140"/>
      <c r="J104" s="145"/>
      <c r="K104" s="141"/>
      <c r="M104" s="8" t="s">
        <v>320</v>
      </c>
      <c r="N104" s="8" t="s">
        <v>267</v>
      </c>
      <c r="O104" s="11">
        <v>46337</v>
      </c>
      <c r="P104" s="11">
        <v>46364</v>
      </c>
    </row>
    <row r="105" spans="9:16">
      <c r="I105" s="140"/>
      <c r="J105" s="145"/>
      <c r="K105" s="141"/>
      <c r="M105" s="8" t="s">
        <v>322</v>
      </c>
      <c r="N105" s="8" t="s">
        <v>267</v>
      </c>
      <c r="O105" s="11">
        <v>46365</v>
      </c>
      <c r="P105" s="11">
        <v>46392</v>
      </c>
    </row>
    <row r="106" spans="9:16">
      <c r="I106" s="140"/>
      <c r="J106" s="145"/>
      <c r="K106" s="141"/>
      <c r="M106" s="8" t="s">
        <v>324</v>
      </c>
      <c r="N106" s="8" t="s">
        <v>267</v>
      </c>
      <c r="O106" s="11">
        <v>46393</v>
      </c>
      <c r="P106" s="11">
        <v>45603</v>
      </c>
    </row>
    <row r="107" spans="9:16">
      <c r="I107" s="140"/>
      <c r="J107" s="145"/>
      <c r="K107" s="141"/>
      <c r="M107" s="8" t="s">
        <v>269</v>
      </c>
      <c r="N107" s="8" t="s">
        <v>276</v>
      </c>
      <c r="O107" s="11">
        <v>45604</v>
      </c>
      <c r="P107" s="11">
        <v>45631</v>
      </c>
    </row>
    <row r="108" spans="9:16">
      <c r="I108" s="140"/>
      <c r="J108" s="145"/>
      <c r="K108" s="141"/>
      <c r="M108" s="8" t="s">
        <v>273</v>
      </c>
      <c r="N108" s="8" t="s">
        <v>276</v>
      </c>
      <c r="O108" s="11">
        <v>45632</v>
      </c>
      <c r="P108" s="11">
        <v>45659</v>
      </c>
    </row>
    <row r="109" spans="9:16">
      <c r="I109" s="140"/>
      <c r="J109" s="145"/>
      <c r="K109" s="141"/>
      <c r="M109" s="8" t="s">
        <v>278</v>
      </c>
      <c r="N109" s="8" t="s">
        <v>276</v>
      </c>
      <c r="O109" s="11">
        <v>45660</v>
      </c>
      <c r="P109" s="11">
        <v>45687</v>
      </c>
    </row>
    <row r="110" spans="9:16">
      <c r="I110" s="140"/>
      <c r="J110" s="145"/>
      <c r="K110" s="141"/>
      <c r="M110" s="8" t="s">
        <v>283</v>
      </c>
      <c r="N110" s="8" t="s">
        <v>276</v>
      </c>
      <c r="O110" s="11">
        <v>45688</v>
      </c>
      <c r="P110" s="11">
        <v>45715</v>
      </c>
    </row>
    <row r="111" spans="9:16">
      <c r="I111" s="140"/>
      <c r="J111" s="145"/>
      <c r="K111" s="141"/>
      <c r="M111" s="8" t="s">
        <v>287</v>
      </c>
      <c r="N111" s="8" t="s">
        <v>276</v>
      </c>
      <c r="O111" s="11">
        <v>45716</v>
      </c>
      <c r="P111" s="11">
        <v>45743</v>
      </c>
    </row>
    <row r="112" spans="9:16">
      <c r="I112" s="140"/>
      <c r="J112" s="145"/>
      <c r="K112" s="141"/>
      <c r="M112" s="8" t="s">
        <v>289</v>
      </c>
      <c r="N112" s="8" t="s">
        <v>276</v>
      </c>
      <c r="O112" s="11">
        <v>45744</v>
      </c>
      <c r="P112" s="11">
        <v>45771</v>
      </c>
    </row>
    <row r="113" spans="9:16">
      <c r="I113" s="140"/>
      <c r="J113" s="145"/>
      <c r="K113" s="141"/>
      <c r="M113" s="8" t="s">
        <v>290</v>
      </c>
      <c r="N113" s="8" t="s">
        <v>276</v>
      </c>
      <c r="O113" s="11">
        <v>45772</v>
      </c>
      <c r="P113" s="11">
        <v>45799</v>
      </c>
    </row>
    <row r="114" spans="9:16">
      <c r="I114" s="140"/>
      <c r="J114" s="145"/>
      <c r="K114" s="141"/>
      <c r="M114" s="8" t="s">
        <v>291</v>
      </c>
      <c r="N114" s="8" t="s">
        <v>276</v>
      </c>
      <c r="O114" s="11">
        <v>45800</v>
      </c>
      <c r="P114" s="11">
        <v>45827</v>
      </c>
    </row>
    <row r="115" spans="9:16">
      <c r="I115" s="140"/>
      <c r="J115" s="145"/>
      <c r="K115" s="141"/>
      <c r="M115" s="8" t="s">
        <v>293</v>
      </c>
      <c r="N115" s="8" t="s">
        <v>276</v>
      </c>
      <c r="O115" s="11">
        <v>45828</v>
      </c>
      <c r="P115" s="11">
        <v>45855</v>
      </c>
    </row>
    <row r="116" spans="9:16">
      <c r="I116" s="140"/>
      <c r="J116" s="145"/>
      <c r="K116" s="141"/>
      <c r="M116" s="8" t="s">
        <v>294</v>
      </c>
      <c r="N116" s="8" t="s">
        <v>276</v>
      </c>
      <c r="O116" s="11">
        <v>45856</v>
      </c>
      <c r="P116" s="11">
        <v>45883</v>
      </c>
    </row>
    <row r="117" spans="9:16">
      <c r="I117" s="140"/>
      <c r="J117" s="145"/>
      <c r="K117" s="141"/>
      <c r="M117" s="8" t="s">
        <v>295</v>
      </c>
      <c r="N117" s="8" t="s">
        <v>276</v>
      </c>
      <c r="O117" s="11">
        <v>45884</v>
      </c>
      <c r="P117" s="11">
        <v>45911</v>
      </c>
    </row>
    <row r="118" spans="9:16">
      <c r="I118" s="140"/>
      <c r="J118" s="145"/>
      <c r="K118" s="141"/>
      <c r="M118" s="14" t="s">
        <v>297</v>
      </c>
      <c r="N118" s="8" t="s">
        <v>276</v>
      </c>
      <c r="O118" s="11">
        <v>45912</v>
      </c>
      <c r="P118" s="11">
        <v>45939</v>
      </c>
    </row>
    <row r="119" spans="9:16">
      <c r="I119" s="140"/>
      <c r="J119" s="145"/>
      <c r="K119" s="141"/>
      <c r="M119" s="14" t="s">
        <v>298</v>
      </c>
      <c r="N119" s="8" t="s">
        <v>276</v>
      </c>
      <c r="O119" s="11">
        <v>45940</v>
      </c>
      <c r="P119" s="11">
        <v>45967</v>
      </c>
    </row>
    <row r="120" spans="9:16">
      <c r="I120" s="140"/>
      <c r="J120" s="145"/>
      <c r="K120" s="141"/>
      <c r="M120" s="14" t="s">
        <v>300</v>
      </c>
      <c r="N120" s="8" t="s">
        <v>276</v>
      </c>
      <c r="O120" s="11">
        <v>45968</v>
      </c>
      <c r="P120" s="11">
        <v>45995</v>
      </c>
    </row>
    <row r="121" spans="9:16">
      <c r="I121" s="140"/>
      <c r="J121" s="145"/>
      <c r="K121" s="141"/>
      <c r="M121" s="14" t="s">
        <v>302</v>
      </c>
      <c r="N121" s="8" t="s">
        <v>276</v>
      </c>
      <c r="O121" s="11">
        <v>45996</v>
      </c>
      <c r="P121" s="11">
        <v>46023</v>
      </c>
    </row>
    <row r="122" spans="9:16">
      <c r="I122" s="140"/>
      <c r="J122" s="145"/>
      <c r="K122" s="141"/>
      <c r="M122" s="14" t="s">
        <v>303</v>
      </c>
      <c r="N122" s="8" t="s">
        <v>276</v>
      </c>
      <c r="O122" s="11">
        <v>46024</v>
      </c>
      <c r="P122" s="11">
        <v>46049</v>
      </c>
    </row>
    <row r="123" spans="9:16">
      <c r="I123" s="140"/>
      <c r="J123" s="145"/>
      <c r="K123" s="141"/>
      <c r="M123" s="8" t="s">
        <v>304</v>
      </c>
      <c r="N123" s="8" t="s">
        <v>276</v>
      </c>
      <c r="O123" s="11">
        <v>46050</v>
      </c>
      <c r="P123" s="11">
        <v>46077</v>
      </c>
    </row>
    <row r="124" spans="9:16">
      <c r="I124" s="140"/>
      <c r="J124" s="145"/>
      <c r="K124" s="141"/>
      <c r="M124" s="8" t="s">
        <v>305</v>
      </c>
      <c r="N124" s="8" t="s">
        <v>276</v>
      </c>
      <c r="O124" s="11">
        <v>46078</v>
      </c>
      <c r="P124" s="11">
        <v>46105</v>
      </c>
    </row>
    <row r="125" spans="9:16">
      <c r="I125" s="140"/>
      <c r="J125" s="145"/>
      <c r="K125" s="141"/>
      <c r="M125" s="8" t="s">
        <v>306</v>
      </c>
      <c r="N125" s="8" t="s">
        <v>276</v>
      </c>
      <c r="O125" s="11">
        <v>46106</v>
      </c>
      <c r="P125" s="11">
        <v>46133</v>
      </c>
    </row>
    <row r="126" spans="9:16">
      <c r="I126" s="140"/>
      <c r="J126" s="145"/>
      <c r="K126" s="141"/>
      <c r="M126" s="8" t="s">
        <v>307</v>
      </c>
      <c r="N126" s="8" t="s">
        <v>276</v>
      </c>
      <c r="O126" s="11">
        <v>46134</v>
      </c>
      <c r="P126" s="11">
        <v>46161</v>
      </c>
    </row>
    <row r="127" spans="9:16">
      <c r="I127" s="140"/>
      <c r="J127" s="145"/>
      <c r="K127" s="141"/>
      <c r="M127" s="8" t="s">
        <v>309</v>
      </c>
      <c r="N127" s="8" t="s">
        <v>276</v>
      </c>
      <c r="O127" s="11">
        <v>46162</v>
      </c>
      <c r="P127" s="11">
        <v>46189</v>
      </c>
    </row>
    <row r="128" spans="9:16">
      <c r="I128" s="140"/>
      <c r="J128" s="145"/>
      <c r="K128" s="141"/>
      <c r="M128" s="8" t="s">
        <v>311</v>
      </c>
      <c r="N128" s="8" t="s">
        <v>276</v>
      </c>
      <c r="O128" s="11">
        <v>46190</v>
      </c>
      <c r="P128" s="11">
        <v>46217</v>
      </c>
    </row>
    <row r="129" spans="9:16">
      <c r="I129" s="140"/>
      <c r="J129" s="145"/>
      <c r="K129" s="141"/>
      <c r="M129" s="8" t="s">
        <v>312</v>
      </c>
      <c r="N129" s="8" t="s">
        <v>276</v>
      </c>
      <c r="O129" s="11">
        <v>46218</v>
      </c>
      <c r="P129" s="11">
        <v>46245</v>
      </c>
    </row>
    <row r="130" spans="9:16">
      <c r="I130" s="140"/>
      <c r="J130" s="145"/>
      <c r="K130" s="141"/>
      <c r="M130" s="8" t="s">
        <v>314</v>
      </c>
      <c r="N130" s="8" t="s">
        <v>276</v>
      </c>
      <c r="O130" s="11">
        <v>46246</v>
      </c>
      <c r="P130" s="11">
        <v>46273</v>
      </c>
    </row>
    <row r="131" spans="9:16">
      <c r="I131" s="140"/>
      <c r="J131" s="145"/>
      <c r="K131" s="141"/>
      <c r="M131" s="8" t="s">
        <v>316</v>
      </c>
      <c r="N131" s="8" t="s">
        <v>276</v>
      </c>
      <c r="O131" s="11">
        <v>46274</v>
      </c>
      <c r="P131" s="11">
        <v>46301</v>
      </c>
    </row>
    <row r="132" spans="9:16">
      <c r="I132" s="140"/>
      <c r="J132" s="145"/>
      <c r="K132" s="141"/>
      <c r="M132" s="8" t="s">
        <v>318</v>
      </c>
      <c r="N132" s="8" t="s">
        <v>276</v>
      </c>
      <c r="O132" s="11">
        <v>46302</v>
      </c>
      <c r="P132" s="11">
        <v>46329</v>
      </c>
    </row>
    <row r="133" spans="9:16">
      <c r="I133" s="140"/>
      <c r="J133" s="145"/>
      <c r="K133" s="141"/>
      <c r="M133" s="8" t="s">
        <v>320</v>
      </c>
      <c r="N133" s="8" t="s">
        <v>276</v>
      </c>
      <c r="O133" s="11">
        <v>46330</v>
      </c>
      <c r="P133" s="11">
        <v>46357</v>
      </c>
    </row>
    <row r="134" spans="9:16">
      <c r="I134" s="140"/>
      <c r="J134" s="145"/>
      <c r="K134" s="141"/>
      <c r="M134" s="8" t="s">
        <v>322</v>
      </c>
      <c r="N134" s="8" t="s">
        <v>276</v>
      </c>
      <c r="O134" s="11">
        <v>46358</v>
      </c>
      <c r="P134" s="11">
        <v>46385</v>
      </c>
    </row>
    <row r="135" spans="9:16">
      <c r="I135" s="140"/>
      <c r="J135" s="145"/>
      <c r="K135" s="141"/>
    </row>
    <row r="136" spans="9:16">
      <c r="I136" s="140"/>
      <c r="J136" s="145"/>
      <c r="K136" s="141"/>
    </row>
    <row r="137" spans="9:16">
      <c r="I137" s="140"/>
      <c r="J137" s="145"/>
      <c r="K137" s="141"/>
    </row>
    <row r="138" spans="9:16">
      <c r="I138" s="140"/>
      <c r="J138" s="145"/>
      <c r="K138" s="141"/>
    </row>
    <row r="139" spans="9:16">
      <c r="I139" s="140"/>
      <c r="J139" s="145"/>
      <c r="K139" s="141"/>
    </row>
    <row r="140" spans="9:16">
      <c r="I140" s="140"/>
      <c r="J140" s="145"/>
      <c r="K140" s="141"/>
    </row>
    <row r="141" spans="9:16">
      <c r="I141" s="140"/>
      <c r="J141" s="145"/>
      <c r="K141" s="141"/>
    </row>
    <row r="142" spans="9:16">
      <c r="I142" s="140"/>
      <c r="J142" s="145"/>
      <c r="K142" s="141"/>
    </row>
    <row r="143" spans="9:16">
      <c r="I143" s="140"/>
      <c r="J143" s="145"/>
      <c r="K143" s="141"/>
    </row>
    <row r="144" spans="9:16">
      <c r="I144" s="140"/>
      <c r="J144" s="145"/>
      <c r="K144" s="141"/>
    </row>
    <row r="145" spans="9:11">
      <c r="I145" s="140"/>
      <c r="J145" s="145"/>
      <c r="K145" s="141"/>
    </row>
    <row r="146" spans="9:11">
      <c r="I146" s="140"/>
      <c r="J146" s="145"/>
      <c r="K146" s="141"/>
    </row>
    <row r="147" spans="9:11">
      <c r="I147" s="140"/>
      <c r="J147" s="145"/>
      <c r="K147" s="141"/>
    </row>
    <row r="148" spans="9:11">
      <c r="I148" s="140"/>
      <c r="J148" s="145"/>
      <c r="K148" s="141"/>
    </row>
    <row r="149" spans="9:11">
      <c r="I149" s="140"/>
      <c r="J149" s="145"/>
      <c r="K149" s="141"/>
    </row>
    <row r="150" spans="9:11">
      <c r="I150" s="140"/>
      <c r="J150" s="145"/>
      <c r="K150" s="141"/>
    </row>
    <row r="151" spans="9:11">
      <c r="I151" s="140"/>
      <c r="J151" s="145"/>
      <c r="K151" s="141"/>
    </row>
    <row r="152" spans="9:11">
      <c r="I152" s="140"/>
      <c r="J152" s="145"/>
      <c r="K152" s="141"/>
    </row>
    <row r="153" spans="9:11">
      <c r="I153" s="140"/>
      <c r="J153" s="145"/>
      <c r="K153" s="141"/>
    </row>
    <row r="154" spans="9:11">
      <c r="I154" s="140"/>
      <c r="J154" s="145"/>
      <c r="K154" s="141"/>
    </row>
    <row r="155" spans="9:11">
      <c r="I155" s="140"/>
      <c r="J155" s="145"/>
      <c r="K155" s="141"/>
    </row>
    <row r="156" spans="9:11">
      <c r="I156" s="140"/>
      <c r="J156" s="145"/>
      <c r="K156" s="141"/>
    </row>
    <row r="157" spans="9:11">
      <c r="I157" s="140"/>
      <c r="J157" s="145"/>
      <c r="K157" s="141"/>
    </row>
    <row r="158" spans="9:11">
      <c r="I158" s="140"/>
      <c r="J158" s="145"/>
      <c r="K158" s="141"/>
    </row>
    <row r="159" spans="9:11">
      <c r="I159" s="140"/>
      <c r="J159" s="145"/>
      <c r="K159" s="141"/>
    </row>
    <row r="160" spans="9:11">
      <c r="I160" s="140"/>
      <c r="J160" s="145"/>
      <c r="K160" s="141"/>
    </row>
    <row r="161" spans="9:11">
      <c r="I161" s="140"/>
      <c r="J161" s="145"/>
      <c r="K161" s="141"/>
    </row>
    <row r="162" spans="9:11">
      <c r="I162" s="140"/>
      <c r="J162" s="145"/>
      <c r="K162" s="141"/>
    </row>
    <row r="163" spans="9:11">
      <c r="I163" s="140"/>
      <c r="J163" s="145"/>
      <c r="K163" s="141"/>
    </row>
    <row r="164" spans="9:11">
      <c r="I164" s="140"/>
      <c r="J164" s="145"/>
      <c r="K164" s="141"/>
    </row>
    <row r="165" spans="9:11">
      <c r="I165" s="140"/>
      <c r="J165" s="145"/>
      <c r="K165" s="141"/>
    </row>
    <row r="166" spans="9:11">
      <c r="I166" s="140"/>
      <c r="J166" s="145"/>
      <c r="K166" s="141"/>
    </row>
    <row r="167" spans="9:11">
      <c r="I167" s="140"/>
      <c r="J167" s="145"/>
      <c r="K167" s="141"/>
    </row>
    <row r="168" spans="9:11">
      <c r="I168" s="140"/>
      <c r="J168" s="145"/>
      <c r="K168" s="141"/>
    </row>
    <row r="169" spans="9:11">
      <c r="I169" s="140"/>
      <c r="J169" s="145"/>
      <c r="K169" s="141"/>
    </row>
    <row r="170" spans="9:11">
      <c r="I170" s="140"/>
      <c r="J170" s="145"/>
      <c r="K170" s="141"/>
    </row>
    <row r="171" spans="9:11">
      <c r="I171" s="140"/>
      <c r="J171" s="145"/>
      <c r="K171" s="141"/>
    </row>
    <row r="172" spans="9:11">
      <c r="I172" s="140"/>
      <c r="J172" s="145"/>
      <c r="K172" s="141"/>
    </row>
    <row r="173" spans="9:11">
      <c r="I173" s="140"/>
      <c r="J173" s="145"/>
      <c r="K173" s="141"/>
    </row>
    <row r="174" spans="9:11">
      <c r="I174" s="140"/>
      <c r="J174" s="145"/>
      <c r="K174" s="141"/>
    </row>
    <row r="175" spans="9:11">
      <c r="I175" s="140"/>
      <c r="J175" s="145"/>
      <c r="K175" s="141"/>
    </row>
    <row r="176" spans="9:11">
      <c r="I176" s="140"/>
      <c r="J176" s="145"/>
      <c r="K176" s="141"/>
    </row>
    <row r="177" spans="9:11">
      <c r="I177" s="140"/>
      <c r="J177" s="145"/>
      <c r="K177" s="141"/>
    </row>
    <row r="178" spans="9:11">
      <c r="I178" s="140"/>
      <c r="J178" s="145"/>
      <c r="K178" s="141"/>
    </row>
    <row r="179" spans="9:11">
      <c r="I179" s="140"/>
      <c r="J179" s="145"/>
      <c r="K179" s="141"/>
    </row>
    <row r="180" spans="9:11">
      <c r="I180" s="140"/>
      <c r="J180" s="145"/>
      <c r="K180" s="141"/>
    </row>
    <row r="181" spans="9:11">
      <c r="I181" s="140"/>
      <c r="J181" s="145"/>
      <c r="K181" s="141"/>
    </row>
    <row r="182" spans="9:11">
      <c r="I182" s="140"/>
      <c r="J182" s="145"/>
      <c r="K182" s="141"/>
    </row>
    <row r="183" spans="9:11">
      <c r="I183" s="140"/>
      <c r="J183" s="145"/>
      <c r="K183" s="141"/>
    </row>
    <row r="184" spans="9:11">
      <c r="I184" s="140"/>
      <c r="J184" s="145"/>
      <c r="K184" s="141"/>
    </row>
    <row r="185" spans="9:11">
      <c r="I185" s="140"/>
      <c r="J185" s="145"/>
      <c r="K185" s="141"/>
    </row>
    <row r="186" spans="9:11">
      <c r="I186" s="140"/>
      <c r="J186" s="145"/>
      <c r="K186" s="141"/>
    </row>
    <row r="187" spans="9:11">
      <c r="I187" s="140"/>
      <c r="J187" s="145"/>
      <c r="K187" s="141"/>
    </row>
    <row r="188" spans="9:11">
      <c r="I188" s="140"/>
      <c r="J188" s="145"/>
      <c r="K188" s="141"/>
    </row>
    <row r="189" spans="9:11">
      <c r="I189" s="140"/>
      <c r="J189" s="145"/>
      <c r="K189" s="141"/>
    </row>
    <row r="190" spans="9:11">
      <c r="I190" s="140"/>
      <c r="J190" s="145"/>
      <c r="K190" s="141"/>
    </row>
    <row r="191" spans="9:11">
      <c r="I191" s="140"/>
      <c r="J191" s="145"/>
      <c r="K191" s="141"/>
    </row>
    <row r="192" spans="9:11">
      <c r="I192" s="140"/>
      <c r="J192" s="145"/>
      <c r="K192" s="141"/>
    </row>
    <row r="193" spans="9:11">
      <c r="I193" s="140"/>
      <c r="J193" s="145"/>
      <c r="K193" s="141"/>
    </row>
    <row r="194" spans="9:11">
      <c r="I194" s="140" t="s">
        <v>332</v>
      </c>
      <c r="J194" s="145" t="s">
        <v>333</v>
      </c>
      <c r="K194" s="141" t="s">
        <v>276</v>
      </c>
    </row>
    <row r="195" spans="9:11">
      <c r="I195" s="140" t="s">
        <v>334</v>
      </c>
      <c r="J195" s="145" t="s">
        <v>335</v>
      </c>
      <c r="K195" s="141" t="s">
        <v>276</v>
      </c>
    </row>
    <row r="196" spans="9:11">
      <c r="I196" s="140" t="s">
        <v>336</v>
      </c>
      <c r="J196" s="145" t="s">
        <v>337</v>
      </c>
      <c r="K196" s="141" t="s">
        <v>276</v>
      </c>
    </row>
    <row r="197" spans="9:11">
      <c r="I197" s="140" t="s">
        <v>338</v>
      </c>
      <c r="J197" s="145" t="s">
        <v>339</v>
      </c>
      <c r="K197" s="141" t="s">
        <v>276</v>
      </c>
    </row>
    <row r="198" spans="9:11">
      <c r="I198" s="140"/>
      <c r="J198" s="145"/>
      <c r="K198" s="141"/>
    </row>
    <row r="199" spans="9:11">
      <c r="I199" s="140" t="s">
        <v>340</v>
      </c>
      <c r="J199" s="145" t="s">
        <v>341</v>
      </c>
      <c r="K199" s="141" t="s">
        <v>276</v>
      </c>
    </row>
    <row r="200" spans="9:11">
      <c r="I200" s="140" t="s">
        <v>342</v>
      </c>
      <c r="J200" s="145" t="s">
        <v>343</v>
      </c>
      <c r="K200" s="141" t="s">
        <v>276</v>
      </c>
    </row>
    <row r="201" spans="9:11">
      <c r="I201" s="140" t="s">
        <v>344</v>
      </c>
      <c r="J201" s="145" t="s">
        <v>345</v>
      </c>
      <c r="K201" s="141" t="s">
        <v>276</v>
      </c>
    </row>
    <row r="202" spans="9:11">
      <c r="I202" s="140" t="s">
        <v>346</v>
      </c>
      <c r="J202" s="145" t="s">
        <v>347</v>
      </c>
      <c r="K202" s="141" t="s">
        <v>276</v>
      </c>
    </row>
    <row r="203" spans="9:11">
      <c r="I203" s="140" t="s">
        <v>348</v>
      </c>
      <c r="J203" s="145" t="s">
        <v>349</v>
      </c>
      <c r="K203" s="141" t="s">
        <v>276</v>
      </c>
    </row>
    <row r="204" spans="9:11">
      <c r="I204" s="140" t="s">
        <v>350</v>
      </c>
      <c r="J204" s="145" t="s">
        <v>351</v>
      </c>
      <c r="K204" s="141" t="s">
        <v>276</v>
      </c>
    </row>
    <row r="205" spans="9:11">
      <c r="I205" s="140" t="s">
        <v>352</v>
      </c>
      <c r="J205" s="145" t="s">
        <v>353</v>
      </c>
      <c r="K205" s="141" t="s">
        <v>276</v>
      </c>
    </row>
    <row r="206" spans="9:11">
      <c r="I206" s="140" t="s">
        <v>354</v>
      </c>
      <c r="J206" s="145" t="s">
        <v>355</v>
      </c>
      <c r="K206" s="141" t="s">
        <v>276</v>
      </c>
    </row>
    <row r="207" spans="9:11">
      <c r="I207" s="140" t="s">
        <v>356</v>
      </c>
      <c r="J207" s="145" t="s">
        <v>357</v>
      </c>
      <c r="K207" s="141" t="s">
        <v>276</v>
      </c>
    </row>
    <row r="208" spans="9:11">
      <c r="I208" s="140" t="s">
        <v>358</v>
      </c>
      <c r="J208" s="145" t="s">
        <v>359</v>
      </c>
      <c r="K208" s="141" t="s">
        <v>276</v>
      </c>
    </row>
    <row r="209" spans="9:11">
      <c r="I209" s="140" t="s">
        <v>360</v>
      </c>
      <c r="J209" s="145" t="s">
        <v>361</v>
      </c>
      <c r="K209" s="141" t="s">
        <v>276</v>
      </c>
    </row>
    <row r="210" spans="9:11">
      <c r="I210" s="140" t="s">
        <v>362</v>
      </c>
      <c r="J210" s="145" t="s">
        <v>363</v>
      </c>
      <c r="K210" s="141" t="s">
        <v>276</v>
      </c>
    </row>
    <row r="211" spans="9:11">
      <c r="I211" s="140" t="s">
        <v>364</v>
      </c>
      <c r="J211" s="145" t="s">
        <v>365</v>
      </c>
      <c r="K211" s="141" t="s">
        <v>276</v>
      </c>
    </row>
    <row r="212" spans="9:11">
      <c r="I212" s="140" t="s">
        <v>366</v>
      </c>
      <c r="J212" s="145" t="s">
        <v>367</v>
      </c>
      <c r="K212" s="141" t="s">
        <v>276</v>
      </c>
    </row>
    <row r="213" spans="9:11">
      <c r="I213" s="140" t="s">
        <v>368</v>
      </c>
      <c r="J213" s="145" t="s">
        <v>369</v>
      </c>
      <c r="K213" s="141" t="s">
        <v>276</v>
      </c>
    </row>
    <row r="214" spans="9:11">
      <c r="I214" s="140" t="s">
        <v>370</v>
      </c>
      <c r="J214" s="145" t="s">
        <v>371</v>
      </c>
      <c r="K214" s="141" t="s">
        <v>276</v>
      </c>
    </row>
    <row r="215" spans="9:11">
      <c r="I215" s="140" t="s">
        <v>372</v>
      </c>
      <c r="J215" s="145" t="s">
        <v>373</v>
      </c>
      <c r="K215" s="141" t="s">
        <v>276</v>
      </c>
    </row>
    <row r="216" spans="9:11">
      <c r="I216" s="140" t="s">
        <v>374</v>
      </c>
      <c r="J216" s="145" t="s">
        <v>375</v>
      </c>
      <c r="K216" s="141" t="s">
        <v>276</v>
      </c>
    </row>
    <row r="217" spans="9:11">
      <c r="I217" s="159" t="s">
        <v>376</v>
      </c>
      <c r="J217" s="160" t="s">
        <v>377</v>
      </c>
      <c r="K217" s="156" t="s">
        <v>276</v>
      </c>
    </row>
    <row r="218" spans="9:11">
      <c r="I218" s="140" t="s">
        <v>378</v>
      </c>
      <c r="J218" s="145" t="s">
        <v>379</v>
      </c>
      <c r="K218" s="141" t="s">
        <v>276</v>
      </c>
    </row>
    <row r="219" spans="9:11">
      <c r="I219" s="140" t="s">
        <v>380</v>
      </c>
      <c r="J219" s="145" t="s">
        <v>381</v>
      </c>
      <c r="K219" s="141" t="s">
        <v>276</v>
      </c>
    </row>
    <row r="220" spans="9:11">
      <c r="I220" s="140" t="s">
        <v>382</v>
      </c>
      <c r="J220" s="145" t="s">
        <v>383</v>
      </c>
      <c r="K220" s="141" t="s">
        <v>276</v>
      </c>
    </row>
    <row r="221" spans="9:11">
      <c r="I221" s="140" t="s">
        <v>384</v>
      </c>
      <c r="J221" s="145" t="s">
        <v>385</v>
      </c>
      <c r="K221" s="141" t="s">
        <v>276</v>
      </c>
    </row>
    <row r="222" spans="9:11">
      <c r="I222" s="140" t="s">
        <v>386</v>
      </c>
      <c r="J222" s="145" t="s">
        <v>387</v>
      </c>
      <c r="K222" s="141" t="s">
        <v>276</v>
      </c>
    </row>
    <row r="223" spans="9:11" ht="15.75">
      <c r="I223" s="154" t="s">
        <v>388</v>
      </c>
      <c r="J223" s="155" t="s">
        <v>389</v>
      </c>
      <c r="K223" s="156" t="s">
        <v>276</v>
      </c>
    </row>
    <row r="224" spans="9:11">
      <c r="I224" s="140" t="s">
        <v>390</v>
      </c>
      <c r="J224" s="145" t="s">
        <v>391</v>
      </c>
      <c r="K224" s="141" t="s">
        <v>276</v>
      </c>
    </row>
    <row r="225" spans="9:11">
      <c r="I225" s="140" t="s">
        <v>392</v>
      </c>
      <c r="J225" s="145" t="s">
        <v>393</v>
      </c>
      <c r="K225" s="141" t="s">
        <v>276</v>
      </c>
    </row>
    <row r="226" spans="9:11">
      <c r="I226" s="140" t="s">
        <v>394</v>
      </c>
      <c r="J226" s="145" t="s">
        <v>395</v>
      </c>
      <c r="K226" s="141" t="s">
        <v>276</v>
      </c>
    </row>
    <row r="227" spans="9:11">
      <c r="I227" s="140" t="s">
        <v>396</v>
      </c>
      <c r="J227" s="145" t="s">
        <v>397</v>
      </c>
      <c r="K227" s="141" t="s">
        <v>276</v>
      </c>
    </row>
    <row r="228" spans="9:11">
      <c r="I228" s="140" t="s">
        <v>398</v>
      </c>
      <c r="J228" s="145" t="s">
        <v>399</v>
      </c>
      <c r="K228" s="141" t="s">
        <v>276</v>
      </c>
    </row>
    <row r="229" spans="9:11">
      <c r="I229" s="140" t="s">
        <v>400</v>
      </c>
      <c r="J229" s="145" t="s">
        <v>401</v>
      </c>
      <c r="K229" s="141" t="s">
        <v>276</v>
      </c>
    </row>
    <row r="230" spans="9:11">
      <c r="I230" s="140" t="s">
        <v>402</v>
      </c>
      <c r="J230" s="145" t="s">
        <v>403</v>
      </c>
      <c r="K230" s="141" t="s">
        <v>276</v>
      </c>
    </row>
    <row r="231" spans="9:11">
      <c r="I231" s="140" t="s">
        <v>404</v>
      </c>
      <c r="J231" s="145" t="s">
        <v>405</v>
      </c>
      <c r="K231" s="141" t="s">
        <v>276</v>
      </c>
    </row>
    <row r="232" spans="9:11">
      <c r="I232" s="140" t="s">
        <v>406</v>
      </c>
      <c r="J232" s="145" t="s">
        <v>407</v>
      </c>
      <c r="K232" s="141" t="s">
        <v>276</v>
      </c>
    </row>
    <row r="233" spans="9:11">
      <c r="I233" s="140" t="s">
        <v>408</v>
      </c>
      <c r="J233" s="145" t="s">
        <v>409</v>
      </c>
      <c r="K233" s="141" t="s">
        <v>276</v>
      </c>
    </row>
    <row r="234" spans="9:11">
      <c r="I234" s="140" t="s">
        <v>410</v>
      </c>
      <c r="J234" s="145" t="s">
        <v>411</v>
      </c>
      <c r="K234" s="141" t="s">
        <v>276</v>
      </c>
    </row>
    <row r="235" spans="9:11">
      <c r="I235" s="140" t="s">
        <v>412</v>
      </c>
      <c r="J235" s="145" t="s">
        <v>413</v>
      </c>
      <c r="K235" s="141" t="s">
        <v>276</v>
      </c>
    </row>
    <row r="236" spans="9:11">
      <c r="I236" s="140" t="s">
        <v>414</v>
      </c>
      <c r="J236" s="145" t="s">
        <v>415</v>
      </c>
      <c r="K236" s="141" t="s">
        <v>276</v>
      </c>
    </row>
    <row r="237" spans="9:11">
      <c r="I237" s="140" t="s">
        <v>416</v>
      </c>
      <c r="J237" s="145" t="s">
        <v>417</v>
      </c>
      <c r="K237" s="141" t="s">
        <v>276</v>
      </c>
    </row>
    <row r="238" spans="9:11">
      <c r="I238" s="140" t="s">
        <v>418</v>
      </c>
      <c r="J238" s="145" t="s">
        <v>419</v>
      </c>
      <c r="K238" s="141" t="s">
        <v>276</v>
      </c>
    </row>
    <row r="239" spans="9:11">
      <c r="I239" s="140" t="s">
        <v>420</v>
      </c>
      <c r="J239" s="145" t="s">
        <v>421</v>
      </c>
      <c r="K239" s="141" t="s">
        <v>276</v>
      </c>
    </row>
    <row r="240" spans="9:11">
      <c r="I240" s="140" t="s">
        <v>422</v>
      </c>
      <c r="J240" s="145" t="s">
        <v>423</v>
      </c>
      <c r="K240" s="141" t="s">
        <v>276</v>
      </c>
    </row>
    <row r="241" spans="9:11">
      <c r="I241" s="140" t="s">
        <v>424</v>
      </c>
      <c r="J241" s="145" t="s">
        <v>425</v>
      </c>
      <c r="K241" s="141" t="s">
        <v>276</v>
      </c>
    </row>
    <row r="242" spans="9:11">
      <c r="I242" s="140" t="s">
        <v>426</v>
      </c>
      <c r="J242" s="145" t="s">
        <v>427</v>
      </c>
      <c r="K242" s="141" t="s">
        <v>276</v>
      </c>
    </row>
    <row r="243" spans="9:11">
      <c r="I243" s="140" t="s">
        <v>428</v>
      </c>
      <c r="J243" s="145" t="s">
        <v>429</v>
      </c>
      <c r="K243" s="141" t="s">
        <v>276</v>
      </c>
    </row>
    <row r="244" spans="9:11">
      <c r="I244" s="140" t="s">
        <v>430</v>
      </c>
      <c r="J244" s="145" t="s">
        <v>431</v>
      </c>
      <c r="K244" s="141" t="s">
        <v>276</v>
      </c>
    </row>
    <row r="245" spans="9:11">
      <c r="I245" s="140" t="s">
        <v>432</v>
      </c>
      <c r="J245" s="145" t="s">
        <v>433</v>
      </c>
      <c r="K245" s="141" t="s">
        <v>276</v>
      </c>
    </row>
    <row r="246" spans="9:11">
      <c r="I246" s="140" t="s">
        <v>434</v>
      </c>
      <c r="J246" s="145" t="s">
        <v>435</v>
      </c>
      <c r="K246" s="141" t="s">
        <v>276</v>
      </c>
    </row>
    <row r="247" spans="9:11">
      <c r="I247" s="140" t="s">
        <v>436</v>
      </c>
      <c r="J247" s="145" t="s">
        <v>437</v>
      </c>
      <c r="K247" s="141" t="s">
        <v>276</v>
      </c>
    </row>
    <row r="248" spans="9:11">
      <c r="I248" s="140" t="s">
        <v>438</v>
      </c>
      <c r="J248" s="145" t="s">
        <v>439</v>
      </c>
      <c r="K248" s="141" t="s">
        <v>276</v>
      </c>
    </row>
    <row r="249" spans="9:11" ht="15.75" thickBot="1">
      <c r="I249" s="142" t="s">
        <v>440</v>
      </c>
      <c r="J249" s="146" t="s">
        <v>441</v>
      </c>
      <c r="K249" s="143" t="s">
        <v>276</v>
      </c>
    </row>
  </sheetData>
  <sheetProtection selectLockedCells="1" selectUnlockedCells="1"/>
  <autoFilter ref="A1:K249" xr:uid="{51CC848D-D542-41C2-927E-2167EEBAECFF}"/>
  <sortState xmlns:xlrd2="http://schemas.microsoft.com/office/spreadsheetml/2017/richdata2" ref="I2:K249">
    <sortCondition ref="K2:K249"/>
    <sortCondition ref="I2:I249"/>
  </sortState>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7253-58B1-4CF3-8685-A5C145AD241E}">
  <sheetPr>
    <tabColor theme="9"/>
    <pageSetUpPr fitToPage="1"/>
  </sheetPr>
  <dimension ref="A1:BK74"/>
  <sheetViews>
    <sheetView showGridLines="0" tabSelected="1" zoomScale="70" zoomScaleNormal="70" workbookViewId="0">
      <pane xSplit="4" ySplit="15" topLeftCell="E35" activePane="bottomRight" state="frozen"/>
      <selection pane="topRight" activeCell="C1" sqref="C1"/>
      <selection pane="bottomLeft" activeCell="A14" sqref="A14"/>
      <selection pane="bottomRight" activeCell="N62" sqref="N62"/>
    </sheetView>
  </sheetViews>
  <sheetFormatPr defaultColWidth="9.28515625" defaultRowHeight="15" outlineLevelRow="1"/>
  <cols>
    <col min="1" max="1" width="14" customWidth="1"/>
    <col min="2" max="3" width="24" bestFit="1" customWidth="1"/>
    <col min="4" max="4" width="14" customWidth="1"/>
    <col min="5" max="8" width="22.5703125" style="43" customWidth="1"/>
    <col min="9" max="35" width="22.5703125" style="78" customWidth="1"/>
    <col min="36" max="36" width="22.5703125" style="191" customWidth="1"/>
    <col min="37" max="50" width="22.5703125" style="78" customWidth="1"/>
    <col min="51" max="59" width="22.5703125" style="43" customWidth="1"/>
    <col min="60" max="63" width="24.28515625" style="43" customWidth="1"/>
  </cols>
  <sheetData>
    <row r="1" spans="1:63" s="43" customFormat="1" ht="13.5"/>
    <row r="2" spans="1:63" s="43" customFormat="1" ht="13.5"/>
    <row r="3" spans="1:63" s="43" customFormat="1" ht="13.5"/>
    <row r="4" spans="1:63" s="43" customFormat="1" ht="13.5"/>
    <row r="5" spans="1:63" s="186" customFormat="1" ht="17.25" thickBot="1">
      <c r="E5" s="43"/>
      <c r="F5" s="43"/>
      <c r="G5" s="43"/>
      <c r="H5" s="43"/>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191"/>
      <c r="AK5" s="78"/>
      <c r="AL5" s="78"/>
      <c r="AM5" s="78"/>
      <c r="AN5" s="78"/>
      <c r="AO5" s="78"/>
      <c r="AP5" s="78"/>
      <c r="AQ5" s="78"/>
      <c r="AR5" s="78"/>
      <c r="AS5" s="78"/>
      <c r="AT5" s="78"/>
      <c r="AU5" s="78"/>
      <c r="AV5" s="78"/>
      <c r="AW5" s="78"/>
      <c r="AX5" s="78"/>
      <c r="AY5" s="43"/>
      <c r="AZ5" s="43"/>
      <c r="BA5" s="43"/>
      <c r="BB5" s="43"/>
      <c r="BC5" s="43"/>
      <c r="BD5" s="43"/>
      <c r="BE5" s="43"/>
      <c r="BF5" s="43"/>
      <c r="BG5" s="43"/>
      <c r="BH5" s="43"/>
      <c r="BI5" s="43"/>
      <c r="BJ5" s="43"/>
      <c r="BK5" s="43"/>
    </row>
    <row r="6" spans="1:63" s="192" customFormat="1" ht="16.5" thickBot="1">
      <c r="E6" s="385" t="s">
        <v>94</v>
      </c>
      <c r="F6" s="386"/>
      <c r="G6" s="193"/>
      <c r="H6" s="193"/>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191"/>
      <c r="AK6" s="78"/>
      <c r="AL6" s="78"/>
      <c r="AM6" s="78"/>
      <c r="AN6" s="78"/>
      <c r="AO6" s="78"/>
      <c r="AP6" s="78"/>
      <c r="AQ6" s="78"/>
      <c r="AR6" s="78"/>
      <c r="AS6" s="78"/>
      <c r="AT6" s="78"/>
      <c r="AU6" s="78"/>
      <c r="AV6" s="78"/>
      <c r="AW6" s="78"/>
      <c r="AX6" s="78"/>
      <c r="AY6" s="193"/>
      <c r="AZ6" s="193"/>
      <c r="BA6" s="193"/>
      <c r="BB6" s="193"/>
      <c r="BC6" s="193"/>
      <c r="BD6" s="193"/>
      <c r="BE6" s="193"/>
      <c r="BF6" s="193"/>
      <c r="BG6" s="193"/>
      <c r="BH6" s="193"/>
      <c r="BI6" s="193"/>
      <c r="BJ6" s="193"/>
      <c r="BK6" s="193"/>
    </row>
    <row r="7" spans="1:63" s="192" customFormat="1" ht="13.5">
      <c r="E7" s="194" t="s">
        <v>95</v>
      </c>
      <c r="F7" s="195" t="s">
        <v>96</v>
      </c>
      <c r="G7" s="193"/>
      <c r="H7" s="193"/>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191"/>
      <c r="AK7" s="78"/>
      <c r="AL7" s="78"/>
      <c r="AM7" s="78"/>
      <c r="AN7" s="78"/>
      <c r="AO7" s="78"/>
      <c r="AP7" s="78"/>
      <c r="AQ7" s="78"/>
      <c r="AR7" s="78"/>
      <c r="AS7" s="78"/>
      <c r="AT7" s="78"/>
      <c r="AU7" s="78"/>
      <c r="AV7" s="78"/>
      <c r="AW7" s="78"/>
      <c r="AX7" s="78"/>
      <c r="AY7" s="193"/>
      <c r="AZ7" s="193"/>
      <c r="BA7" s="193"/>
      <c r="BB7" s="193"/>
      <c r="BC7" s="193"/>
      <c r="BD7" s="193"/>
      <c r="BE7" s="193"/>
      <c r="BF7" s="193"/>
      <c r="BG7" s="193"/>
      <c r="BH7" s="193"/>
      <c r="BI7" s="193"/>
      <c r="BJ7" s="193"/>
      <c r="BK7" s="193"/>
    </row>
    <row r="8" spans="1:63" s="192" customFormat="1" ht="40.5">
      <c r="E8" s="196" t="s">
        <v>97</v>
      </c>
      <c r="F8" s="197" t="s">
        <v>98</v>
      </c>
      <c r="G8" s="198"/>
      <c r="H8" s="198"/>
      <c r="I8" s="199"/>
      <c r="J8" s="199"/>
      <c r="K8" s="199"/>
      <c r="L8" s="199"/>
      <c r="M8" s="199"/>
      <c r="N8" s="199"/>
      <c r="O8" s="199"/>
      <c r="P8" s="199"/>
      <c r="Q8" s="199"/>
      <c r="R8" s="199"/>
      <c r="S8" s="199"/>
      <c r="T8" s="199"/>
      <c r="U8" s="199"/>
      <c r="V8" s="199"/>
      <c r="W8" s="199"/>
      <c r="X8" s="199"/>
      <c r="Y8" s="199"/>
      <c r="Z8" s="199"/>
      <c r="AA8" s="199"/>
      <c r="AB8" s="199"/>
      <c r="AC8" s="199"/>
      <c r="AD8" s="199"/>
      <c r="AE8" s="199"/>
      <c r="AF8" s="199"/>
      <c r="AG8" s="199"/>
      <c r="AJ8" s="200"/>
      <c r="AK8" s="199"/>
      <c r="AL8" s="199"/>
      <c r="AM8" s="199"/>
      <c r="AN8" s="199"/>
      <c r="AO8" s="199"/>
      <c r="AP8" s="199"/>
      <c r="AQ8" s="199"/>
      <c r="AR8" s="199"/>
      <c r="AS8" s="199"/>
      <c r="AT8" s="199"/>
      <c r="AU8" s="199"/>
      <c r="AV8" s="199"/>
      <c r="AW8" s="201"/>
      <c r="AX8" s="201"/>
      <c r="AY8" s="198"/>
      <c r="AZ8" s="198"/>
      <c r="BA8" s="198"/>
      <c r="BB8" s="198"/>
      <c r="BC8" s="198"/>
      <c r="BD8" s="198"/>
      <c r="BE8" s="198"/>
      <c r="BF8" s="198"/>
      <c r="BG8" s="198"/>
      <c r="BH8" s="198"/>
      <c r="BI8" s="198"/>
      <c r="BJ8" s="198"/>
      <c r="BK8" s="193"/>
    </row>
    <row r="9" spans="1:63" s="192" customFormat="1" ht="13.5">
      <c r="E9" s="196" t="s">
        <v>99</v>
      </c>
      <c r="F9" s="197" t="s">
        <v>100</v>
      </c>
      <c r="G9" s="198"/>
      <c r="H9" s="198"/>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J9" s="200"/>
      <c r="AK9" s="199"/>
      <c r="AL9" s="199"/>
      <c r="AM9" s="199"/>
      <c r="AN9" s="199"/>
      <c r="AO9" s="199"/>
      <c r="AP9" s="199"/>
      <c r="AQ9" s="199"/>
      <c r="AR9" s="199"/>
      <c r="AS9" s="199"/>
      <c r="AT9" s="199"/>
      <c r="AU9" s="199"/>
      <c r="AV9" s="199"/>
      <c r="AW9" s="201"/>
      <c r="AX9" s="201"/>
      <c r="AY9" s="198"/>
      <c r="AZ9" s="198"/>
      <c r="BA9" s="198"/>
      <c r="BB9" s="198"/>
      <c r="BC9" s="198"/>
      <c r="BD9" s="198"/>
      <c r="BE9" s="198"/>
      <c r="BF9" s="198"/>
      <c r="BG9" s="198"/>
      <c r="BH9" s="198"/>
      <c r="BI9" s="198"/>
      <c r="BJ9" s="198"/>
      <c r="BK9" s="193"/>
    </row>
    <row r="10" spans="1:63" s="192" customFormat="1" ht="14.25" thickBot="1">
      <c r="E10" s="202"/>
      <c r="F10" s="203" t="s">
        <v>101</v>
      </c>
      <c r="G10" s="198"/>
      <c r="H10" s="198"/>
      <c r="I10" s="199"/>
      <c r="J10" s="199"/>
      <c r="K10" s="199"/>
      <c r="L10" s="199"/>
      <c r="M10" s="199"/>
      <c r="N10" s="199"/>
      <c r="O10" s="199"/>
      <c r="P10" s="199"/>
      <c r="Q10" s="199"/>
      <c r="R10" s="199"/>
      <c r="S10" s="199"/>
      <c r="T10" s="199"/>
      <c r="U10" s="199"/>
      <c r="V10" s="199"/>
      <c r="X10" s="199"/>
      <c r="Y10" s="199"/>
      <c r="Z10" s="199"/>
      <c r="AA10" s="199"/>
      <c r="AB10" s="199"/>
      <c r="AC10" s="199"/>
      <c r="AD10" s="199"/>
      <c r="AE10" s="199"/>
      <c r="AF10" s="199"/>
      <c r="AG10" s="199"/>
      <c r="AJ10" s="200"/>
      <c r="AK10" s="199"/>
      <c r="AL10" s="199"/>
      <c r="AM10" s="199"/>
      <c r="AN10" s="199"/>
      <c r="AO10" s="199"/>
      <c r="AP10" s="199"/>
      <c r="AQ10" s="199"/>
      <c r="AR10" s="199"/>
      <c r="AS10" s="199"/>
      <c r="AT10" s="199"/>
      <c r="AU10" s="199"/>
      <c r="AV10" s="199"/>
      <c r="AW10" s="201"/>
      <c r="AX10" s="201"/>
      <c r="AY10" s="198"/>
      <c r="AZ10" s="198"/>
      <c r="BA10" s="198"/>
      <c r="BB10" s="198"/>
      <c r="BC10" s="198"/>
      <c r="BD10" s="198"/>
      <c r="BE10" s="198"/>
      <c r="BF10" s="198"/>
      <c r="BG10" s="198"/>
      <c r="BH10" s="198"/>
      <c r="BI10" s="198"/>
      <c r="BJ10" s="198"/>
      <c r="BK10" s="193"/>
    </row>
    <row r="11" spans="1:63" s="192" customFormat="1" ht="14.25" thickBot="1">
      <c r="E11" s="44"/>
      <c r="F11" s="204"/>
      <c r="G11" s="204"/>
      <c r="H11" s="204"/>
      <c r="I11" s="204"/>
      <c r="J11" s="44"/>
      <c r="K11" s="44"/>
      <c r="L11" s="44"/>
      <c r="M11" s="44"/>
      <c r="N11" s="205"/>
      <c r="O11" s="205"/>
      <c r="P11" s="44"/>
      <c r="Q11" s="44"/>
      <c r="R11" s="44"/>
      <c r="S11" s="44"/>
      <c r="T11" s="44"/>
      <c r="U11" s="44"/>
      <c r="V11" s="44"/>
      <c r="W11" s="199"/>
      <c r="X11" s="44"/>
      <c r="Y11" s="44"/>
      <c r="Z11" s="44"/>
      <c r="AA11" s="44"/>
      <c r="AB11" s="44"/>
      <c r="AC11" s="44"/>
      <c r="AD11" s="44"/>
      <c r="AE11" s="44"/>
      <c r="AF11" s="44"/>
      <c r="AG11" s="44"/>
      <c r="AH11" s="44"/>
      <c r="AI11" s="44"/>
      <c r="AJ11" s="200"/>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row>
    <row r="12" spans="1:63" s="192" customFormat="1" ht="15.75" customHeight="1">
      <c r="A12" s="387" t="s">
        <v>9</v>
      </c>
      <c r="B12" s="387" t="s">
        <v>63</v>
      </c>
      <c r="C12" s="387" t="s">
        <v>67</v>
      </c>
      <c r="D12" s="387" t="s">
        <v>65</v>
      </c>
      <c r="E12" s="369" t="s">
        <v>105</v>
      </c>
      <c r="F12" s="370"/>
      <c r="G12" s="370"/>
      <c r="H12" s="370"/>
      <c r="I12" s="370"/>
      <c r="J12" s="370"/>
      <c r="K12" s="370"/>
      <c r="L12" s="370"/>
      <c r="M12" s="370"/>
      <c r="N12" s="370"/>
      <c r="O12" s="370"/>
      <c r="P12" s="370"/>
      <c r="Q12" s="370"/>
      <c r="R12" s="370"/>
      <c r="S12" s="370"/>
      <c r="T12" s="370"/>
      <c r="U12" s="370"/>
      <c r="V12" s="370"/>
      <c r="W12" s="370"/>
      <c r="X12" s="371"/>
      <c r="Y12" s="307"/>
      <c r="Z12" s="372" t="s">
        <v>106</v>
      </c>
      <c r="AA12" s="373"/>
      <c r="AB12" s="373"/>
      <c r="AC12" s="374"/>
      <c r="AD12" s="375" t="s">
        <v>107</v>
      </c>
      <c r="AE12" s="376"/>
      <c r="AF12" s="377" t="s">
        <v>108</v>
      </c>
      <c r="AG12" s="378"/>
      <c r="AH12" s="378"/>
      <c r="AI12" s="378"/>
      <c r="AJ12" s="378"/>
      <c r="AK12" s="378"/>
      <c r="AL12" s="379"/>
      <c r="AM12" s="380" t="s">
        <v>109</v>
      </c>
      <c r="AN12" s="381"/>
      <c r="AO12" s="381"/>
      <c r="AP12" s="382"/>
      <c r="AQ12" s="383" t="s">
        <v>110</v>
      </c>
      <c r="AR12" s="384"/>
      <c r="AS12" s="361" t="s">
        <v>111</v>
      </c>
      <c r="AT12" s="362"/>
      <c r="AU12" s="363"/>
      <c r="AV12" s="364" t="s">
        <v>112</v>
      </c>
      <c r="AW12" s="365"/>
      <c r="AX12" s="366" t="s">
        <v>113</v>
      </c>
      <c r="AY12" s="367"/>
      <c r="AZ12" s="367"/>
      <c r="BA12" s="367"/>
      <c r="BB12" s="367"/>
      <c r="BC12" s="367"/>
      <c r="BD12" s="367"/>
      <c r="BE12" s="367"/>
      <c r="BF12" s="367"/>
      <c r="BG12" s="368"/>
      <c r="BH12" s="193"/>
      <c r="BI12" s="193"/>
      <c r="BJ12" s="193"/>
      <c r="BK12" s="193"/>
    </row>
    <row r="13" spans="1:63" s="318" customFormat="1" ht="15.75" customHeight="1">
      <c r="A13" s="388"/>
      <c r="B13" s="388"/>
      <c r="C13" s="388"/>
      <c r="D13" s="388"/>
      <c r="E13" s="308"/>
      <c r="F13" s="308"/>
      <c r="G13" s="308"/>
      <c r="H13" s="308"/>
      <c r="I13" s="308"/>
      <c r="J13" s="308"/>
      <c r="K13" s="308"/>
      <c r="L13" s="308"/>
      <c r="M13" s="308"/>
      <c r="N13" s="308"/>
      <c r="O13" s="308"/>
      <c r="P13" s="308"/>
      <c r="Q13" s="308"/>
      <c r="R13" s="308"/>
      <c r="S13" s="308"/>
      <c r="T13" s="308"/>
      <c r="U13" s="308"/>
      <c r="V13" s="308"/>
      <c r="W13" s="308"/>
      <c r="X13" s="308"/>
      <c r="Y13" s="308"/>
      <c r="Z13" s="309"/>
      <c r="AA13" s="309"/>
      <c r="AB13" s="309"/>
      <c r="AC13" s="309"/>
      <c r="AD13" s="310"/>
      <c r="AE13" s="310"/>
      <c r="AF13" s="311"/>
      <c r="AG13" s="311"/>
      <c r="AH13" s="311"/>
      <c r="AI13" s="311"/>
      <c r="AJ13" s="311"/>
      <c r="AK13" s="311"/>
      <c r="AL13" s="311"/>
      <c r="AM13" s="312"/>
      <c r="AN13" s="312"/>
      <c r="AO13" s="312"/>
      <c r="AP13" s="312"/>
      <c r="AQ13" s="313"/>
      <c r="AR13" s="313"/>
      <c r="AS13" s="314"/>
      <c r="AT13" s="314"/>
      <c r="AU13" s="314"/>
      <c r="AV13" s="315"/>
      <c r="AW13" s="315"/>
      <c r="AX13" s="316"/>
      <c r="AY13" s="316"/>
      <c r="AZ13" s="316"/>
      <c r="BA13" s="316"/>
      <c r="BB13" s="316"/>
      <c r="BC13" s="316"/>
      <c r="BD13" s="316"/>
      <c r="BE13" s="316"/>
      <c r="BF13" s="316"/>
      <c r="BG13" s="316"/>
      <c r="BH13" s="317"/>
      <c r="BI13" s="317"/>
      <c r="BJ13" s="317"/>
      <c r="BK13" s="317"/>
    </row>
    <row r="14" spans="1:63" s="192" customFormat="1" ht="13.5">
      <c r="A14" s="388"/>
      <c r="B14" s="388"/>
      <c r="C14" s="388"/>
      <c r="D14" s="388"/>
      <c r="E14" s="206" t="s">
        <v>114</v>
      </c>
      <c r="F14" s="207" t="s">
        <v>115</v>
      </c>
      <c r="G14" s="207" t="s">
        <v>116</v>
      </c>
      <c r="H14" s="207" t="s">
        <v>117</v>
      </c>
      <c r="I14" s="207" t="s">
        <v>118</v>
      </c>
      <c r="J14" s="207" t="s">
        <v>119</v>
      </c>
      <c r="K14" s="207" t="s">
        <v>120</v>
      </c>
      <c r="L14" s="207" t="s">
        <v>121</v>
      </c>
      <c r="M14" s="207" t="s">
        <v>122</v>
      </c>
      <c r="N14" s="207" t="s">
        <v>123</v>
      </c>
      <c r="O14" s="207" t="s">
        <v>124</v>
      </c>
      <c r="P14" s="207" t="s">
        <v>125</v>
      </c>
      <c r="Q14" s="207" t="s">
        <v>126</v>
      </c>
      <c r="R14" s="207" t="s">
        <v>127</v>
      </c>
      <c r="S14" s="207" t="s">
        <v>128</v>
      </c>
      <c r="T14" s="207" t="s">
        <v>129</v>
      </c>
      <c r="U14" s="207" t="s">
        <v>130</v>
      </c>
      <c r="V14" s="207" t="s">
        <v>131</v>
      </c>
      <c r="W14" s="207" t="s">
        <v>132</v>
      </c>
      <c r="X14" s="208" t="s">
        <v>133</v>
      </c>
      <c r="Y14" s="319"/>
      <c r="Z14" s="209" t="s">
        <v>134</v>
      </c>
      <c r="AA14" s="210" t="s">
        <v>135</v>
      </c>
      <c r="AB14" s="210" t="s">
        <v>136</v>
      </c>
      <c r="AC14" s="211" t="s">
        <v>137</v>
      </c>
      <c r="AD14" s="212" t="s">
        <v>138</v>
      </c>
      <c r="AE14" s="212" t="s">
        <v>139</v>
      </c>
      <c r="AF14" s="213" t="s">
        <v>140</v>
      </c>
      <c r="AG14" s="214" t="s">
        <v>141</v>
      </c>
      <c r="AH14" s="214" t="s">
        <v>142</v>
      </c>
      <c r="AI14" s="214" t="s">
        <v>143</v>
      </c>
      <c r="AJ14" s="214" t="s">
        <v>144</v>
      </c>
      <c r="AK14" s="214" t="s">
        <v>145</v>
      </c>
      <c r="AL14" s="215" t="s">
        <v>146</v>
      </c>
      <c r="AM14" s="216" t="s">
        <v>147</v>
      </c>
      <c r="AN14" s="217" t="s">
        <v>148</v>
      </c>
      <c r="AO14" s="217" t="s">
        <v>149</v>
      </c>
      <c r="AP14" s="218" t="s">
        <v>150</v>
      </c>
      <c r="AQ14" s="219" t="s">
        <v>151</v>
      </c>
      <c r="AR14" s="220" t="s">
        <v>152</v>
      </c>
      <c r="AS14" s="221" t="s">
        <v>153</v>
      </c>
      <c r="AT14" s="222" t="s">
        <v>154</v>
      </c>
      <c r="AU14" s="223" t="s">
        <v>155</v>
      </c>
      <c r="AV14" s="224" t="s">
        <v>156</v>
      </c>
      <c r="AW14" s="225" t="s">
        <v>157</v>
      </c>
      <c r="AX14" s="226" t="s">
        <v>158</v>
      </c>
      <c r="AY14" s="227" t="s">
        <v>159</v>
      </c>
      <c r="AZ14" s="227" t="s">
        <v>160</v>
      </c>
      <c r="BA14" s="227" t="s">
        <v>161</v>
      </c>
      <c r="BB14" s="227" t="s">
        <v>162</v>
      </c>
      <c r="BC14" s="227" t="s">
        <v>163</v>
      </c>
      <c r="BD14" s="227" t="s">
        <v>164</v>
      </c>
      <c r="BE14" s="227" t="s">
        <v>165</v>
      </c>
      <c r="BF14" s="227" t="s">
        <v>166</v>
      </c>
      <c r="BG14" s="228" t="s">
        <v>167</v>
      </c>
      <c r="BH14" s="193"/>
      <c r="BI14" s="193"/>
      <c r="BJ14" s="193"/>
      <c r="BK14" s="193"/>
    </row>
    <row r="15" spans="1:63" s="192" customFormat="1" ht="69.75" customHeight="1" thickBot="1">
      <c r="A15" s="388"/>
      <c r="B15" s="388"/>
      <c r="C15" s="388"/>
      <c r="D15" s="388"/>
      <c r="E15" s="229" t="s">
        <v>3</v>
      </c>
      <c r="F15" s="230" t="s">
        <v>168</v>
      </c>
      <c r="G15" s="230" t="s">
        <v>169</v>
      </c>
      <c r="H15" s="230" t="s">
        <v>170</v>
      </c>
      <c r="I15" s="230" t="s">
        <v>171</v>
      </c>
      <c r="J15" s="230" t="s">
        <v>172</v>
      </c>
      <c r="K15" s="230" t="s">
        <v>173</v>
      </c>
      <c r="L15" s="230" t="s">
        <v>174</v>
      </c>
      <c r="M15" s="230" t="s">
        <v>175</v>
      </c>
      <c r="N15" s="230" t="s">
        <v>176</v>
      </c>
      <c r="O15" s="230" t="s">
        <v>177</v>
      </c>
      <c r="P15" s="230" t="s">
        <v>178</v>
      </c>
      <c r="Q15" s="230" t="s">
        <v>179</v>
      </c>
      <c r="R15" s="230" t="s">
        <v>180</v>
      </c>
      <c r="S15" s="230" t="s">
        <v>181</v>
      </c>
      <c r="T15" s="230" t="s">
        <v>182</v>
      </c>
      <c r="U15" s="230" t="s">
        <v>183</v>
      </c>
      <c r="V15" s="230" t="s">
        <v>184</v>
      </c>
      <c r="W15" s="230" t="s">
        <v>185</v>
      </c>
      <c r="X15" s="231" t="s">
        <v>186</v>
      </c>
      <c r="Y15" s="320" t="s">
        <v>442</v>
      </c>
      <c r="Z15" s="232" t="s">
        <v>187</v>
      </c>
      <c r="AA15" s="233" t="s">
        <v>188</v>
      </c>
      <c r="AB15" s="233" t="s">
        <v>189</v>
      </c>
      <c r="AC15" s="234" t="s">
        <v>190</v>
      </c>
      <c r="AD15" s="212" t="s">
        <v>191</v>
      </c>
      <c r="AE15" s="212" t="s">
        <v>192</v>
      </c>
      <c r="AF15" s="235" t="s">
        <v>193</v>
      </c>
      <c r="AG15" s="236" t="s">
        <v>194</v>
      </c>
      <c r="AH15" s="236" t="s">
        <v>195</v>
      </c>
      <c r="AI15" s="236" t="s">
        <v>196</v>
      </c>
      <c r="AJ15" s="236" t="s">
        <v>197</v>
      </c>
      <c r="AK15" s="236" t="s">
        <v>198</v>
      </c>
      <c r="AL15" s="237" t="s">
        <v>199</v>
      </c>
      <c r="AM15" s="238" t="s">
        <v>200</v>
      </c>
      <c r="AN15" s="239" t="s">
        <v>201</v>
      </c>
      <c r="AO15" s="239" t="s">
        <v>202</v>
      </c>
      <c r="AP15" s="240" t="s">
        <v>203</v>
      </c>
      <c r="AQ15" s="241" t="s">
        <v>204</v>
      </c>
      <c r="AR15" s="242" t="s">
        <v>205</v>
      </c>
      <c r="AS15" s="243" t="s">
        <v>206</v>
      </c>
      <c r="AT15" s="244" t="s">
        <v>207</v>
      </c>
      <c r="AU15" s="245" t="s">
        <v>208</v>
      </c>
      <c r="AV15" s="246" t="s">
        <v>209</v>
      </c>
      <c r="AW15" s="247" t="s">
        <v>210</v>
      </c>
      <c r="AX15" s="248" t="s">
        <v>211</v>
      </c>
      <c r="AY15" s="249" t="s">
        <v>212</v>
      </c>
      <c r="AZ15" s="249" t="s">
        <v>213</v>
      </c>
      <c r="BA15" s="249" t="s">
        <v>214</v>
      </c>
      <c r="BB15" s="249" t="s">
        <v>215</v>
      </c>
      <c r="BC15" s="249" t="s">
        <v>216</v>
      </c>
      <c r="BD15" s="249" t="s">
        <v>217</v>
      </c>
      <c r="BE15" s="249" t="s">
        <v>218</v>
      </c>
      <c r="BF15" s="249" t="s">
        <v>219</v>
      </c>
      <c r="BG15" s="250" t="s">
        <v>220</v>
      </c>
      <c r="BH15" s="193"/>
      <c r="BI15" s="193"/>
      <c r="BJ15" s="193"/>
      <c r="BK15" s="193"/>
    </row>
    <row r="16" spans="1:63" s="263" customFormat="1" ht="15.75" thickBot="1">
      <c r="A16" s="251"/>
      <c r="B16" s="42" t="s">
        <v>362</v>
      </c>
      <c r="C16" s="252" t="s">
        <v>3</v>
      </c>
      <c r="D16" s="117" t="s">
        <v>363</v>
      </c>
      <c r="E16" s="321">
        <v>47994</v>
      </c>
      <c r="F16" s="322"/>
      <c r="G16" s="322"/>
      <c r="H16" s="322"/>
      <c r="I16" s="322"/>
      <c r="J16" s="322"/>
      <c r="K16" s="322"/>
      <c r="L16" s="322"/>
      <c r="M16" s="322"/>
      <c r="N16" s="322"/>
      <c r="O16" s="322"/>
      <c r="P16" s="322"/>
      <c r="Q16" s="323">
        <v>47994</v>
      </c>
      <c r="R16" s="322">
        <v>47398</v>
      </c>
      <c r="S16" s="322"/>
      <c r="T16" s="324">
        <v>47287</v>
      </c>
      <c r="U16" s="322">
        <v>46785</v>
      </c>
      <c r="V16" s="322">
        <v>46811</v>
      </c>
      <c r="W16" s="324"/>
      <c r="X16" s="325"/>
      <c r="Y16" s="326"/>
      <c r="Z16" s="327">
        <v>46419</v>
      </c>
      <c r="AA16" s="322" t="s">
        <v>443</v>
      </c>
      <c r="AB16" s="322" t="s">
        <v>443</v>
      </c>
      <c r="AC16" s="325">
        <v>46758</v>
      </c>
      <c r="AD16" s="328">
        <v>46757</v>
      </c>
      <c r="AE16" s="329">
        <v>46722</v>
      </c>
      <c r="AF16" s="321" t="s">
        <v>443</v>
      </c>
      <c r="AG16" s="322" t="s">
        <v>443</v>
      </c>
      <c r="AH16" s="322" t="s">
        <v>443</v>
      </c>
      <c r="AI16" s="322" t="s">
        <v>443</v>
      </c>
      <c r="AJ16" s="322" t="s">
        <v>443</v>
      </c>
      <c r="AK16" s="322" t="s">
        <v>443</v>
      </c>
      <c r="AL16" s="325">
        <v>46487</v>
      </c>
      <c r="AM16" s="327">
        <v>46666</v>
      </c>
      <c r="AN16" s="322">
        <v>46644</v>
      </c>
      <c r="AO16" s="323" t="s">
        <v>443</v>
      </c>
      <c r="AP16" s="330"/>
      <c r="AQ16" s="327"/>
      <c r="AR16" s="325"/>
      <c r="AS16" s="327">
        <v>47521</v>
      </c>
      <c r="AT16" s="322">
        <v>46860</v>
      </c>
      <c r="AU16" s="325">
        <v>46860</v>
      </c>
      <c r="AV16" s="327" t="s">
        <v>443</v>
      </c>
      <c r="AW16" s="325">
        <v>46464</v>
      </c>
      <c r="AX16" s="327">
        <v>46755</v>
      </c>
      <c r="AY16" s="322">
        <v>46424</v>
      </c>
      <c r="AZ16" s="322">
        <v>47521</v>
      </c>
      <c r="BA16" s="322">
        <v>46789</v>
      </c>
      <c r="BB16" s="322">
        <v>46308</v>
      </c>
      <c r="BC16" s="322">
        <v>46755</v>
      </c>
      <c r="BD16" s="322" t="s">
        <v>443</v>
      </c>
      <c r="BE16" s="322">
        <v>46714</v>
      </c>
      <c r="BF16" s="322">
        <v>46755</v>
      </c>
      <c r="BG16" s="325">
        <v>46392</v>
      </c>
      <c r="BH16" s="205"/>
      <c r="BI16" s="205"/>
      <c r="BJ16" s="205"/>
      <c r="BK16" s="205"/>
    </row>
    <row r="17" spans="1:63" s="263" customFormat="1" ht="15.75" thickBot="1">
      <c r="A17" s="251"/>
      <c r="B17" s="42" t="s">
        <v>432</v>
      </c>
      <c r="C17" s="252" t="s">
        <v>3</v>
      </c>
      <c r="D17" s="117" t="s">
        <v>433</v>
      </c>
      <c r="E17" s="321">
        <v>46656</v>
      </c>
      <c r="F17" s="322"/>
      <c r="G17" s="322"/>
      <c r="H17" s="322"/>
      <c r="I17" s="322"/>
      <c r="J17" s="322"/>
      <c r="K17" s="322"/>
      <c r="L17" s="322"/>
      <c r="M17" s="322"/>
      <c r="N17" s="322"/>
      <c r="O17" s="322"/>
      <c r="P17" s="322"/>
      <c r="Q17" s="323">
        <v>46656</v>
      </c>
      <c r="R17" s="322" t="s">
        <v>444</v>
      </c>
      <c r="S17" s="322"/>
      <c r="T17" s="324">
        <v>46274</v>
      </c>
      <c r="U17" s="322">
        <v>46586</v>
      </c>
      <c r="V17" s="322">
        <v>46554</v>
      </c>
      <c r="W17" s="324"/>
      <c r="X17" s="325"/>
      <c r="Y17" s="326"/>
      <c r="Z17" s="327">
        <v>47515</v>
      </c>
      <c r="AA17" s="322" t="s">
        <v>443</v>
      </c>
      <c r="AB17" s="322" t="s">
        <v>443</v>
      </c>
      <c r="AC17" s="325">
        <v>46771</v>
      </c>
      <c r="AD17" s="328">
        <v>46768</v>
      </c>
      <c r="AE17" s="329">
        <v>46713</v>
      </c>
      <c r="AF17" s="321" t="s">
        <v>443</v>
      </c>
      <c r="AG17" s="322" t="s">
        <v>443</v>
      </c>
      <c r="AH17" s="322" t="s">
        <v>443</v>
      </c>
      <c r="AI17" s="322" t="s">
        <v>443</v>
      </c>
      <c r="AJ17" s="322" t="s">
        <v>443</v>
      </c>
      <c r="AK17" s="322" t="s">
        <v>443</v>
      </c>
      <c r="AL17" s="325">
        <v>46964</v>
      </c>
      <c r="AM17" s="327">
        <v>46715</v>
      </c>
      <c r="AN17" s="322">
        <v>46715</v>
      </c>
      <c r="AO17" s="323" t="s">
        <v>443</v>
      </c>
      <c r="AP17" s="330"/>
      <c r="AQ17" s="327"/>
      <c r="AR17" s="325"/>
      <c r="AS17" s="327">
        <v>47250</v>
      </c>
      <c r="AT17" s="322">
        <v>46676</v>
      </c>
      <c r="AU17" s="325">
        <v>46676</v>
      </c>
      <c r="AV17" s="327" t="s">
        <v>443</v>
      </c>
      <c r="AW17" s="325">
        <v>46478</v>
      </c>
      <c r="AX17" s="327">
        <v>46811</v>
      </c>
      <c r="AY17" s="322">
        <v>46811</v>
      </c>
      <c r="AZ17" s="322">
        <v>47249</v>
      </c>
      <c r="BA17" s="322">
        <v>46518</v>
      </c>
      <c r="BB17" s="322">
        <v>46308</v>
      </c>
      <c r="BC17" s="322">
        <v>46811</v>
      </c>
      <c r="BD17" s="322" t="s">
        <v>443</v>
      </c>
      <c r="BE17" s="322">
        <v>46756</v>
      </c>
      <c r="BF17" s="322">
        <v>46756</v>
      </c>
      <c r="BG17" s="325">
        <v>46772</v>
      </c>
      <c r="BH17" s="205"/>
      <c r="BI17" s="205"/>
      <c r="BJ17" s="205"/>
      <c r="BK17" s="205"/>
    </row>
    <row r="18" spans="1:63" s="263" customFormat="1" ht="15.75" thickBot="1">
      <c r="A18" s="251"/>
      <c r="B18" s="42" t="s">
        <v>386</v>
      </c>
      <c r="C18" s="252" t="s">
        <v>3</v>
      </c>
      <c r="D18" s="117" t="s">
        <v>387</v>
      </c>
      <c r="E18" s="321">
        <v>46837</v>
      </c>
      <c r="F18" s="322"/>
      <c r="G18" s="322"/>
      <c r="H18" s="322"/>
      <c r="I18" s="322"/>
      <c r="J18" s="322"/>
      <c r="K18" s="322"/>
      <c r="L18" s="322"/>
      <c r="M18" s="322"/>
      <c r="N18" s="322"/>
      <c r="O18" s="322"/>
      <c r="P18" s="322"/>
      <c r="Q18" s="323" t="s">
        <v>445</v>
      </c>
      <c r="R18" s="322">
        <v>46650</v>
      </c>
      <c r="S18" s="322"/>
      <c r="T18" s="324" t="s">
        <v>445</v>
      </c>
      <c r="U18" s="322">
        <v>46619</v>
      </c>
      <c r="V18" s="322">
        <v>46185</v>
      </c>
      <c r="W18" s="324"/>
      <c r="X18" s="325"/>
      <c r="Y18" s="326"/>
      <c r="Z18" s="327">
        <v>47270</v>
      </c>
      <c r="AA18" s="322" t="s">
        <v>443</v>
      </c>
      <c r="AB18" s="322" t="s">
        <v>443</v>
      </c>
      <c r="AC18" s="325">
        <v>46743</v>
      </c>
      <c r="AD18" s="328">
        <v>46743</v>
      </c>
      <c r="AE18" s="329">
        <v>46733</v>
      </c>
      <c r="AF18" s="321" t="s">
        <v>443</v>
      </c>
      <c r="AG18" s="322" t="s">
        <v>443</v>
      </c>
      <c r="AH18" s="322" t="s">
        <v>443</v>
      </c>
      <c r="AI18" s="322" t="s">
        <v>443</v>
      </c>
      <c r="AJ18" s="322" t="s">
        <v>443</v>
      </c>
      <c r="AK18" s="322" t="s">
        <v>443</v>
      </c>
      <c r="AL18" s="325">
        <v>46199</v>
      </c>
      <c r="AM18" s="327">
        <v>46721</v>
      </c>
      <c r="AN18" s="322">
        <v>46721</v>
      </c>
      <c r="AO18" s="323" t="s">
        <v>443</v>
      </c>
      <c r="AP18" s="330"/>
      <c r="AQ18" s="327">
        <v>46988</v>
      </c>
      <c r="AR18" s="325"/>
      <c r="AS18" s="327">
        <v>47251</v>
      </c>
      <c r="AT18" s="322">
        <v>46667</v>
      </c>
      <c r="AU18" s="325">
        <v>46667</v>
      </c>
      <c r="AV18" s="327" t="s">
        <v>443</v>
      </c>
      <c r="AW18" s="325">
        <v>46731</v>
      </c>
      <c r="AX18" s="327">
        <v>46721</v>
      </c>
      <c r="AY18" s="322">
        <v>46888</v>
      </c>
      <c r="AZ18" s="322">
        <v>47251</v>
      </c>
      <c r="BA18" s="322">
        <v>46520</v>
      </c>
      <c r="BB18" s="322">
        <v>46260</v>
      </c>
      <c r="BC18" s="322">
        <v>46721</v>
      </c>
      <c r="BD18" s="322" t="s">
        <v>443</v>
      </c>
      <c r="BE18" s="322">
        <v>46721</v>
      </c>
      <c r="BF18" s="322">
        <v>46783</v>
      </c>
      <c r="BG18" s="325">
        <v>46743</v>
      </c>
      <c r="BH18" s="205"/>
      <c r="BI18" s="205"/>
      <c r="BJ18" s="205"/>
      <c r="BK18" s="205"/>
    </row>
    <row r="19" spans="1:63" s="263" customFormat="1" ht="15.75" thickBot="1">
      <c r="A19" s="251"/>
      <c r="B19" s="42" t="s">
        <v>374</v>
      </c>
      <c r="C19" s="252" t="s">
        <v>3</v>
      </c>
      <c r="D19" s="117" t="s">
        <v>375</v>
      </c>
      <c r="E19" s="321">
        <v>46387</v>
      </c>
      <c r="F19" s="322"/>
      <c r="G19" s="322"/>
      <c r="H19" s="322"/>
      <c r="I19" s="322"/>
      <c r="J19" s="322"/>
      <c r="K19" s="322"/>
      <c r="L19" s="322"/>
      <c r="M19" s="322"/>
      <c r="N19" s="322"/>
      <c r="O19" s="322"/>
      <c r="P19" s="322"/>
      <c r="Q19" s="323">
        <v>47869</v>
      </c>
      <c r="R19" s="322">
        <v>46432</v>
      </c>
      <c r="S19" s="322"/>
      <c r="T19" s="324">
        <v>46308</v>
      </c>
      <c r="U19" s="322">
        <v>46305</v>
      </c>
      <c r="V19" s="322">
        <v>46166</v>
      </c>
      <c r="W19" s="324"/>
      <c r="X19" s="325"/>
      <c r="Y19" s="326"/>
      <c r="Z19" s="327">
        <v>47453</v>
      </c>
      <c r="AA19" s="322" t="s">
        <v>443</v>
      </c>
      <c r="AB19" s="322" t="s">
        <v>443</v>
      </c>
      <c r="AC19" s="325">
        <v>46770</v>
      </c>
      <c r="AD19" s="328">
        <v>46766</v>
      </c>
      <c r="AE19" s="329">
        <v>46729</v>
      </c>
      <c r="AF19" s="321" t="s">
        <v>443</v>
      </c>
      <c r="AG19" s="322" t="s">
        <v>443</v>
      </c>
      <c r="AH19" s="322" t="s">
        <v>443</v>
      </c>
      <c r="AI19" s="322" t="s">
        <v>443</v>
      </c>
      <c r="AJ19" s="322" t="s">
        <v>443</v>
      </c>
      <c r="AK19" s="322" t="s">
        <v>443</v>
      </c>
      <c r="AL19" s="325">
        <v>46268</v>
      </c>
      <c r="AM19" s="327">
        <v>46729</v>
      </c>
      <c r="AN19" s="322">
        <v>46729</v>
      </c>
      <c r="AO19" s="323" t="s">
        <v>443</v>
      </c>
      <c r="AP19" s="330"/>
      <c r="AQ19" s="327"/>
      <c r="AR19" s="325"/>
      <c r="AS19" s="327">
        <v>47249</v>
      </c>
      <c r="AT19" s="322">
        <v>46779</v>
      </c>
      <c r="AU19" s="325">
        <v>46779</v>
      </c>
      <c r="AV19" s="327" t="s">
        <v>443</v>
      </c>
      <c r="AW19" s="325">
        <v>46525</v>
      </c>
      <c r="AX19" s="327">
        <v>46852</v>
      </c>
      <c r="AY19" s="322">
        <v>46851</v>
      </c>
      <c r="AZ19" s="322">
        <v>47249</v>
      </c>
      <c r="BA19" s="322">
        <v>46518</v>
      </c>
      <c r="BB19" s="322">
        <v>47325</v>
      </c>
      <c r="BC19" s="322">
        <v>46778</v>
      </c>
      <c r="BD19" s="322" t="s">
        <v>443</v>
      </c>
      <c r="BE19" s="322">
        <v>46729</v>
      </c>
      <c r="BF19" s="322">
        <v>46769</v>
      </c>
      <c r="BG19" s="325">
        <v>46769</v>
      </c>
      <c r="BH19" s="205"/>
      <c r="BI19" s="205"/>
      <c r="BJ19" s="205"/>
      <c r="BK19" s="205"/>
    </row>
    <row r="20" spans="1:63" s="263" customFormat="1">
      <c r="A20" s="251"/>
      <c r="B20" s="42" t="s">
        <v>366</v>
      </c>
      <c r="C20" s="252" t="s">
        <v>3</v>
      </c>
      <c r="D20" s="117" t="s">
        <v>367</v>
      </c>
      <c r="E20" s="321">
        <v>46861</v>
      </c>
      <c r="F20" s="322"/>
      <c r="G20" s="322"/>
      <c r="H20" s="322"/>
      <c r="I20" s="322"/>
      <c r="J20" s="322"/>
      <c r="K20" s="322"/>
      <c r="L20" s="322"/>
      <c r="M20" s="322"/>
      <c r="N20" s="322"/>
      <c r="O20" s="322"/>
      <c r="P20" s="322"/>
      <c r="Q20" s="323">
        <v>46861</v>
      </c>
      <c r="R20" s="322">
        <v>47460</v>
      </c>
      <c r="S20" s="322"/>
      <c r="T20" s="324"/>
      <c r="U20" s="322">
        <v>46339</v>
      </c>
      <c r="V20" s="322">
        <v>46583</v>
      </c>
      <c r="W20" s="324"/>
      <c r="X20" s="325"/>
      <c r="Y20" s="326"/>
      <c r="Z20" s="327">
        <v>47270</v>
      </c>
      <c r="AA20" s="322" t="s">
        <v>443</v>
      </c>
      <c r="AB20" s="322" t="s">
        <v>443</v>
      </c>
      <c r="AC20" s="325">
        <v>46744</v>
      </c>
      <c r="AD20" s="328">
        <v>46742</v>
      </c>
      <c r="AE20" s="329">
        <v>46728</v>
      </c>
      <c r="AF20" s="321" t="s">
        <v>443</v>
      </c>
      <c r="AG20" s="322" t="s">
        <v>443</v>
      </c>
      <c r="AH20" s="322" t="s">
        <v>443</v>
      </c>
      <c r="AI20" s="322" t="s">
        <v>443</v>
      </c>
      <c r="AJ20" s="322" t="s">
        <v>443</v>
      </c>
      <c r="AK20" s="322" t="s">
        <v>443</v>
      </c>
      <c r="AL20" s="325">
        <v>46284</v>
      </c>
      <c r="AM20" s="327">
        <v>46627</v>
      </c>
      <c r="AN20" s="322">
        <v>46626</v>
      </c>
      <c r="AO20" s="323" t="s">
        <v>443</v>
      </c>
      <c r="AP20" s="330"/>
      <c r="AQ20" s="327"/>
      <c r="AR20" s="325"/>
      <c r="AS20" s="327">
        <v>47299</v>
      </c>
      <c r="AT20" s="322">
        <v>46729</v>
      </c>
      <c r="AU20" s="325">
        <v>46667</v>
      </c>
      <c r="AV20" s="327" t="s">
        <v>443</v>
      </c>
      <c r="AW20" s="325">
        <v>46454</v>
      </c>
      <c r="AX20" s="327">
        <v>46630</v>
      </c>
      <c r="AY20" s="322">
        <v>46895</v>
      </c>
      <c r="AZ20" s="322">
        <v>47300</v>
      </c>
      <c r="BA20" s="322">
        <v>46567</v>
      </c>
      <c r="BB20" s="322">
        <v>47318</v>
      </c>
      <c r="BC20" s="322">
        <v>46873</v>
      </c>
      <c r="BD20" s="322" t="s">
        <v>443</v>
      </c>
      <c r="BE20" s="322">
        <v>46769</v>
      </c>
      <c r="BF20" s="322">
        <v>46873</v>
      </c>
      <c r="BG20" s="325">
        <v>46742</v>
      </c>
      <c r="BH20" s="205"/>
      <c r="BI20" s="205"/>
      <c r="BJ20" s="205"/>
      <c r="BK20" s="205"/>
    </row>
    <row r="21" spans="1:63" s="263" customFormat="1">
      <c r="A21" s="251"/>
      <c r="B21" s="42" t="s">
        <v>438</v>
      </c>
      <c r="C21" s="252" t="s">
        <v>446</v>
      </c>
      <c r="D21" s="117" t="s">
        <v>439</v>
      </c>
      <c r="E21" s="331">
        <v>46326</v>
      </c>
      <c r="F21" s="332"/>
      <c r="G21" s="332"/>
      <c r="H21" s="332"/>
      <c r="I21" s="332"/>
      <c r="J21" s="332"/>
      <c r="K21" s="332"/>
      <c r="L21" s="332"/>
      <c r="M21" s="332"/>
      <c r="N21" s="332"/>
      <c r="O21" s="332"/>
      <c r="P21" s="332"/>
      <c r="Q21" s="333" t="s">
        <v>445</v>
      </c>
      <c r="R21" s="332">
        <v>46326</v>
      </c>
      <c r="S21" s="332"/>
      <c r="T21" s="334">
        <v>47185</v>
      </c>
      <c r="U21" s="332">
        <v>46673</v>
      </c>
      <c r="V21" s="332">
        <v>46403</v>
      </c>
      <c r="W21" s="334"/>
      <c r="X21" s="335"/>
      <c r="Y21" s="336">
        <v>46440</v>
      </c>
      <c r="Z21" s="337">
        <v>47088</v>
      </c>
      <c r="AA21" s="332" t="s">
        <v>443</v>
      </c>
      <c r="AB21" s="332" t="s">
        <v>443</v>
      </c>
      <c r="AC21" s="335">
        <v>46770</v>
      </c>
      <c r="AD21" s="337">
        <v>46764</v>
      </c>
      <c r="AE21" s="335">
        <v>46713</v>
      </c>
      <c r="AF21" s="331" t="s">
        <v>443</v>
      </c>
      <c r="AG21" s="332"/>
      <c r="AH21" s="332"/>
      <c r="AI21" s="332"/>
      <c r="AJ21" s="332"/>
      <c r="AK21" s="332" t="s">
        <v>443</v>
      </c>
      <c r="AL21" s="335"/>
      <c r="AM21" s="337">
        <v>46649</v>
      </c>
      <c r="AN21" s="332">
        <v>46647</v>
      </c>
      <c r="AO21" s="333" t="s">
        <v>443</v>
      </c>
      <c r="AP21" s="338" t="s">
        <v>443</v>
      </c>
      <c r="AQ21" s="339"/>
      <c r="AR21" s="340"/>
      <c r="AS21" s="337">
        <v>47221</v>
      </c>
      <c r="AT21" s="332"/>
      <c r="AU21" s="335"/>
      <c r="AV21" s="337" t="s">
        <v>443</v>
      </c>
      <c r="AW21" s="335">
        <v>46484</v>
      </c>
      <c r="AX21" s="337">
        <v>46778</v>
      </c>
      <c r="AY21" s="332">
        <v>46778</v>
      </c>
      <c r="AZ21" s="332">
        <v>47221</v>
      </c>
      <c r="BA21" s="332">
        <v>46492</v>
      </c>
      <c r="BB21" s="332">
        <v>46308</v>
      </c>
      <c r="BC21" s="332">
        <v>46778</v>
      </c>
      <c r="BD21" s="332" t="s">
        <v>443</v>
      </c>
      <c r="BE21" s="332">
        <v>46769</v>
      </c>
      <c r="BF21" s="332">
        <v>46772</v>
      </c>
      <c r="BG21" s="335">
        <v>46769</v>
      </c>
      <c r="BH21" s="205"/>
      <c r="BI21" s="205"/>
      <c r="BJ21" s="205"/>
      <c r="BK21" s="205"/>
    </row>
    <row r="22" spans="1:63" s="263" customFormat="1">
      <c r="A22" s="251"/>
      <c r="B22" s="42" t="s">
        <v>372</v>
      </c>
      <c r="C22" s="252" t="s">
        <v>446</v>
      </c>
      <c r="D22" s="117" t="s">
        <v>373</v>
      </c>
      <c r="E22" s="331">
        <v>47869</v>
      </c>
      <c r="F22" s="332"/>
      <c r="G22" s="332"/>
      <c r="H22" s="332"/>
      <c r="I22" s="332"/>
      <c r="J22" s="332"/>
      <c r="K22" s="332"/>
      <c r="L22" s="332"/>
      <c r="M22" s="332"/>
      <c r="N22" s="332"/>
      <c r="O22" s="332"/>
      <c r="P22" s="332"/>
      <c r="Q22" s="333">
        <v>47869</v>
      </c>
      <c r="R22" s="332">
        <v>47877</v>
      </c>
      <c r="S22" s="332"/>
      <c r="T22" s="334">
        <v>47408</v>
      </c>
      <c r="U22" s="332">
        <v>46823</v>
      </c>
      <c r="V22" s="332">
        <v>46510</v>
      </c>
      <c r="W22" s="334">
        <v>46513</v>
      </c>
      <c r="X22" s="335"/>
      <c r="Y22" s="336"/>
      <c r="Z22" s="337">
        <v>47088</v>
      </c>
      <c r="AA22" s="332" t="s">
        <v>443</v>
      </c>
      <c r="AB22" s="332" t="s">
        <v>443</v>
      </c>
      <c r="AC22" s="335">
        <v>46743</v>
      </c>
      <c r="AD22" s="337">
        <v>46743</v>
      </c>
      <c r="AE22" s="335">
        <v>46743</v>
      </c>
      <c r="AF22" s="331" t="s">
        <v>443</v>
      </c>
      <c r="AG22" s="332" t="s">
        <v>443</v>
      </c>
      <c r="AH22" s="332" t="s">
        <v>443</v>
      </c>
      <c r="AI22" s="332" t="s">
        <v>443</v>
      </c>
      <c r="AJ22" s="332" t="s">
        <v>443</v>
      </c>
      <c r="AK22" s="332" t="s">
        <v>443</v>
      </c>
      <c r="AL22" s="335" t="s">
        <v>444</v>
      </c>
      <c r="AM22" s="337">
        <v>46685</v>
      </c>
      <c r="AN22" s="332">
        <v>46685</v>
      </c>
      <c r="AO22" s="333" t="s">
        <v>443</v>
      </c>
      <c r="AP22" s="338" t="s">
        <v>443</v>
      </c>
      <c r="AQ22" s="339"/>
      <c r="AR22" s="340"/>
      <c r="AS22" s="337">
        <v>47246</v>
      </c>
      <c r="AT22" s="332"/>
      <c r="AU22" s="335"/>
      <c r="AV22" s="337" t="s">
        <v>443</v>
      </c>
      <c r="AW22" s="335">
        <v>46493</v>
      </c>
      <c r="AX22" s="337">
        <v>46873</v>
      </c>
      <c r="AY22" s="332">
        <v>46862</v>
      </c>
      <c r="AZ22" s="332">
        <v>47246</v>
      </c>
      <c r="BA22" s="332">
        <v>46515</v>
      </c>
      <c r="BB22" s="332">
        <v>47326</v>
      </c>
      <c r="BC22" s="332">
        <v>46843</v>
      </c>
      <c r="BD22" s="332" t="s">
        <v>443</v>
      </c>
      <c r="BE22" s="332">
        <v>46727</v>
      </c>
      <c r="BF22" s="332">
        <v>46769</v>
      </c>
      <c r="BG22" s="335">
        <v>46770</v>
      </c>
      <c r="BH22" s="205"/>
      <c r="BI22" s="205"/>
      <c r="BJ22" s="205"/>
      <c r="BK22" s="205"/>
    </row>
    <row r="23" spans="1:63" s="263" customFormat="1">
      <c r="A23" s="251"/>
      <c r="B23" s="42" t="s">
        <v>426</v>
      </c>
      <c r="C23" s="252" t="s">
        <v>447</v>
      </c>
      <c r="D23" s="117" t="s">
        <v>427</v>
      </c>
      <c r="E23" s="331"/>
      <c r="F23" s="332"/>
      <c r="G23" s="332">
        <v>47768</v>
      </c>
      <c r="H23" s="332"/>
      <c r="I23" s="332"/>
      <c r="J23" s="332"/>
      <c r="K23" s="332"/>
      <c r="L23" s="332"/>
      <c r="M23" s="332"/>
      <c r="N23" s="332"/>
      <c r="O23" s="332"/>
      <c r="P23" s="332">
        <v>48068</v>
      </c>
      <c r="Q23" s="333">
        <v>47967</v>
      </c>
      <c r="R23" s="332">
        <v>47775</v>
      </c>
      <c r="S23" s="332"/>
      <c r="T23" s="334">
        <v>46242</v>
      </c>
      <c r="U23" s="332">
        <v>46438</v>
      </c>
      <c r="V23" s="332">
        <v>46444</v>
      </c>
      <c r="W23" s="334">
        <v>46437</v>
      </c>
      <c r="X23" s="335"/>
      <c r="Y23" s="336">
        <v>47967</v>
      </c>
      <c r="Z23" s="337">
        <v>47058</v>
      </c>
      <c r="AA23" s="332" t="s">
        <v>443</v>
      </c>
      <c r="AB23" s="332" t="s">
        <v>443</v>
      </c>
      <c r="AC23" s="335">
        <v>46780</v>
      </c>
      <c r="AD23" s="337">
        <v>46743</v>
      </c>
      <c r="AE23" s="335">
        <v>46721</v>
      </c>
      <c r="AF23" s="331"/>
      <c r="AG23" s="332"/>
      <c r="AH23" s="332"/>
      <c r="AI23" s="332"/>
      <c r="AJ23" s="332"/>
      <c r="AK23" s="332" t="s">
        <v>443</v>
      </c>
      <c r="AL23" s="335"/>
      <c r="AM23" s="337">
        <v>46677</v>
      </c>
      <c r="AN23" s="332">
        <v>46677</v>
      </c>
      <c r="AO23" s="333" t="s">
        <v>443</v>
      </c>
      <c r="AP23" s="338" t="s">
        <v>443</v>
      </c>
      <c r="AQ23" s="339"/>
      <c r="AR23" s="340"/>
      <c r="AS23" s="337">
        <v>47248</v>
      </c>
      <c r="AT23" s="332"/>
      <c r="AU23" s="335"/>
      <c r="AV23" s="337" t="s">
        <v>443</v>
      </c>
      <c r="AW23" s="335">
        <v>46453</v>
      </c>
      <c r="AX23" s="337">
        <v>46824</v>
      </c>
      <c r="AY23" s="332">
        <v>46824</v>
      </c>
      <c r="AZ23" s="332">
        <v>47248</v>
      </c>
      <c r="BA23" s="332">
        <v>46517</v>
      </c>
      <c r="BB23" s="332">
        <v>47325</v>
      </c>
      <c r="BC23" s="332">
        <v>46826</v>
      </c>
      <c r="BD23" s="332" t="s">
        <v>443</v>
      </c>
      <c r="BE23" s="332">
        <v>46730</v>
      </c>
      <c r="BF23" s="332">
        <v>46678</v>
      </c>
      <c r="BG23" s="335">
        <v>46730</v>
      </c>
      <c r="BH23" s="205"/>
      <c r="BI23" s="205"/>
      <c r="BJ23" s="205"/>
      <c r="BK23" s="205"/>
    </row>
    <row r="24" spans="1:63" s="263" customFormat="1">
      <c r="A24" s="251"/>
      <c r="B24" s="42" t="s">
        <v>418</v>
      </c>
      <c r="C24" s="252" t="s">
        <v>447</v>
      </c>
      <c r="D24" s="117" t="s">
        <v>419</v>
      </c>
      <c r="E24" s="331"/>
      <c r="F24" s="332"/>
      <c r="G24" s="332">
        <v>47754</v>
      </c>
      <c r="H24" s="332"/>
      <c r="I24" s="332"/>
      <c r="J24" s="332"/>
      <c r="K24" s="332"/>
      <c r="L24" s="332"/>
      <c r="M24" s="332"/>
      <c r="N24" s="332"/>
      <c r="O24" s="332"/>
      <c r="P24" s="332">
        <v>47966</v>
      </c>
      <c r="Q24" s="333">
        <v>47966</v>
      </c>
      <c r="R24" s="332">
        <v>47345</v>
      </c>
      <c r="S24" s="332"/>
      <c r="T24" s="334">
        <v>47965</v>
      </c>
      <c r="U24" s="332">
        <v>46410</v>
      </c>
      <c r="V24" s="332">
        <v>46402</v>
      </c>
      <c r="W24" s="334">
        <v>46088</v>
      </c>
      <c r="X24" s="335"/>
      <c r="Y24" s="336"/>
      <c r="Z24" s="337">
        <v>47300</v>
      </c>
      <c r="AA24" s="332" t="s">
        <v>443</v>
      </c>
      <c r="AB24" s="332" t="s">
        <v>443</v>
      </c>
      <c r="AC24" s="335">
        <v>46768</v>
      </c>
      <c r="AD24" s="337">
        <v>46756</v>
      </c>
      <c r="AE24" s="335">
        <v>46591</v>
      </c>
      <c r="AF24" s="331"/>
      <c r="AG24" s="332"/>
      <c r="AH24" s="332"/>
      <c r="AI24" s="332"/>
      <c r="AJ24" s="332"/>
      <c r="AK24" s="332" t="s">
        <v>443</v>
      </c>
      <c r="AL24" s="335"/>
      <c r="AM24" s="337">
        <v>46666</v>
      </c>
      <c r="AN24" s="332">
        <v>46666</v>
      </c>
      <c r="AO24" s="333" t="s">
        <v>443</v>
      </c>
      <c r="AP24" s="338" t="s">
        <v>443</v>
      </c>
      <c r="AQ24" s="339"/>
      <c r="AR24" s="340"/>
      <c r="AS24" s="337">
        <v>47224</v>
      </c>
      <c r="AT24" s="332"/>
      <c r="AU24" s="335"/>
      <c r="AV24" s="337" t="s">
        <v>443</v>
      </c>
      <c r="AW24" s="335">
        <v>46475</v>
      </c>
      <c r="AX24" s="337">
        <v>46773</v>
      </c>
      <c r="AY24" s="332">
        <v>46986</v>
      </c>
      <c r="AZ24" s="332">
        <v>47224</v>
      </c>
      <c r="BA24" s="332">
        <v>46493</v>
      </c>
      <c r="BB24" s="332">
        <v>47314</v>
      </c>
      <c r="BC24" s="332">
        <v>46666</v>
      </c>
      <c r="BD24" s="332" t="s">
        <v>443</v>
      </c>
      <c r="BE24" s="332">
        <v>46720</v>
      </c>
      <c r="BF24" s="332">
        <v>46757</v>
      </c>
      <c r="BG24" s="335">
        <v>47031</v>
      </c>
      <c r="BH24" s="205"/>
      <c r="BI24" s="205"/>
      <c r="BJ24" s="205"/>
      <c r="BK24" s="205"/>
    </row>
    <row r="25" spans="1:63" s="263" customFormat="1">
      <c r="A25" s="251"/>
      <c r="B25" s="42" t="s">
        <v>422</v>
      </c>
      <c r="C25" s="252" t="s">
        <v>227</v>
      </c>
      <c r="D25" s="117" t="s">
        <v>423</v>
      </c>
      <c r="E25" s="331"/>
      <c r="F25" s="332"/>
      <c r="G25" s="332"/>
      <c r="H25" s="332">
        <v>46522</v>
      </c>
      <c r="I25" s="332"/>
      <c r="J25" s="332"/>
      <c r="K25" s="332"/>
      <c r="L25" s="332"/>
      <c r="M25" s="332">
        <v>46379</v>
      </c>
      <c r="N25" s="332"/>
      <c r="O25" s="332"/>
      <c r="P25" s="332">
        <v>46387</v>
      </c>
      <c r="Q25" s="341">
        <v>47209</v>
      </c>
      <c r="R25" s="332">
        <v>46650</v>
      </c>
      <c r="S25" s="332"/>
      <c r="T25" s="334"/>
      <c r="U25" s="332">
        <v>46535</v>
      </c>
      <c r="V25" s="332">
        <v>46501</v>
      </c>
      <c r="W25" s="334"/>
      <c r="X25" s="335"/>
      <c r="Y25" s="336"/>
      <c r="Z25" s="337">
        <v>46661</v>
      </c>
      <c r="AA25" s="332" t="s">
        <v>443</v>
      </c>
      <c r="AB25" s="332" t="s">
        <v>443</v>
      </c>
      <c r="AC25" s="335">
        <v>46733</v>
      </c>
      <c r="AD25" s="337">
        <v>46740</v>
      </c>
      <c r="AE25" s="335">
        <v>46721</v>
      </c>
      <c r="AF25" s="331"/>
      <c r="AG25" s="332"/>
      <c r="AH25" s="332"/>
      <c r="AI25" s="332"/>
      <c r="AJ25" s="332"/>
      <c r="AK25" s="332"/>
      <c r="AL25" s="335"/>
      <c r="AM25" s="337">
        <v>46721</v>
      </c>
      <c r="AN25" s="332">
        <v>46680</v>
      </c>
      <c r="AO25" s="333" t="s">
        <v>443</v>
      </c>
      <c r="AP25" s="335"/>
      <c r="AQ25" s="339">
        <v>46638</v>
      </c>
      <c r="AR25" s="340">
        <v>46638</v>
      </c>
      <c r="AS25" s="337">
        <v>47247</v>
      </c>
      <c r="AT25" s="332">
        <v>46760</v>
      </c>
      <c r="AU25" s="335">
        <v>46761</v>
      </c>
      <c r="AV25" s="337" t="s">
        <v>443</v>
      </c>
      <c r="AW25" s="335">
        <v>46453</v>
      </c>
      <c r="AX25" s="337">
        <v>46802</v>
      </c>
      <c r="AY25" s="332">
        <v>46842</v>
      </c>
      <c r="AZ25" s="332">
        <v>47244</v>
      </c>
      <c r="BA25" s="332">
        <v>46513</v>
      </c>
      <c r="BB25" s="332">
        <v>47314</v>
      </c>
      <c r="BC25" s="332">
        <v>46802</v>
      </c>
      <c r="BD25" s="332" t="s">
        <v>443</v>
      </c>
      <c r="BE25" s="332">
        <v>46721</v>
      </c>
      <c r="BF25" s="332">
        <v>46559</v>
      </c>
      <c r="BG25" s="335">
        <v>46742</v>
      </c>
      <c r="BH25" s="205"/>
      <c r="BI25" s="205"/>
      <c r="BJ25" s="205"/>
      <c r="BK25" s="205"/>
    </row>
    <row r="26" spans="1:63" s="263" customFormat="1">
      <c r="A26" s="251"/>
      <c r="B26" s="42" t="s">
        <v>338</v>
      </c>
      <c r="C26" s="252" t="s">
        <v>227</v>
      </c>
      <c r="D26" s="117" t="s">
        <v>339</v>
      </c>
      <c r="E26" s="331"/>
      <c r="F26" s="332"/>
      <c r="G26" s="332"/>
      <c r="H26" s="332">
        <v>47321</v>
      </c>
      <c r="I26" s="332"/>
      <c r="J26" s="332"/>
      <c r="K26" s="332"/>
      <c r="L26" s="332"/>
      <c r="M26" s="332"/>
      <c r="N26" s="332"/>
      <c r="O26" s="332"/>
      <c r="P26" s="332">
        <v>46739</v>
      </c>
      <c r="Q26" s="341">
        <v>47877</v>
      </c>
      <c r="R26" s="332">
        <v>47383</v>
      </c>
      <c r="S26" s="332"/>
      <c r="T26" s="334"/>
      <c r="U26" s="332">
        <v>46788</v>
      </c>
      <c r="V26" s="332">
        <v>46344</v>
      </c>
      <c r="W26" s="334"/>
      <c r="X26" s="335" t="s">
        <v>443</v>
      </c>
      <c r="Y26" s="336"/>
      <c r="Z26" s="337">
        <v>47484</v>
      </c>
      <c r="AA26" s="332" t="s">
        <v>443</v>
      </c>
      <c r="AB26" s="332" t="s">
        <v>443</v>
      </c>
      <c r="AC26" s="335">
        <v>46745</v>
      </c>
      <c r="AD26" s="337">
        <v>46740</v>
      </c>
      <c r="AE26" s="335">
        <v>46731</v>
      </c>
      <c r="AF26" s="331"/>
      <c r="AG26" s="332"/>
      <c r="AH26" s="332"/>
      <c r="AI26" s="332"/>
      <c r="AJ26" s="332"/>
      <c r="AK26" s="332"/>
      <c r="AL26" s="335"/>
      <c r="AM26" s="337">
        <v>46633</v>
      </c>
      <c r="AN26" s="332">
        <v>46633</v>
      </c>
      <c r="AO26" s="333" t="s">
        <v>443</v>
      </c>
      <c r="AP26" s="335"/>
      <c r="AQ26" s="339">
        <v>47359</v>
      </c>
      <c r="AR26" s="340">
        <v>47359</v>
      </c>
      <c r="AS26" s="337">
        <v>47433</v>
      </c>
      <c r="AT26" s="332"/>
      <c r="AU26" s="335"/>
      <c r="AV26" s="337" t="s">
        <v>443</v>
      </c>
      <c r="AW26" s="335">
        <v>46745</v>
      </c>
      <c r="AX26" s="337">
        <v>46731</v>
      </c>
      <c r="AY26" s="332">
        <v>46731</v>
      </c>
      <c r="AZ26" s="332">
        <v>47433</v>
      </c>
      <c r="BA26" s="332">
        <v>46702</v>
      </c>
      <c r="BB26" s="332">
        <v>46308</v>
      </c>
      <c r="BC26" s="332">
        <v>46731</v>
      </c>
      <c r="BD26" s="332" t="s">
        <v>443</v>
      </c>
      <c r="BE26" s="332">
        <v>46743</v>
      </c>
      <c r="BF26" s="332">
        <v>46786</v>
      </c>
      <c r="BG26" s="335">
        <v>46745</v>
      </c>
      <c r="BH26" s="205"/>
      <c r="BI26" s="205"/>
      <c r="BJ26" s="205"/>
      <c r="BK26" s="205"/>
    </row>
    <row r="27" spans="1:63" s="263" customFormat="1">
      <c r="A27" s="251"/>
      <c r="B27" s="42" t="s">
        <v>352</v>
      </c>
      <c r="C27" s="252" t="s">
        <v>227</v>
      </c>
      <c r="D27" s="117" t="s">
        <v>353</v>
      </c>
      <c r="E27" s="331"/>
      <c r="F27" s="332"/>
      <c r="G27" s="332">
        <v>48042</v>
      </c>
      <c r="H27" s="332">
        <v>47929</v>
      </c>
      <c r="I27" s="332"/>
      <c r="J27" s="332"/>
      <c r="K27" s="332"/>
      <c r="L27" s="332"/>
      <c r="M27" s="332"/>
      <c r="N27" s="332"/>
      <c r="O27" s="332"/>
      <c r="P27" s="332">
        <v>47386</v>
      </c>
      <c r="Q27" s="341">
        <v>47883</v>
      </c>
      <c r="R27" s="332">
        <v>47054</v>
      </c>
      <c r="S27" s="332"/>
      <c r="T27" s="334"/>
      <c r="U27" s="332">
        <v>46757</v>
      </c>
      <c r="V27" s="332">
        <v>46953</v>
      </c>
      <c r="W27" s="334">
        <v>46085</v>
      </c>
      <c r="X27" s="335"/>
      <c r="Y27" s="336"/>
      <c r="Z27" s="337">
        <v>46905</v>
      </c>
      <c r="AA27" s="332" t="s">
        <v>443</v>
      </c>
      <c r="AB27" s="332" t="s">
        <v>443</v>
      </c>
      <c r="AC27" s="335">
        <v>46740</v>
      </c>
      <c r="AD27" s="337">
        <v>46742</v>
      </c>
      <c r="AE27" s="335">
        <v>46721</v>
      </c>
      <c r="AF27" s="331" t="s">
        <v>443</v>
      </c>
      <c r="AG27" s="332" t="s">
        <v>443</v>
      </c>
      <c r="AH27" s="332"/>
      <c r="AI27" s="332"/>
      <c r="AJ27" s="332"/>
      <c r="AK27" s="332"/>
      <c r="AL27" s="335"/>
      <c r="AM27" s="337">
        <v>46722</v>
      </c>
      <c r="AN27" s="332">
        <v>46721</v>
      </c>
      <c r="AO27" s="333" t="s">
        <v>443</v>
      </c>
      <c r="AP27" s="335"/>
      <c r="AQ27" s="339">
        <v>48023</v>
      </c>
      <c r="AR27" s="340"/>
      <c r="AS27" s="337">
        <v>47247</v>
      </c>
      <c r="AT27" s="332"/>
      <c r="AU27" s="335"/>
      <c r="AV27" s="337" t="s">
        <v>443</v>
      </c>
      <c r="AW27" s="335">
        <v>46740</v>
      </c>
      <c r="AX27" s="337">
        <v>46806</v>
      </c>
      <c r="AY27" s="332">
        <v>46515</v>
      </c>
      <c r="AZ27" s="332">
        <v>47246</v>
      </c>
      <c r="BA27" s="332">
        <v>46516</v>
      </c>
      <c r="BB27" s="332">
        <v>47315</v>
      </c>
      <c r="BC27" s="332">
        <v>46806</v>
      </c>
      <c r="BD27" s="332" t="s">
        <v>443</v>
      </c>
      <c r="BE27" s="332">
        <v>46723</v>
      </c>
      <c r="BF27" s="332">
        <v>47110</v>
      </c>
      <c r="BG27" s="335">
        <v>46743</v>
      </c>
      <c r="BH27" s="205"/>
      <c r="BI27" s="205"/>
      <c r="BJ27" s="205"/>
      <c r="BK27" s="205"/>
    </row>
    <row r="28" spans="1:63" s="263" customFormat="1">
      <c r="A28" s="251"/>
      <c r="B28" s="42" t="s">
        <v>382</v>
      </c>
      <c r="C28" s="252" t="s">
        <v>227</v>
      </c>
      <c r="D28" s="117" t="s">
        <v>383</v>
      </c>
      <c r="E28" s="331"/>
      <c r="F28" s="332"/>
      <c r="G28" s="332"/>
      <c r="H28" s="332">
        <v>47096</v>
      </c>
      <c r="I28" s="332"/>
      <c r="J28" s="332"/>
      <c r="K28" s="332"/>
      <c r="L28" s="332"/>
      <c r="M28" s="332">
        <v>47550</v>
      </c>
      <c r="N28" s="332"/>
      <c r="O28" s="332"/>
      <c r="P28" s="332">
        <v>46973</v>
      </c>
      <c r="Q28" s="341">
        <v>47209</v>
      </c>
      <c r="R28" s="332">
        <v>47344</v>
      </c>
      <c r="S28" s="332"/>
      <c r="T28" s="334"/>
      <c r="U28" s="332">
        <v>46856</v>
      </c>
      <c r="V28" s="332">
        <v>46985</v>
      </c>
      <c r="W28" s="334"/>
      <c r="X28" s="335"/>
      <c r="Y28" s="336">
        <v>47787</v>
      </c>
      <c r="Z28" s="337">
        <v>46631</v>
      </c>
      <c r="AA28" s="332" t="s">
        <v>443</v>
      </c>
      <c r="AB28" s="332" t="s">
        <v>443</v>
      </c>
      <c r="AC28" s="335">
        <v>46756</v>
      </c>
      <c r="AD28" s="337">
        <v>46756</v>
      </c>
      <c r="AE28" s="335">
        <v>46714</v>
      </c>
      <c r="AF28" s="331"/>
      <c r="AG28" s="332"/>
      <c r="AH28" s="332"/>
      <c r="AI28" s="332"/>
      <c r="AJ28" s="332"/>
      <c r="AK28" s="332"/>
      <c r="AL28" s="335"/>
      <c r="AM28" s="337">
        <v>46665</v>
      </c>
      <c r="AN28" s="332">
        <v>46665</v>
      </c>
      <c r="AO28" s="333" t="s">
        <v>443</v>
      </c>
      <c r="AP28" s="335"/>
      <c r="AQ28" s="339">
        <v>46565</v>
      </c>
      <c r="AR28" s="340">
        <v>46565</v>
      </c>
      <c r="AS28" s="337">
        <v>47246</v>
      </c>
      <c r="AT28" s="332"/>
      <c r="AU28" s="335"/>
      <c r="AV28" s="337" t="s">
        <v>443</v>
      </c>
      <c r="AW28" s="335">
        <v>46460</v>
      </c>
      <c r="AX28" s="337">
        <v>46769</v>
      </c>
      <c r="AY28" s="332">
        <v>46853</v>
      </c>
      <c r="AZ28" s="332">
        <v>46515</v>
      </c>
      <c r="BA28" s="332">
        <v>46515</v>
      </c>
      <c r="BB28" s="332">
        <v>46308</v>
      </c>
      <c r="BC28" s="332">
        <v>46769</v>
      </c>
      <c r="BD28" s="332" t="s">
        <v>443</v>
      </c>
      <c r="BE28" s="332">
        <v>46714</v>
      </c>
      <c r="BF28" s="332">
        <v>46769</v>
      </c>
      <c r="BG28" s="335">
        <v>46756</v>
      </c>
      <c r="BH28" s="205"/>
      <c r="BI28" s="205"/>
      <c r="BJ28" s="205"/>
      <c r="BK28" s="205"/>
    </row>
    <row r="29" spans="1:63" s="263" customFormat="1">
      <c r="A29" s="251"/>
      <c r="B29" s="42" t="s">
        <v>342</v>
      </c>
      <c r="C29" s="252" t="s">
        <v>227</v>
      </c>
      <c r="D29" s="117" t="s">
        <v>343</v>
      </c>
      <c r="E29" s="331"/>
      <c r="F29" s="332"/>
      <c r="G29" s="332"/>
      <c r="H29" s="332">
        <v>47296</v>
      </c>
      <c r="I29" s="332"/>
      <c r="J29" s="332"/>
      <c r="K29" s="332"/>
      <c r="L29" s="332"/>
      <c r="M29" s="332"/>
      <c r="N29" s="332"/>
      <c r="O29" s="332"/>
      <c r="P29" s="332">
        <v>47296</v>
      </c>
      <c r="Q29" s="341" t="s">
        <v>445</v>
      </c>
      <c r="R29" s="332">
        <v>47296</v>
      </c>
      <c r="S29" s="332"/>
      <c r="T29" s="334"/>
      <c r="U29" s="332">
        <v>46465</v>
      </c>
      <c r="V29" s="332">
        <v>46759</v>
      </c>
      <c r="W29" s="334"/>
      <c r="X29" s="335"/>
      <c r="Y29" s="336"/>
      <c r="Z29" s="337">
        <v>47392</v>
      </c>
      <c r="AA29" s="332" t="s">
        <v>443</v>
      </c>
      <c r="AB29" s="332" t="s">
        <v>443</v>
      </c>
      <c r="AC29" s="335">
        <v>46769</v>
      </c>
      <c r="AD29" s="337">
        <v>46766</v>
      </c>
      <c r="AE29" s="335">
        <v>46716</v>
      </c>
      <c r="AF29" s="331"/>
      <c r="AG29" s="332"/>
      <c r="AH29" s="332"/>
      <c r="AI29" s="332"/>
      <c r="AJ29" s="332"/>
      <c r="AK29" s="332"/>
      <c r="AL29" s="335"/>
      <c r="AM29" s="337">
        <v>46652</v>
      </c>
      <c r="AN29" s="332">
        <v>46651</v>
      </c>
      <c r="AO29" s="333" t="s">
        <v>443</v>
      </c>
      <c r="AP29" s="335"/>
      <c r="AQ29" s="339"/>
      <c r="AR29" s="340"/>
      <c r="AS29" s="337">
        <v>47488</v>
      </c>
      <c r="AT29" s="332"/>
      <c r="AU29" s="335"/>
      <c r="AV29" s="337" t="s">
        <v>443</v>
      </c>
      <c r="AW29" s="335">
        <v>46474</v>
      </c>
      <c r="AX29" s="337">
        <v>46769</v>
      </c>
      <c r="AY29" s="332">
        <v>46392</v>
      </c>
      <c r="AZ29" s="332">
        <v>47488</v>
      </c>
      <c r="BA29" s="332">
        <v>46757</v>
      </c>
      <c r="BB29" s="332">
        <v>46308</v>
      </c>
      <c r="BC29" s="332">
        <v>46769</v>
      </c>
      <c r="BD29" s="332" t="s">
        <v>443</v>
      </c>
      <c r="BE29" s="332">
        <v>46770</v>
      </c>
      <c r="BF29" s="332">
        <v>46770</v>
      </c>
      <c r="BG29" s="335">
        <v>46769</v>
      </c>
      <c r="BH29" s="205"/>
      <c r="BI29" s="205"/>
      <c r="BJ29" s="205"/>
      <c r="BK29" s="205"/>
    </row>
    <row r="30" spans="1:63" s="263" customFormat="1">
      <c r="A30" s="251"/>
      <c r="B30" s="42" t="s">
        <v>412</v>
      </c>
      <c r="C30" s="252" t="s">
        <v>228</v>
      </c>
      <c r="D30" s="117" t="s">
        <v>448</v>
      </c>
      <c r="E30" s="331"/>
      <c r="F30" s="332"/>
      <c r="G30" s="332"/>
      <c r="H30" s="332"/>
      <c r="I30" s="332">
        <v>47051</v>
      </c>
      <c r="J30" s="332"/>
      <c r="K30" s="332"/>
      <c r="L30" s="332"/>
      <c r="M30" s="332"/>
      <c r="N30" s="332"/>
      <c r="O30" s="332"/>
      <c r="P30" s="332"/>
      <c r="Q30" s="332"/>
      <c r="R30" s="332"/>
      <c r="S30" s="332"/>
      <c r="T30" s="334"/>
      <c r="U30" s="332">
        <v>46596</v>
      </c>
      <c r="V30" s="332">
        <v>46433</v>
      </c>
      <c r="W30" s="334"/>
      <c r="X30" s="335"/>
      <c r="Y30" s="336"/>
      <c r="Z30" s="337">
        <v>46447</v>
      </c>
      <c r="AA30" s="332"/>
      <c r="AB30" s="332" t="s">
        <v>443</v>
      </c>
      <c r="AC30" s="335">
        <v>46743</v>
      </c>
      <c r="AD30" s="342"/>
      <c r="AE30" s="335">
        <v>46728</v>
      </c>
      <c r="AF30" s="331"/>
      <c r="AG30" s="332"/>
      <c r="AH30" s="332"/>
      <c r="AI30" s="332"/>
      <c r="AJ30" s="332"/>
      <c r="AK30" s="332"/>
      <c r="AL30" s="335"/>
      <c r="AM30" s="337">
        <v>46721</v>
      </c>
      <c r="AN30" s="332">
        <v>46626</v>
      </c>
      <c r="AO30" s="332" t="s">
        <v>444</v>
      </c>
      <c r="AP30" s="335"/>
      <c r="AQ30" s="337"/>
      <c r="AR30" s="335"/>
      <c r="AS30" s="337">
        <v>47246</v>
      </c>
      <c r="AT30" s="332">
        <v>46808</v>
      </c>
      <c r="AU30" s="335">
        <v>46808</v>
      </c>
      <c r="AV30" s="337" t="s">
        <v>443</v>
      </c>
      <c r="AW30" s="335">
        <v>46457</v>
      </c>
      <c r="AX30" s="337">
        <v>46728</v>
      </c>
      <c r="AY30" s="332">
        <v>46851</v>
      </c>
      <c r="AZ30" s="332">
        <v>47246</v>
      </c>
      <c r="BA30" s="332">
        <v>46516</v>
      </c>
      <c r="BB30" s="332">
        <v>47317</v>
      </c>
      <c r="BC30" s="332">
        <v>46728</v>
      </c>
      <c r="BD30" s="332" t="s">
        <v>443</v>
      </c>
      <c r="BE30" s="332">
        <v>46728</v>
      </c>
      <c r="BF30" s="332">
        <v>46768</v>
      </c>
      <c r="BG30" s="335">
        <v>46744</v>
      </c>
      <c r="BH30" s="205"/>
      <c r="BI30" s="205"/>
      <c r="BJ30" s="205"/>
      <c r="BK30" s="205"/>
    </row>
    <row r="31" spans="1:63" s="263" customFormat="1">
      <c r="A31" s="251"/>
      <c r="B31" s="42" t="s">
        <v>414</v>
      </c>
      <c r="C31" s="252" t="s">
        <v>228</v>
      </c>
      <c r="D31" s="117" t="s">
        <v>415</v>
      </c>
      <c r="E31" s="331"/>
      <c r="F31" s="332"/>
      <c r="G31" s="332"/>
      <c r="H31" s="332"/>
      <c r="I31" s="332">
        <v>47453</v>
      </c>
      <c r="J31" s="332"/>
      <c r="K31" s="332"/>
      <c r="L31" s="332"/>
      <c r="M31" s="332"/>
      <c r="N31" s="332"/>
      <c r="O31" s="332"/>
      <c r="P31" s="332"/>
      <c r="Q31" s="332"/>
      <c r="R31" s="332"/>
      <c r="S31" s="332"/>
      <c r="T31" s="334"/>
      <c r="U31" s="332">
        <v>46731</v>
      </c>
      <c r="V31" s="332">
        <v>46769</v>
      </c>
      <c r="W31" s="334"/>
      <c r="X31" s="335"/>
      <c r="Y31" s="336"/>
      <c r="Z31" s="337">
        <v>46753</v>
      </c>
      <c r="AA31" s="332"/>
      <c r="AB31" s="332" t="s">
        <v>443</v>
      </c>
      <c r="AC31" s="335">
        <v>46756</v>
      </c>
      <c r="AD31" s="342"/>
      <c r="AE31" s="335">
        <v>46717</v>
      </c>
      <c r="AF31" s="331"/>
      <c r="AG31" s="332"/>
      <c r="AH31" s="332"/>
      <c r="AI31" s="332"/>
      <c r="AJ31" s="332"/>
      <c r="AK31" s="332"/>
      <c r="AL31" s="335"/>
      <c r="AM31" s="337">
        <v>46643</v>
      </c>
      <c r="AN31" s="332">
        <v>46649</v>
      </c>
      <c r="AO31" s="332" t="s">
        <v>444</v>
      </c>
      <c r="AP31" s="335"/>
      <c r="AQ31" s="337"/>
      <c r="AR31" s="335"/>
      <c r="AS31" s="337">
        <v>47246</v>
      </c>
      <c r="AT31" s="332">
        <v>46677</v>
      </c>
      <c r="AU31" s="335">
        <v>46677</v>
      </c>
      <c r="AV31" s="337" t="s">
        <v>443</v>
      </c>
      <c r="AW31" s="335">
        <v>46722</v>
      </c>
      <c r="AX31" s="337">
        <v>46769</v>
      </c>
      <c r="AY31" s="332">
        <v>46821</v>
      </c>
      <c r="AZ31" s="332">
        <v>46881</v>
      </c>
      <c r="BA31" s="332">
        <v>46515</v>
      </c>
      <c r="BB31" s="332">
        <v>46308</v>
      </c>
      <c r="BC31" s="332">
        <v>46769</v>
      </c>
      <c r="BD31" s="332" t="s">
        <v>443</v>
      </c>
      <c r="BE31" s="332">
        <v>46717</v>
      </c>
      <c r="BF31" s="332">
        <v>46643</v>
      </c>
      <c r="BG31" s="335">
        <v>46756</v>
      </c>
      <c r="BH31" s="205"/>
      <c r="BI31" s="205"/>
      <c r="BJ31" s="205"/>
      <c r="BK31" s="205"/>
    </row>
    <row r="32" spans="1:63" s="263" customFormat="1">
      <c r="A32" s="251"/>
      <c r="B32" s="42" t="s">
        <v>346</v>
      </c>
      <c r="C32" s="252" t="s">
        <v>229</v>
      </c>
      <c r="D32" s="117" t="s">
        <v>347</v>
      </c>
      <c r="E32" s="331"/>
      <c r="F32" s="332"/>
      <c r="G32" s="332"/>
      <c r="H32" s="332"/>
      <c r="I32" s="332"/>
      <c r="J32" s="332">
        <v>47247</v>
      </c>
      <c r="K32" s="332"/>
      <c r="L32" s="332"/>
      <c r="M32" s="332"/>
      <c r="N32" s="332"/>
      <c r="O32" s="332"/>
      <c r="P32" s="332"/>
      <c r="Q32" s="332"/>
      <c r="R32" s="332"/>
      <c r="S32" s="332"/>
      <c r="T32" s="334"/>
      <c r="U32" s="332">
        <v>46660</v>
      </c>
      <c r="V32" s="332">
        <v>46440</v>
      </c>
      <c r="W32" s="334"/>
      <c r="X32" s="335"/>
      <c r="Y32" s="336"/>
      <c r="Z32" s="337">
        <v>46692</v>
      </c>
      <c r="AA32" s="332"/>
      <c r="AB32" s="332" t="s">
        <v>443</v>
      </c>
      <c r="AC32" s="335">
        <v>46744</v>
      </c>
      <c r="AD32" s="342"/>
      <c r="AE32" s="335">
        <v>46726</v>
      </c>
      <c r="AF32" s="331"/>
      <c r="AG32" s="332"/>
      <c r="AH32" s="332"/>
      <c r="AI32" s="332"/>
      <c r="AJ32" s="332"/>
      <c r="AK32" s="332"/>
      <c r="AL32" s="335"/>
      <c r="AM32" s="337">
        <v>46627</v>
      </c>
      <c r="AN32" s="332">
        <v>46627</v>
      </c>
      <c r="AO32" s="332" t="s">
        <v>444</v>
      </c>
      <c r="AP32" s="335"/>
      <c r="AQ32" s="337"/>
      <c r="AR32" s="338"/>
      <c r="AS32" s="337">
        <v>47580</v>
      </c>
      <c r="AT32" s="333">
        <v>46331</v>
      </c>
      <c r="AU32" s="338">
        <v>46330</v>
      </c>
      <c r="AV32" s="337" t="s">
        <v>443</v>
      </c>
      <c r="AW32" s="335">
        <v>46727</v>
      </c>
      <c r="AX32" s="337">
        <v>46813</v>
      </c>
      <c r="AY32" s="332">
        <v>46484</v>
      </c>
      <c r="AZ32" s="332">
        <v>47580</v>
      </c>
      <c r="BA32" s="332">
        <v>46848</v>
      </c>
      <c r="BB32" s="332">
        <v>47318</v>
      </c>
      <c r="BC32" s="332">
        <v>46843</v>
      </c>
      <c r="BD32" s="332" t="s">
        <v>443</v>
      </c>
      <c r="BE32" s="332">
        <v>46726</v>
      </c>
      <c r="BF32" s="332">
        <v>46484</v>
      </c>
      <c r="BG32" s="335">
        <v>46744</v>
      </c>
      <c r="BH32" s="205"/>
      <c r="BI32" s="205"/>
      <c r="BJ32" s="205"/>
      <c r="BK32" s="205"/>
    </row>
    <row r="33" spans="1:63" s="263" customFormat="1">
      <c r="A33" s="251"/>
      <c r="B33" s="42" t="s">
        <v>334</v>
      </c>
      <c r="C33" s="252" t="s">
        <v>229</v>
      </c>
      <c r="D33" s="117" t="s">
        <v>335</v>
      </c>
      <c r="E33" s="331"/>
      <c r="F33" s="332"/>
      <c r="G33" s="332"/>
      <c r="H33" s="332"/>
      <c r="I33" s="332"/>
      <c r="J33" s="332">
        <v>46855</v>
      </c>
      <c r="K33" s="332"/>
      <c r="L33" s="332"/>
      <c r="M33" s="332"/>
      <c r="N33" s="332"/>
      <c r="O33" s="332"/>
      <c r="P33" s="332"/>
      <c r="Q33" s="332"/>
      <c r="R33" s="332"/>
      <c r="S33" s="332"/>
      <c r="T33" s="334"/>
      <c r="U33" s="332">
        <v>46955</v>
      </c>
      <c r="V33" s="332">
        <v>46471</v>
      </c>
      <c r="W33" s="334"/>
      <c r="X33" s="335"/>
      <c r="Y33" s="336">
        <v>46933</v>
      </c>
      <c r="Z33" s="337">
        <v>47574</v>
      </c>
      <c r="AA33" s="332"/>
      <c r="AB33" s="332" t="s">
        <v>443</v>
      </c>
      <c r="AC33" s="335">
        <v>46769</v>
      </c>
      <c r="AD33" s="342"/>
      <c r="AE33" s="335">
        <v>46721</v>
      </c>
      <c r="AF33" s="331"/>
      <c r="AG33" s="332"/>
      <c r="AH33" s="332"/>
      <c r="AI33" s="332"/>
      <c r="AJ33" s="332"/>
      <c r="AK33" s="332"/>
      <c r="AL33" s="335"/>
      <c r="AM33" s="337">
        <v>46658</v>
      </c>
      <c r="AN33" s="332">
        <v>46658</v>
      </c>
      <c r="AO33" s="332" t="s">
        <v>444</v>
      </c>
      <c r="AP33" s="335"/>
      <c r="AQ33" s="337"/>
      <c r="AR33" s="338"/>
      <c r="AS33" s="337">
        <v>47248</v>
      </c>
      <c r="AT33" s="333">
        <v>46719</v>
      </c>
      <c r="AU33" s="338">
        <v>46719</v>
      </c>
      <c r="AV33" s="337" t="s">
        <v>443</v>
      </c>
      <c r="AW33" s="335">
        <v>46486</v>
      </c>
      <c r="AX33" s="337">
        <v>46851</v>
      </c>
      <c r="AY33" s="332">
        <v>46866</v>
      </c>
      <c r="AZ33" s="332">
        <v>47247</v>
      </c>
      <c r="BA33" s="332">
        <v>47247</v>
      </c>
      <c r="BB33" s="332">
        <v>46192</v>
      </c>
      <c r="BC33" s="332">
        <v>46851</v>
      </c>
      <c r="BD33" s="332" t="s">
        <v>443</v>
      </c>
      <c r="BE33" s="332">
        <v>46723</v>
      </c>
      <c r="BF33" s="332">
        <v>46768</v>
      </c>
      <c r="BG33" s="335">
        <v>46770</v>
      </c>
      <c r="BH33" s="205"/>
      <c r="BI33" s="205"/>
      <c r="BJ33" s="205"/>
      <c r="BK33" s="205"/>
    </row>
    <row r="34" spans="1:63" s="263" customFormat="1">
      <c r="A34" s="251"/>
      <c r="B34" s="42" t="s">
        <v>378</v>
      </c>
      <c r="C34" s="252" t="s">
        <v>230</v>
      </c>
      <c r="D34" s="117" t="s">
        <v>379</v>
      </c>
      <c r="E34" s="331"/>
      <c r="F34" s="332"/>
      <c r="G34" s="332"/>
      <c r="H34" s="332"/>
      <c r="I34" s="332"/>
      <c r="J34" s="332"/>
      <c r="K34" s="332">
        <v>47343</v>
      </c>
      <c r="L34" s="332"/>
      <c r="M34" s="332"/>
      <c r="N34" s="332"/>
      <c r="O34" s="332"/>
      <c r="P34" s="332"/>
      <c r="Q34" s="332"/>
      <c r="R34" s="332"/>
      <c r="S34" s="332"/>
      <c r="T34" s="334"/>
      <c r="U34" s="332">
        <v>46701</v>
      </c>
      <c r="V34" s="332">
        <v>46731</v>
      </c>
      <c r="W34" s="334"/>
      <c r="X34" s="335"/>
      <c r="Y34" s="336"/>
      <c r="Z34" s="337">
        <v>47392</v>
      </c>
      <c r="AA34" s="332"/>
      <c r="AB34" s="332" t="s">
        <v>443</v>
      </c>
      <c r="AC34" s="335"/>
      <c r="AD34" s="342"/>
      <c r="AE34" s="335">
        <v>46744</v>
      </c>
      <c r="AF34" s="331"/>
      <c r="AG34" s="332"/>
      <c r="AH34" s="332"/>
      <c r="AI34" s="332"/>
      <c r="AJ34" s="332"/>
      <c r="AK34" s="332"/>
      <c r="AL34" s="335"/>
      <c r="AM34" s="337">
        <v>46635</v>
      </c>
      <c r="AN34" s="332">
        <v>46635</v>
      </c>
      <c r="AO34" s="332"/>
      <c r="AP34" s="335"/>
      <c r="AQ34" s="337">
        <v>47378</v>
      </c>
      <c r="AR34" s="340">
        <v>47378</v>
      </c>
      <c r="AS34" s="337">
        <v>47357</v>
      </c>
      <c r="AT34" s="333"/>
      <c r="AU34" s="338">
        <v>46859</v>
      </c>
      <c r="AV34" s="337" t="s">
        <v>443</v>
      </c>
      <c r="AW34" s="335">
        <v>46453</v>
      </c>
      <c r="AX34" s="337">
        <v>46731</v>
      </c>
      <c r="AY34" s="332">
        <v>46261</v>
      </c>
      <c r="AZ34" s="332">
        <v>47355</v>
      </c>
      <c r="BA34" s="332">
        <v>46624</v>
      </c>
      <c r="BB34" s="332">
        <v>47317</v>
      </c>
      <c r="BC34" s="332">
        <v>46731</v>
      </c>
      <c r="BD34" s="332" t="s">
        <v>443</v>
      </c>
      <c r="BE34" s="332">
        <v>46731</v>
      </c>
      <c r="BF34" s="332">
        <v>46769</v>
      </c>
      <c r="BG34" s="335">
        <v>46744</v>
      </c>
      <c r="BH34" s="205"/>
      <c r="BI34" s="205"/>
      <c r="BJ34" s="205"/>
      <c r="BK34" s="205"/>
    </row>
    <row r="35" spans="1:63" s="263" customFormat="1">
      <c r="A35" s="251"/>
      <c r="B35" s="42" t="s">
        <v>400</v>
      </c>
      <c r="C35" s="252" t="s">
        <v>230</v>
      </c>
      <c r="D35" s="117" t="s">
        <v>401</v>
      </c>
      <c r="E35" s="331"/>
      <c r="F35" s="332"/>
      <c r="G35" s="332"/>
      <c r="H35" s="332"/>
      <c r="I35" s="332"/>
      <c r="J35" s="332"/>
      <c r="K35" s="332">
        <v>47102</v>
      </c>
      <c r="L35" s="332"/>
      <c r="M35" s="332"/>
      <c r="N35" s="332"/>
      <c r="O35" s="332"/>
      <c r="P35" s="332">
        <v>46349</v>
      </c>
      <c r="Q35" s="332"/>
      <c r="R35" s="332"/>
      <c r="S35" s="332"/>
      <c r="T35" s="334"/>
      <c r="U35" s="332">
        <v>46623</v>
      </c>
      <c r="V35" s="332">
        <v>47169</v>
      </c>
      <c r="W35" s="334">
        <v>46438</v>
      </c>
      <c r="X35" s="335"/>
      <c r="Y35" s="336"/>
      <c r="Z35" s="337">
        <v>47574</v>
      </c>
      <c r="AA35" s="332"/>
      <c r="AB35" s="332" t="s">
        <v>443</v>
      </c>
      <c r="AC35" s="335"/>
      <c r="AD35" s="342"/>
      <c r="AE35" s="335">
        <v>46730</v>
      </c>
      <c r="AF35" s="331"/>
      <c r="AG35" s="332"/>
      <c r="AH35" s="332"/>
      <c r="AI35" s="332"/>
      <c r="AJ35" s="332"/>
      <c r="AK35" s="332"/>
      <c r="AL35" s="335"/>
      <c r="AM35" s="337">
        <v>46731</v>
      </c>
      <c r="AN35" s="332">
        <v>46731</v>
      </c>
      <c r="AO35" s="332"/>
      <c r="AP35" s="335"/>
      <c r="AQ35" s="337">
        <v>47268</v>
      </c>
      <c r="AR35" s="340"/>
      <c r="AS35" s="337">
        <v>47250</v>
      </c>
      <c r="AT35" s="333"/>
      <c r="AU35" s="338" t="s">
        <v>444</v>
      </c>
      <c r="AV35" s="337" t="s">
        <v>443</v>
      </c>
      <c r="AW35" s="335">
        <v>46457</v>
      </c>
      <c r="AX35" s="337">
        <v>46855</v>
      </c>
      <c r="AY35" s="332">
        <v>46854</v>
      </c>
      <c r="AZ35" s="332">
        <v>47613</v>
      </c>
      <c r="BA35" s="332">
        <v>46519</v>
      </c>
      <c r="BB35" s="332">
        <v>47331</v>
      </c>
      <c r="BC35" s="332">
        <v>46855</v>
      </c>
      <c r="BD35" s="332" t="s">
        <v>443</v>
      </c>
      <c r="BE35" s="332">
        <v>46771</v>
      </c>
      <c r="BF35" s="332">
        <v>46771</v>
      </c>
      <c r="BG35" s="335">
        <v>46784</v>
      </c>
      <c r="BH35" s="205"/>
      <c r="BI35" s="205"/>
      <c r="BJ35" s="205"/>
      <c r="BK35" s="205"/>
    </row>
    <row r="36" spans="1:63" s="263" customFormat="1">
      <c r="A36" s="251"/>
      <c r="B36" s="42" t="s">
        <v>428</v>
      </c>
      <c r="C36" s="252" t="s">
        <v>230</v>
      </c>
      <c r="D36" s="117" t="s">
        <v>429</v>
      </c>
      <c r="E36" s="331"/>
      <c r="F36" s="332"/>
      <c r="G36" s="332"/>
      <c r="H36" s="332"/>
      <c r="I36" s="332"/>
      <c r="J36" s="332"/>
      <c r="K36" s="332"/>
      <c r="L36" s="332"/>
      <c r="M36" s="332">
        <v>47838</v>
      </c>
      <c r="N36" s="332">
        <v>47246</v>
      </c>
      <c r="O36" s="332"/>
      <c r="P36" s="332">
        <v>47245</v>
      </c>
      <c r="Q36" s="332"/>
      <c r="R36" s="332"/>
      <c r="S36" s="332"/>
      <c r="T36" s="334"/>
      <c r="U36" s="332">
        <v>46821</v>
      </c>
      <c r="V36" s="332">
        <v>46485</v>
      </c>
      <c r="W36" s="334"/>
      <c r="X36" s="335"/>
      <c r="Y36" s="336"/>
      <c r="Z36" s="337">
        <v>47543</v>
      </c>
      <c r="AA36" s="332"/>
      <c r="AB36" s="332" t="s">
        <v>443</v>
      </c>
      <c r="AC36" s="335"/>
      <c r="AD36" s="342"/>
      <c r="AE36" s="335">
        <v>46727</v>
      </c>
      <c r="AF36" s="331"/>
      <c r="AG36" s="332"/>
      <c r="AH36" s="332"/>
      <c r="AI36" s="332"/>
      <c r="AJ36" s="332"/>
      <c r="AK36" s="332"/>
      <c r="AL36" s="335"/>
      <c r="AM36" s="337">
        <v>46638</v>
      </c>
      <c r="AN36" s="332">
        <v>46630</v>
      </c>
      <c r="AO36" s="332"/>
      <c r="AP36" s="335"/>
      <c r="AQ36" s="337">
        <v>47912</v>
      </c>
      <c r="AR36" s="340"/>
      <c r="AS36" s="337">
        <v>47247</v>
      </c>
      <c r="AT36" s="333"/>
      <c r="AU36" s="338" t="s">
        <v>444</v>
      </c>
      <c r="AV36" s="337" t="s">
        <v>443</v>
      </c>
      <c r="AW36" s="335">
        <v>46455</v>
      </c>
      <c r="AX36" s="337">
        <v>46753</v>
      </c>
      <c r="AY36" s="332">
        <v>46804</v>
      </c>
      <c r="AZ36" s="332">
        <v>47247</v>
      </c>
      <c r="BA36" s="332">
        <v>46516</v>
      </c>
      <c r="BB36" s="332">
        <v>47317</v>
      </c>
      <c r="BC36" s="332">
        <v>46783</v>
      </c>
      <c r="BD36" s="332" t="s">
        <v>443</v>
      </c>
      <c r="BE36" s="332">
        <v>46727</v>
      </c>
      <c r="BF36" s="332">
        <v>46771</v>
      </c>
      <c r="BG36" s="335">
        <v>46771</v>
      </c>
      <c r="BH36" s="205"/>
      <c r="BI36" s="205"/>
      <c r="BJ36" s="205"/>
      <c r="BK36" s="205"/>
    </row>
    <row r="37" spans="1:63" s="263" customFormat="1">
      <c r="A37" s="251"/>
      <c r="B37" s="42" t="s">
        <v>394</v>
      </c>
      <c r="C37" s="252" t="s">
        <v>230</v>
      </c>
      <c r="D37" s="117" t="s">
        <v>395</v>
      </c>
      <c r="E37" s="331"/>
      <c r="F37" s="332"/>
      <c r="G37" s="332"/>
      <c r="H37" s="332"/>
      <c r="I37" s="332"/>
      <c r="J37" s="332"/>
      <c r="K37" s="332"/>
      <c r="L37" s="332"/>
      <c r="M37" s="332">
        <v>47530</v>
      </c>
      <c r="N37" s="332">
        <v>46606</v>
      </c>
      <c r="O37" s="332"/>
      <c r="P37" s="332">
        <v>46606</v>
      </c>
      <c r="Q37" s="332"/>
      <c r="R37" s="332"/>
      <c r="S37" s="332"/>
      <c r="T37" s="334"/>
      <c r="U37" s="332">
        <v>46788</v>
      </c>
      <c r="V37" s="332">
        <v>46993</v>
      </c>
      <c r="W37" s="334"/>
      <c r="X37" s="335"/>
      <c r="Y37" s="336"/>
      <c r="Z37" s="337">
        <v>47058</v>
      </c>
      <c r="AA37" s="332"/>
      <c r="AB37" s="332" t="s">
        <v>443</v>
      </c>
      <c r="AC37" s="335"/>
      <c r="AD37" s="342"/>
      <c r="AE37" s="335">
        <v>46719</v>
      </c>
      <c r="AF37" s="331"/>
      <c r="AG37" s="332"/>
      <c r="AH37" s="332"/>
      <c r="AI37" s="332"/>
      <c r="AJ37" s="332"/>
      <c r="AK37" s="332"/>
      <c r="AL37" s="335"/>
      <c r="AM37" s="337">
        <v>46651</v>
      </c>
      <c r="AN37" s="332">
        <v>46651</v>
      </c>
      <c r="AO37" s="332"/>
      <c r="AP37" s="335"/>
      <c r="AQ37" s="337">
        <v>47296</v>
      </c>
      <c r="AR37" s="340">
        <v>46934</v>
      </c>
      <c r="AS37" s="337">
        <v>47231</v>
      </c>
      <c r="AT37" s="333"/>
      <c r="AU37" s="338" t="s">
        <v>444</v>
      </c>
      <c r="AV37" s="337" t="s">
        <v>449</v>
      </c>
      <c r="AW37" s="335">
        <v>46723</v>
      </c>
      <c r="AX37" s="337">
        <v>46793</v>
      </c>
      <c r="AY37" s="332">
        <v>46794</v>
      </c>
      <c r="AZ37" s="332">
        <v>47230</v>
      </c>
      <c r="BA37" s="332">
        <v>46500</v>
      </c>
      <c r="BB37" s="332">
        <v>46308</v>
      </c>
      <c r="BC37" s="332">
        <v>46793</v>
      </c>
      <c r="BD37" s="332" t="s">
        <v>449</v>
      </c>
      <c r="BE37" s="332">
        <v>46769</v>
      </c>
      <c r="BF37" s="332">
        <v>46769</v>
      </c>
      <c r="BG37" s="335">
        <v>46769</v>
      </c>
      <c r="BH37" s="205"/>
      <c r="BI37" s="205"/>
      <c r="BJ37" s="205"/>
      <c r="BK37" s="205"/>
    </row>
    <row r="38" spans="1:63" s="263" customFormat="1">
      <c r="A38" s="251"/>
      <c r="B38" s="42" t="s">
        <v>340</v>
      </c>
      <c r="C38" s="252" t="s">
        <v>230</v>
      </c>
      <c r="D38" s="117" t="s">
        <v>341</v>
      </c>
      <c r="E38" s="331"/>
      <c r="F38" s="332"/>
      <c r="G38" s="332"/>
      <c r="H38" s="332"/>
      <c r="I38" s="332"/>
      <c r="J38" s="332"/>
      <c r="K38" s="332"/>
      <c r="L38" s="332"/>
      <c r="M38" s="332">
        <v>47831</v>
      </c>
      <c r="N38" s="332"/>
      <c r="O38" s="332"/>
      <c r="P38" s="332">
        <v>47770</v>
      </c>
      <c r="Q38" s="332"/>
      <c r="R38" s="332"/>
      <c r="S38" s="332"/>
      <c r="T38" s="334"/>
      <c r="U38" s="332">
        <v>46660</v>
      </c>
      <c r="V38" s="332">
        <v>46854</v>
      </c>
      <c r="W38" s="334"/>
      <c r="X38" s="335"/>
      <c r="Y38" s="336"/>
      <c r="Z38" s="337">
        <v>46753</v>
      </c>
      <c r="AA38" s="332"/>
      <c r="AB38" s="332" t="s">
        <v>443</v>
      </c>
      <c r="AC38" s="335"/>
      <c r="AD38" s="342"/>
      <c r="AE38" s="335">
        <v>46730</v>
      </c>
      <c r="AF38" s="331"/>
      <c r="AG38" s="332"/>
      <c r="AH38" s="332"/>
      <c r="AI38" s="332"/>
      <c r="AJ38" s="332"/>
      <c r="AK38" s="332"/>
      <c r="AL38" s="335"/>
      <c r="AM38" s="337">
        <v>46641</v>
      </c>
      <c r="AN38" s="332">
        <v>46641</v>
      </c>
      <c r="AO38" s="332"/>
      <c r="AP38" s="335"/>
      <c r="AQ38" s="337">
        <v>47596</v>
      </c>
      <c r="AR38" s="340">
        <v>47596</v>
      </c>
      <c r="AS38" s="337">
        <v>47584</v>
      </c>
      <c r="AT38" s="333">
        <v>46834</v>
      </c>
      <c r="AU38" s="338">
        <v>46837</v>
      </c>
      <c r="AV38" s="337" t="s">
        <v>443</v>
      </c>
      <c r="AW38" s="335">
        <v>46730</v>
      </c>
      <c r="AX38" s="337">
        <v>46483</v>
      </c>
      <c r="AY38" s="332">
        <v>46483</v>
      </c>
      <c r="AZ38" s="332">
        <v>47583</v>
      </c>
      <c r="BA38" s="332">
        <v>46853</v>
      </c>
      <c r="BB38" s="332">
        <v>47332</v>
      </c>
      <c r="BC38" s="332">
        <v>46852</v>
      </c>
      <c r="BD38" s="332" t="s">
        <v>443</v>
      </c>
      <c r="BE38" s="332">
        <v>46783</v>
      </c>
      <c r="BF38" s="332">
        <v>46753</v>
      </c>
      <c r="BG38" s="335">
        <v>46783</v>
      </c>
      <c r="BH38" s="205"/>
      <c r="BI38" s="205"/>
      <c r="BJ38" s="205"/>
      <c r="BK38" s="205"/>
    </row>
    <row r="39" spans="1:63" s="263" customFormat="1">
      <c r="A39" s="251"/>
      <c r="B39" s="42" t="s">
        <v>350</v>
      </c>
      <c r="C39" s="252" t="s">
        <v>230</v>
      </c>
      <c r="D39" s="117" t="s">
        <v>351</v>
      </c>
      <c r="E39" s="331"/>
      <c r="F39" s="332"/>
      <c r="G39" s="332"/>
      <c r="H39" s="332"/>
      <c r="I39" s="332"/>
      <c r="J39" s="332"/>
      <c r="K39" s="332">
        <v>47696</v>
      </c>
      <c r="L39" s="332"/>
      <c r="M39" s="332"/>
      <c r="N39" s="332"/>
      <c r="O39" s="332"/>
      <c r="P39" s="332">
        <v>47834</v>
      </c>
      <c r="Q39" s="332"/>
      <c r="R39" s="332"/>
      <c r="S39" s="332"/>
      <c r="T39" s="334"/>
      <c r="U39" s="332">
        <v>46876</v>
      </c>
      <c r="V39" s="332">
        <v>46949</v>
      </c>
      <c r="W39" s="334"/>
      <c r="X39" s="335"/>
      <c r="Y39" s="336"/>
      <c r="Z39" s="337">
        <v>46388</v>
      </c>
      <c r="AA39" s="332"/>
      <c r="AB39" s="332" t="s">
        <v>443</v>
      </c>
      <c r="AC39" s="335"/>
      <c r="AD39" s="342"/>
      <c r="AE39" s="335">
        <v>46719</v>
      </c>
      <c r="AF39" s="331"/>
      <c r="AG39" s="332"/>
      <c r="AH39" s="332"/>
      <c r="AI39" s="332"/>
      <c r="AJ39" s="332"/>
      <c r="AK39" s="332"/>
      <c r="AL39" s="335"/>
      <c r="AM39" s="337">
        <v>46665</v>
      </c>
      <c r="AN39" s="332">
        <v>46658</v>
      </c>
      <c r="AO39" s="332"/>
      <c r="AP39" s="335"/>
      <c r="AQ39" s="337">
        <v>47956</v>
      </c>
      <c r="AR39" s="340">
        <v>47956</v>
      </c>
      <c r="AS39" s="337">
        <v>47495</v>
      </c>
      <c r="AT39" s="333">
        <v>46731</v>
      </c>
      <c r="AU39" s="338">
        <v>46963</v>
      </c>
      <c r="AV39" s="337" t="s">
        <v>443</v>
      </c>
      <c r="AW39" s="335">
        <v>46769</v>
      </c>
      <c r="AX39" s="337">
        <v>46769</v>
      </c>
      <c r="AY39" s="332">
        <v>46399</v>
      </c>
      <c r="AZ39" s="332">
        <v>47495</v>
      </c>
      <c r="BA39" s="332">
        <v>46764</v>
      </c>
      <c r="BB39" s="332">
        <v>47313</v>
      </c>
      <c r="BC39" s="332">
        <v>46769</v>
      </c>
      <c r="BD39" s="332" t="s">
        <v>443</v>
      </c>
      <c r="BE39" s="332">
        <v>46717</v>
      </c>
      <c r="BF39" s="332">
        <v>46769</v>
      </c>
      <c r="BG39" s="335">
        <v>46769</v>
      </c>
      <c r="BH39" s="205"/>
      <c r="BI39" s="205"/>
      <c r="BJ39" s="205"/>
      <c r="BK39" s="205"/>
    </row>
    <row r="40" spans="1:63" s="263" customFormat="1">
      <c r="A40" s="251"/>
      <c r="B40" s="42" t="s">
        <v>416</v>
      </c>
      <c r="C40" s="252" t="s">
        <v>230</v>
      </c>
      <c r="D40" s="117" t="s">
        <v>417</v>
      </c>
      <c r="E40" s="331"/>
      <c r="F40" s="332"/>
      <c r="G40" s="332"/>
      <c r="H40" s="332"/>
      <c r="I40" s="332"/>
      <c r="J40" s="332"/>
      <c r="K40" s="332">
        <v>46609</v>
      </c>
      <c r="L40" s="332"/>
      <c r="M40" s="332"/>
      <c r="N40" s="332"/>
      <c r="O40" s="332"/>
      <c r="P40" s="332">
        <v>47268</v>
      </c>
      <c r="Q40" s="332"/>
      <c r="R40" s="332"/>
      <c r="S40" s="332"/>
      <c r="T40" s="334"/>
      <c r="U40" s="332">
        <v>46640</v>
      </c>
      <c r="V40" s="332">
        <v>46763</v>
      </c>
      <c r="W40" s="334"/>
      <c r="X40" s="335"/>
      <c r="Y40" s="336"/>
      <c r="Z40" s="337">
        <v>47300</v>
      </c>
      <c r="AA40" s="332"/>
      <c r="AB40" s="332" t="s">
        <v>443</v>
      </c>
      <c r="AC40" s="335"/>
      <c r="AD40" s="342"/>
      <c r="AE40" s="335">
        <v>46717</v>
      </c>
      <c r="AF40" s="331"/>
      <c r="AG40" s="332"/>
      <c r="AH40" s="332"/>
      <c r="AI40" s="332"/>
      <c r="AJ40" s="332"/>
      <c r="AK40" s="332"/>
      <c r="AL40" s="335"/>
      <c r="AM40" s="337">
        <v>46643</v>
      </c>
      <c r="AN40" s="332">
        <v>46643</v>
      </c>
      <c r="AO40" s="332"/>
      <c r="AP40" s="335"/>
      <c r="AQ40" s="337">
        <v>46819</v>
      </c>
      <c r="AR40" s="340">
        <v>46819</v>
      </c>
      <c r="AS40" s="337">
        <v>47285</v>
      </c>
      <c r="AT40" s="333"/>
      <c r="AU40" s="338" t="s">
        <v>444</v>
      </c>
      <c r="AV40" s="337" t="s">
        <v>443</v>
      </c>
      <c r="AW40" s="335">
        <v>46458</v>
      </c>
      <c r="AX40" s="337">
        <v>46922</v>
      </c>
      <c r="AY40" s="332">
        <v>46891</v>
      </c>
      <c r="AZ40" s="332">
        <v>47284</v>
      </c>
      <c r="BA40" s="332">
        <v>46554</v>
      </c>
      <c r="BB40" s="332">
        <v>46308</v>
      </c>
      <c r="BC40" s="332">
        <v>46770</v>
      </c>
      <c r="BD40" s="332" t="s">
        <v>443</v>
      </c>
      <c r="BE40" s="332">
        <v>46718</v>
      </c>
      <c r="BF40" s="332">
        <v>46643</v>
      </c>
      <c r="BG40" s="335">
        <v>46768</v>
      </c>
      <c r="BH40" s="205"/>
      <c r="BI40" s="205"/>
      <c r="BJ40" s="205"/>
      <c r="BK40" s="205"/>
    </row>
    <row r="41" spans="1:63" s="263" customFormat="1">
      <c r="A41" s="251"/>
      <c r="B41" s="42" t="s">
        <v>440</v>
      </c>
      <c r="C41" s="252" t="s">
        <v>230</v>
      </c>
      <c r="D41" s="117" t="s">
        <v>441</v>
      </c>
      <c r="E41" s="331"/>
      <c r="F41" s="332"/>
      <c r="G41" s="332"/>
      <c r="H41" s="332"/>
      <c r="I41" s="332"/>
      <c r="J41" s="332"/>
      <c r="K41" s="332">
        <v>47744</v>
      </c>
      <c r="L41" s="332"/>
      <c r="M41" s="332"/>
      <c r="N41" s="332"/>
      <c r="O41" s="332"/>
      <c r="P41" s="332">
        <v>47233</v>
      </c>
      <c r="Q41" s="332"/>
      <c r="R41" s="332"/>
      <c r="S41" s="332"/>
      <c r="T41" s="334"/>
      <c r="U41" s="332">
        <v>46326</v>
      </c>
      <c r="V41" s="332">
        <v>46662</v>
      </c>
      <c r="W41" s="334"/>
      <c r="X41" s="335"/>
      <c r="Y41" s="336"/>
      <c r="Z41" s="337">
        <v>46784</v>
      </c>
      <c r="AA41" s="332"/>
      <c r="AB41" s="332" t="s">
        <v>443</v>
      </c>
      <c r="AC41" s="335"/>
      <c r="AD41" s="342"/>
      <c r="AE41" s="335">
        <v>46789</v>
      </c>
      <c r="AF41" s="331"/>
      <c r="AG41" s="332"/>
      <c r="AH41" s="332"/>
      <c r="AI41" s="332"/>
      <c r="AJ41" s="332"/>
      <c r="AK41" s="332"/>
      <c r="AL41" s="335"/>
      <c r="AM41" s="337">
        <v>46792</v>
      </c>
      <c r="AN41" s="332">
        <v>47233</v>
      </c>
      <c r="AO41" s="332"/>
      <c r="AP41" s="335"/>
      <c r="AQ41" s="337">
        <v>47394</v>
      </c>
      <c r="AR41" s="340">
        <v>47394</v>
      </c>
      <c r="AS41" s="337">
        <v>47454</v>
      </c>
      <c r="AT41" s="333"/>
      <c r="AU41" s="338" t="s">
        <v>444</v>
      </c>
      <c r="AV41" s="337" t="s">
        <v>443</v>
      </c>
      <c r="AW41" s="335">
        <v>46789</v>
      </c>
      <c r="AX41" s="337">
        <v>46787</v>
      </c>
      <c r="AY41" s="332">
        <v>46357</v>
      </c>
      <c r="AZ41" s="332">
        <v>47454</v>
      </c>
      <c r="BA41" s="332">
        <v>47153</v>
      </c>
      <c r="BB41" s="332">
        <v>46308</v>
      </c>
      <c r="BC41" s="332">
        <v>46787</v>
      </c>
      <c r="BD41" s="332" t="s">
        <v>443</v>
      </c>
      <c r="BE41" s="332">
        <v>46789</v>
      </c>
      <c r="BF41" s="332">
        <v>46787</v>
      </c>
      <c r="BG41" s="335">
        <v>46789</v>
      </c>
      <c r="BH41" s="205"/>
      <c r="BI41" s="205"/>
      <c r="BJ41" s="205"/>
      <c r="BK41" s="205"/>
    </row>
    <row r="42" spans="1:63" s="263" customFormat="1">
      <c r="A42" s="251"/>
      <c r="B42" s="42" t="s">
        <v>380</v>
      </c>
      <c r="C42" s="252" t="s">
        <v>230</v>
      </c>
      <c r="D42" s="117" t="s">
        <v>381</v>
      </c>
      <c r="E42" s="331"/>
      <c r="F42" s="332"/>
      <c r="G42" s="332"/>
      <c r="H42" s="332"/>
      <c r="I42" s="332"/>
      <c r="J42" s="332">
        <v>47408</v>
      </c>
      <c r="K42" s="332"/>
      <c r="L42" s="332"/>
      <c r="M42" s="332"/>
      <c r="N42" s="332"/>
      <c r="O42" s="332"/>
      <c r="P42" s="332"/>
      <c r="Q42" s="332"/>
      <c r="R42" s="332"/>
      <c r="S42" s="332"/>
      <c r="T42" s="334"/>
      <c r="U42" s="332">
        <v>46858</v>
      </c>
      <c r="V42" s="332">
        <v>46866</v>
      </c>
      <c r="W42" s="334"/>
      <c r="X42" s="335"/>
      <c r="Y42" s="336"/>
      <c r="Z42" s="337">
        <v>46600</v>
      </c>
      <c r="AA42" s="332"/>
      <c r="AB42" s="332" t="s">
        <v>443</v>
      </c>
      <c r="AC42" s="335"/>
      <c r="AD42" s="342"/>
      <c r="AE42" s="335">
        <v>46722</v>
      </c>
      <c r="AF42" s="331"/>
      <c r="AG42" s="332"/>
      <c r="AH42" s="332"/>
      <c r="AI42" s="332"/>
      <c r="AJ42" s="332"/>
      <c r="AK42" s="332"/>
      <c r="AL42" s="335"/>
      <c r="AM42" s="337">
        <v>46708</v>
      </c>
      <c r="AN42" s="332">
        <v>46708</v>
      </c>
      <c r="AO42" s="332"/>
      <c r="AP42" s="335"/>
      <c r="AQ42" s="337">
        <v>47541</v>
      </c>
      <c r="AR42" s="340"/>
      <c r="AS42" s="337">
        <v>47810</v>
      </c>
      <c r="AT42" s="333">
        <v>46536</v>
      </c>
      <c r="AU42" s="338">
        <v>46883</v>
      </c>
      <c r="AV42" s="337" t="s">
        <v>443</v>
      </c>
      <c r="AW42" s="335">
        <v>46888</v>
      </c>
      <c r="AX42" s="337">
        <v>46708</v>
      </c>
      <c r="AY42" s="332">
        <v>46708</v>
      </c>
      <c r="AZ42" s="332">
        <v>47810</v>
      </c>
      <c r="BA42" s="332">
        <v>47079</v>
      </c>
      <c r="BB42" s="332">
        <v>46308</v>
      </c>
      <c r="BC42" s="332">
        <v>46708</v>
      </c>
      <c r="BD42" s="332" t="s">
        <v>443</v>
      </c>
      <c r="BE42" s="332">
        <v>46772</v>
      </c>
      <c r="BF42" s="332">
        <v>46708</v>
      </c>
      <c r="BG42" s="335">
        <v>46772</v>
      </c>
      <c r="BH42" s="205"/>
      <c r="BI42" s="205"/>
      <c r="BJ42" s="205"/>
      <c r="BK42" s="205"/>
    </row>
    <row r="43" spans="1:63" s="263" customFormat="1">
      <c r="A43" s="251"/>
      <c r="B43" s="42" t="s">
        <v>404</v>
      </c>
      <c r="C43" s="252" t="s">
        <v>230</v>
      </c>
      <c r="D43" s="117" t="s">
        <v>405</v>
      </c>
      <c r="E43" s="331"/>
      <c r="F43" s="332"/>
      <c r="G43" s="332"/>
      <c r="H43" s="332"/>
      <c r="I43" s="332"/>
      <c r="J43" s="332"/>
      <c r="K43" s="332"/>
      <c r="L43" s="332"/>
      <c r="M43" s="332">
        <v>47701</v>
      </c>
      <c r="N43" s="332"/>
      <c r="O43" s="332"/>
      <c r="P43" s="332">
        <v>47513</v>
      </c>
      <c r="Q43" s="332"/>
      <c r="R43" s="332"/>
      <c r="S43" s="332"/>
      <c r="T43" s="334"/>
      <c r="U43" s="332">
        <v>46344</v>
      </c>
      <c r="V43" s="332">
        <v>46710</v>
      </c>
      <c r="W43" s="334"/>
      <c r="X43" s="335"/>
      <c r="Y43" s="336"/>
      <c r="Z43" s="337">
        <v>46327</v>
      </c>
      <c r="AA43" s="332"/>
      <c r="AB43" s="332" t="s">
        <v>443</v>
      </c>
      <c r="AC43" s="335"/>
      <c r="AD43" s="342"/>
      <c r="AE43" s="335">
        <v>46717</v>
      </c>
      <c r="AF43" s="331"/>
      <c r="AG43" s="332"/>
      <c r="AH43" s="332"/>
      <c r="AI43" s="332"/>
      <c r="AJ43" s="332"/>
      <c r="AK43" s="332"/>
      <c r="AL43" s="335"/>
      <c r="AM43" s="337">
        <v>46717</v>
      </c>
      <c r="AN43" s="332">
        <v>46717</v>
      </c>
      <c r="AO43" s="332"/>
      <c r="AP43" s="335"/>
      <c r="AQ43" s="337">
        <v>48001</v>
      </c>
      <c r="AR43" s="340"/>
      <c r="AS43" s="337">
        <v>47462</v>
      </c>
      <c r="AT43" s="333"/>
      <c r="AU43" s="338" t="s">
        <v>444</v>
      </c>
      <c r="AV43" s="337" t="s">
        <v>443</v>
      </c>
      <c r="AW43" s="335">
        <v>46721</v>
      </c>
      <c r="AX43" s="337">
        <v>46768</v>
      </c>
      <c r="AY43" s="332">
        <v>46365</v>
      </c>
      <c r="AZ43" s="332">
        <v>47462</v>
      </c>
      <c r="BA43" s="332">
        <v>46731</v>
      </c>
      <c r="BB43" s="332">
        <v>46308</v>
      </c>
      <c r="BC43" s="332">
        <v>46768</v>
      </c>
      <c r="BD43" s="332" t="s">
        <v>443</v>
      </c>
      <c r="BE43" s="332">
        <v>46769</v>
      </c>
      <c r="BF43" s="332">
        <v>46768</v>
      </c>
      <c r="BG43" s="335">
        <v>46403</v>
      </c>
      <c r="BH43" s="205"/>
      <c r="BI43" s="205"/>
      <c r="BJ43" s="205"/>
      <c r="BK43" s="205"/>
    </row>
    <row r="44" spans="1:63" s="263" customFormat="1">
      <c r="A44" s="251"/>
      <c r="B44" s="42" t="s">
        <v>388</v>
      </c>
      <c r="C44" s="252" t="s">
        <v>231</v>
      </c>
      <c r="D44" s="117" t="s">
        <v>389</v>
      </c>
      <c r="E44" s="331"/>
      <c r="F44" s="332"/>
      <c r="G44" s="332"/>
      <c r="H44" s="332">
        <v>47750</v>
      </c>
      <c r="I44" s="332"/>
      <c r="J44" s="332"/>
      <c r="K44" s="333"/>
      <c r="L44" s="334"/>
      <c r="M44" s="334"/>
      <c r="N44" s="334">
        <v>47939</v>
      </c>
      <c r="O44" s="333"/>
      <c r="P44" s="343">
        <v>47487</v>
      </c>
      <c r="Q44" s="332"/>
      <c r="R44" s="332"/>
      <c r="S44" s="332"/>
      <c r="T44" s="334">
        <v>47947</v>
      </c>
      <c r="U44" s="332">
        <v>46729</v>
      </c>
      <c r="V44" s="332">
        <v>46808</v>
      </c>
      <c r="W44" s="334">
        <v>46361</v>
      </c>
      <c r="X44" s="344" t="s">
        <v>444</v>
      </c>
      <c r="Y44" s="345"/>
      <c r="Z44" s="337">
        <v>46692</v>
      </c>
      <c r="AA44" s="332"/>
      <c r="AB44" s="332" t="s">
        <v>443</v>
      </c>
      <c r="AC44" s="335"/>
      <c r="AD44" s="342"/>
      <c r="AE44" s="335">
        <v>46796</v>
      </c>
      <c r="AF44" s="331"/>
      <c r="AG44" s="332"/>
      <c r="AH44" s="332"/>
      <c r="AI44" s="332"/>
      <c r="AJ44" s="332"/>
      <c r="AK44" s="332"/>
      <c r="AL44" s="335"/>
      <c r="AM44" s="337">
        <v>46794</v>
      </c>
      <c r="AN44" s="332">
        <v>46794</v>
      </c>
      <c r="AO44" s="332"/>
      <c r="AP44" s="335"/>
      <c r="AQ44" s="337">
        <v>47860</v>
      </c>
      <c r="AR44" s="340">
        <v>47860</v>
      </c>
      <c r="AS44" s="337">
        <v>47889</v>
      </c>
      <c r="AT44" s="333"/>
      <c r="AU44" s="346" t="s">
        <v>444</v>
      </c>
      <c r="AV44" s="337" t="s">
        <v>443</v>
      </c>
      <c r="AW44" s="335">
        <v>46796</v>
      </c>
      <c r="AX44" s="337">
        <v>46792</v>
      </c>
      <c r="AY44" s="332">
        <v>46792</v>
      </c>
      <c r="AZ44" s="332">
        <v>47889</v>
      </c>
      <c r="BA44" s="332">
        <v>47158</v>
      </c>
      <c r="BB44" s="332">
        <v>47314</v>
      </c>
      <c r="BC44" s="332">
        <v>46792</v>
      </c>
      <c r="BD44" s="332" t="s">
        <v>443</v>
      </c>
      <c r="BE44" s="332">
        <v>46796</v>
      </c>
      <c r="BF44" s="332">
        <v>46793</v>
      </c>
      <c r="BG44" s="335">
        <v>46795</v>
      </c>
      <c r="BH44" s="205"/>
      <c r="BI44" s="205"/>
      <c r="BJ44" s="205"/>
      <c r="BK44" s="205"/>
    </row>
    <row r="45" spans="1:63" s="263" customFormat="1">
      <c r="A45" s="251"/>
      <c r="B45" s="42" t="s">
        <v>396</v>
      </c>
      <c r="C45" s="252" t="s">
        <v>231</v>
      </c>
      <c r="D45" s="117" t="s">
        <v>397</v>
      </c>
      <c r="E45" s="331"/>
      <c r="F45" s="332"/>
      <c r="G45" s="332"/>
      <c r="H45" s="332">
        <v>47981</v>
      </c>
      <c r="I45" s="332"/>
      <c r="J45" s="332"/>
      <c r="K45" s="333"/>
      <c r="L45" s="334"/>
      <c r="M45" s="334">
        <v>47406</v>
      </c>
      <c r="N45" s="334"/>
      <c r="O45" s="333"/>
      <c r="P45" s="343">
        <v>46590</v>
      </c>
      <c r="Q45" s="332">
        <v>48015</v>
      </c>
      <c r="R45" s="332">
        <v>46552</v>
      </c>
      <c r="S45" s="332"/>
      <c r="T45" s="334"/>
      <c r="U45" s="332">
        <v>46590</v>
      </c>
      <c r="V45" s="332">
        <v>47300</v>
      </c>
      <c r="W45" s="334"/>
      <c r="X45" s="344" t="s">
        <v>444</v>
      </c>
      <c r="Y45" s="345"/>
      <c r="Z45" s="337">
        <v>46874</v>
      </c>
      <c r="AA45" s="332"/>
      <c r="AB45" s="332" t="s">
        <v>444</v>
      </c>
      <c r="AC45" s="335"/>
      <c r="AD45" s="342"/>
      <c r="AE45" s="335">
        <v>46732</v>
      </c>
      <c r="AF45" s="331"/>
      <c r="AG45" s="332"/>
      <c r="AH45" s="332"/>
      <c r="AI45" s="332"/>
      <c r="AJ45" s="332"/>
      <c r="AK45" s="332"/>
      <c r="AL45" s="335"/>
      <c r="AM45" s="337">
        <v>46732</v>
      </c>
      <c r="AN45" s="332">
        <v>46732</v>
      </c>
      <c r="AO45" s="332"/>
      <c r="AP45" s="335"/>
      <c r="AQ45" s="337">
        <v>47443</v>
      </c>
      <c r="AR45" s="340"/>
      <c r="AS45" s="337">
        <v>47661</v>
      </c>
      <c r="AT45" s="333"/>
      <c r="AU45" s="346" t="s">
        <v>444</v>
      </c>
      <c r="AV45" s="337" t="s">
        <v>443</v>
      </c>
      <c r="AW45" s="335">
        <v>46732</v>
      </c>
      <c r="AX45" s="337">
        <v>46564</v>
      </c>
      <c r="AY45" s="332">
        <v>46564</v>
      </c>
      <c r="AZ45" s="332">
        <v>47663</v>
      </c>
      <c r="BA45" s="332">
        <v>46932</v>
      </c>
      <c r="BB45" s="332">
        <v>46308</v>
      </c>
      <c r="BC45" s="332">
        <v>46567</v>
      </c>
      <c r="BD45" s="332" t="s">
        <v>443</v>
      </c>
      <c r="BE45" s="332">
        <v>46732</v>
      </c>
      <c r="BF45" s="332">
        <v>46564</v>
      </c>
      <c r="BG45" s="335">
        <v>46774</v>
      </c>
      <c r="BH45" s="205"/>
      <c r="BI45" s="205"/>
      <c r="BJ45" s="205"/>
      <c r="BK45" s="205"/>
    </row>
    <row r="46" spans="1:63" s="263" customFormat="1">
      <c r="A46" s="251"/>
      <c r="B46" s="42" t="s">
        <v>364</v>
      </c>
      <c r="C46" s="252" t="s">
        <v>231</v>
      </c>
      <c r="D46" s="117" t="s">
        <v>365</v>
      </c>
      <c r="E46" s="331"/>
      <c r="F46" s="332"/>
      <c r="G46" s="332"/>
      <c r="H46" s="332">
        <v>47693</v>
      </c>
      <c r="I46" s="332"/>
      <c r="J46" s="332"/>
      <c r="K46" s="333"/>
      <c r="L46" s="334"/>
      <c r="M46" s="334">
        <v>47787</v>
      </c>
      <c r="N46" s="334">
        <v>47729</v>
      </c>
      <c r="O46" s="333"/>
      <c r="P46" s="343"/>
      <c r="Q46" s="332"/>
      <c r="R46" s="332"/>
      <c r="S46" s="332"/>
      <c r="T46" s="334"/>
      <c r="U46" s="332">
        <v>46828</v>
      </c>
      <c r="V46" s="332">
        <v>47238</v>
      </c>
      <c r="W46" s="334">
        <v>46507</v>
      </c>
      <c r="X46" s="344" t="s">
        <v>443</v>
      </c>
      <c r="Y46" s="345"/>
      <c r="Z46" s="337">
        <v>47484</v>
      </c>
      <c r="AA46" s="332"/>
      <c r="AB46" s="332" t="s">
        <v>443</v>
      </c>
      <c r="AC46" s="335"/>
      <c r="AD46" s="342"/>
      <c r="AE46" s="335">
        <v>46727</v>
      </c>
      <c r="AF46" s="331"/>
      <c r="AG46" s="332"/>
      <c r="AH46" s="332"/>
      <c r="AI46" s="332"/>
      <c r="AJ46" s="332"/>
      <c r="AK46" s="332"/>
      <c r="AL46" s="335"/>
      <c r="AM46" s="337">
        <v>46636</v>
      </c>
      <c r="AN46" s="332">
        <v>46636</v>
      </c>
      <c r="AO46" s="332"/>
      <c r="AP46" s="335"/>
      <c r="AQ46" s="337">
        <v>47202</v>
      </c>
      <c r="AR46" s="340">
        <v>47202</v>
      </c>
      <c r="AS46" s="337">
        <v>47246</v>
      </c>
      <c r="AT46" s="333"/>
      <c r="AU46" s="346" t="s">
        <v>444</v>
      </c>
      <c r="AV46" s="337" t="s">
        <v>443</v>
      </c>
      <c r="AW46" s="335">
        <v>46448</v>
      </c>
      <c r="AX46" s="337">
        <v>46514</v>
      </c>
      <c r="AY46" s="332">
        <v>46515</v>
      </c>
      <c r="AZ46" s="332">
        <v>47246</v>
      </c>
      <c r="BA46" s="332">
        <v>46515</v>
      </c>
      <c r="BB46" s="332">
        <v>47315</v>
      </c>
      <c r="BC46" s="332">
        <v>46514</v>
      </c>
      <c r="BD46" s="332" t="s">
        <v>443</v>
      </c>
      <c r="BE46" s="332">
        <v>46723</v>
      </c>
      <c r="BF46" s="332">
        <v>46563</v>
      </c>
      <c r="BG46" s="335">
        <v>46769</v>
      </c>
      <c r="BH46" s="205"/>
      <c r="BI46" s="205"/>
      <c r="BJ46" s="205"/>
      <c r="BK46" s="205"/>
    </row>
    <row r="47" spans="1:63" s="263" customFormat="1">
      <c r="A47" s="251"/>
      <c r="B47" s="42" t="s">
        <v>370</v>
      </c>
      <c r="C47" s="252" t="s">
        <v>231</v>
      </c>
      <c r="D47" s="117" t="s">
        <v>371</v>
      </c>
      <c r="E47" s="331"/>
      <c r="F47" s="332"/>
      <c r="G47" s="332"/>
      <c r="H47" s="332"/>
      <c r="I47" s="332"/>
      <c r="J47" s="332"/>
      <c r="K47" s="333"/>
      <c r="L47" s="334">
        <v>46693</v>
      </c>
      <c r="M47" s="334"/>
      <c r="N47" s="334"/>
      <c r="O47" s="333"/>
      <c r="P47" s="343">
        <v>47182</v>
      </c>
      <c r="Q47" s="332"/>
      <c r="R47" s="332"/>
      <c r="S47" s="332"/>
      <c r="T47" s="334"/>
      <c r="U47" s="332">
        <v>46830</v>
      </c>
      <c r="V47" s="332">
        <v>46072</v>
      </c>
      <c r="W47" s="334">
        <v>45707</v>
      </c>
      <c r="X47" s="344" t="s">
        <v>443</v>
      </c>
      <c r="Y47" s="345"/>
      <c r="Z47" s="337">
        <v>47574</v>
      </c>
      <c r="AA47" s="332"/>
      <c r="AB47" s="332" t="s">
        <v>443</v>
      </c>
      <c r="AC47" s="335"/>
      <c r="AD47" s="342"/>
      <c r="AE47" s="335">
        <v>46729</v>
      </c>
      <c r="AF47" s="331"/>
      <c r="AG47" s="332"/>
      <c r="AH47" s="332"/>
      <c r="AI47" s="332"/>
      <c r="AJ47" s="332"/>
      <c r="AK47" s="332"/>
      <c r="AL47" s="335"/>
      <c r="AM47" s="337">
        <v>46729</v>
      </c>
      <c r="AN47" s="332">
        <v>46729</v>
      </c>
      <c r="AO47" s="332"/>
      <c r="AP47" s="335"/>
      <c r="AQ47" s="337">
        <v>47199</v>
      </c>
      <c r="AR47" s="340" t="s">
        <v>444</v>
      </c>
      <c r="AS47" s="337">
        <v>47246</v>
      </c>
      <c r="AT47" s="333"/>
      <c r="AU47" s="346" t="s">
        <v>444</v>
      </c>
      <c r="AV47" s="337" t="s">
        <v>443</v>
      </c>
      <c r="AW47" s="335">
        <v>46460</v>
      </c>
      <c r="AX47" s="337">
        <v>46806</v>
      </c>
      <c r="AY47" s="332">
        <v>46852</v>
      </c>
      <c r="AZ47" s="332">
        <v>47246</v>
      </c>
      <c r="BA47" s="332">
        <v>46515</v>
      </c>
      <c r="BB47" s="332">
        <v>47316</v>
      </c>
      <c r="BC47" s="332">
        <v>46806</v>
      </c>
      <c r="BD47" s="332" t="s">
        <v>443</v>
      </c>
      <c r="BE47" s="332">
        <v>46729</v>
      </c>
      <c r="BF47" s="332">
        <v>46783</v>
      </c>
      <c r="BG47" s="335">
        <v>46418</v>
      </c>
      <c r="BH47" s="205"/>
      <c r="BI47" s="205"/>
      <c r="BJ47" s="205"/>
      <c r="BK47" s="205"/>
    </row>
    <row r="48" spans="1:63" s="263" customFormat="1">
      <c r="A48" s="251"/>
      <c r="B48" s="42" t="s">
        <v>450</v>
      </c>
      <c r="C48" s="252" t="s">
        <v>231</v>
      </c>
      <c r="D48" s="117" t="s">
        <v>333</v>
      </c>
      <c r="E48" s="331"/>
      <c r="F48" s="332"/>
      <c r="G48" s="332"/>
      <c r="H48" s="332"/>
      <c r="I48" s="332"/>
      <c r="J48" s="332"/>
      <c r="K48" s="333"/>
      <c r="L48" s="334">
        <v>47030</v>
      </c>
      <c r="M48" s="334">
        <v>47090</v>
      </c>
      <c r="N48" s="334">
        <v>47664</v>
      </c>
      <c r="O48" s="333"/>
      <c r="P48" s="343"/>
      <c r="Q48" s="332"/>
      <c r="R48" s="332"/>
      <c r="S48" s="332"/>
      <c r="T48" s="334">
        <v>47260</v>
      </c>
      <c r="U48" s="332">
        <v>46929</v>
      </c>
      <c r="V48" s="332">
        <v>46147</v>
      </c>
      <c r="W48" s="334">
        <v>46066</v>
      </c>
      <c r="X48" s="344" t="s">
        <v>443</v>
      </c>
      <c r="Y48" s="345"/>
      <c r="Z48" s="337">
        <v>47604</v>
      </c>
      <c r="AA48" s="332"/>
      <c r="AB48" s="332" t="s">
        <v>443</v>
      </c>
      <c r="AC48" s="335"/>
      <c r="AD48" s="342"/>
      <c r="AE48" s="335">
        <v>46726</v>
      </c>
      <c r="AF48" s="331"/>
      <c r="AG48" s="332"/>
      <c r="AH48" s="332"/>
      <c r="AI48" s="332"/>
      <c r="AJ48" s="332"/>
      <c r="AK48" s="332"/>
      <c r="AL48" s="335"/>
      <c r="AM48" s="337">
        <v>46677</v>
      </c>
      <c r="AN48" s="332">
        <v>46677</v>
      </c>
      <c r="AO48" s="332"/>
      <c r="AP48" s="335"/>
      <c r="AQ48" s="337">
        <v>47723</v>
      </c>
      <c r="AR48" s="340">
        <v>47723</v>
      </c>
      <c r="AS48" s="337">
        <v>47242</v>
      </c>
      <c r="AT48" s="333">
        <v>46853</v>
      </c>
      <c r="AU48" s="346">
        <v>46851</v>
      </c>
      <c r="AV48" s="337" t="s">
        <v>443</v>
      </c>
      <c r="AW48" s="335">
        <v>46453</v>
      </c>
      <c r="AX48" s="337">
        <v>46782</v>
      </c>
      <c r="AY48" s="332">
        <v>46843</v>
      </c>
      <c r="AZ48" s="332">
        <v>47242</v>
      </c>
      <c r="BA48" s="332">
        <v>46511</v>
      </c>
      <c r="BB48" s="332">
        <v>47322</v>
      </c>
      <c r="BC48" s="332">
        <v>46782</v>
      </c>
      <c r="BD48" s="332" t="s">
        <v>443</v>
      </c>
      <c r="BE48" s="332">
        <v>46726</v>
      </c>
      <c r="BF48" s="332">
        <v>46678</v>
      </c>
      <c r="BG48" s="335">
        <v>46742</v>
      </c>
      <c r="BH48" s="205"/>
      <c r="BI48" s="205"/>
      <c r="BJ48" s="205"/>
      <c r="BK48" s="205"/>
    </row>
    <row r="49" spans="1:63" s="263" customFormat="1">
      <c r="A49" s="251"/>
      <c r="B49" s="42" t="s">
        <v>390</v>
      </c>
      <c r="C49" s="252" t="s">
        <v>231</v>
      </c>
      <c r="D49" s="117" t="s">
        <v>391</v>
      </c>
      <c r="E49" s="331"/>
      <c r="F49" s="332"/>
      <c r="G49" s="332"/>
      <c r="H49" s="332"/>
      <c r="I49" s="332"/>
      <c r="J49" s="332"/>
      <c r="K49" s="333"/>
      <c r="L49" s="334">
        <v>47879</v>
      </c>
      <c r="M49" s="334">
        <v>47099</v>
      </c>
      <c r="N49" s="334">
        <v>47099</v>
      </c>
      <c r="O49" s="333"/>
      <c r="P49" s="343">
        <v>46354</v>
      </c>
      <c r="Q49" s="332"/>
      <c r="R49" s="332"/>
      <c r="S49" s="332"/>
      <c r="T49" s="334">
        <v>47191</v>
      </c>
      <c r="U49" s="332">
        <v>46822</v>
      </c>
      <c r="V49" s="332">
        <v>46337</v>
      </c>
      <c r="W49" s="334">
        <v>46066</v>
      </c>
      <c r="X49" s="344" t="s">
        <v>443</v>
      </c>
      <c r="Y49" s="345"/>
      <c r="Z49" s="337">
        <v>47392</v>
      </c>
      <c r="AA49" s="332"/>
      <c r="AB49" s="332" t="s">
        <v>443</v>
      </c>
      <c r="AC49" s="335"/>
      <c r="AD49" s="342"/>
      <c r="AE49" s="335">
        <v>46726</v>
      </c>
      <c r="AF49" s="331"/>
      <c r="AG49" s="332"/>
      <c r="AH49" s="332"/>
      <c r="AI49" s="332"/>
      <c r="AJ49" s="332"/>
      <c r="AK49" s="332"/>
      <c r="AL49" s="335"/>
      <c r="AM49" s="337">
        <v>46685</v>
      </c>
      <c r="AN49" s="332">
        <v>46680</v>
      </c>
      <c r="AO49" s="332"/>
      <c r="AP49" s="335"/>
      <c r="AQ49" s="337">
        <v>46789</v>
      </c>
      <c r="AR49" s="340">
        <v>46789</v>
      </c>
      <c r="AS49" s="337">
        <v>47974</v>
      </c>
      <c r="AT49" s="333">
        <v>46871</v>
      </c>
      <c r="AU49" s="346" t="s">
        <v>444</v>
      </c>
      <c r="AV49" s="337" t="s">
        <v>443</v>
      </c>
      <c r="AW49" s="335">
        <v>46459</v>
      </c>
      <c r="AX49" s="337">
        <v>46802</v>
      </c>
      <c r="AY49" s="332">
        <v>46812</v>
      </c>
      <c r="AZ49" s="332">
        <v>47244</v>
      </c>
      <c r="BA49" s="332">
        <v>46513</v>
      </c>
      <c r="BB49" s="332">
        <v>47319</v>
      </c>
      <c r="BC49" s="332">
        <v>46802</v>
      </c>
      <c r="BD49" s="332" t="s">
        <v>443</v>
      </c>
      <c r="BE49" s="332">
        <v>46726</v>
      </c>
      <c r="BF49" s="332">
        <v>46782</v>
      </c>
      <c r="BG49" s="335">
        <v>46726</v>
      </c>
      <c r="BH49" s="205"/>
      <c r="BI49" s="205"/>
      <c r="BJ49" s="205"/>
      <c r="BK49" s="205"/>
    </row>
    <row r="50" spans="1:63" s="263" customFormat="1">
      <c r="A50" s="251"/>
      <c r="B50" s="42" t="s">
        <v>358</v>
      </c>
      <c r="C50" s="252" t="s">
        <v>231</v>
      </c>
      <c r="D50" s="117" t="s">
        <v>359</v>
      </c>
      <c r="E50" s="331"/>
      <c r="F50" s="332"/>
      <c r="G50" s="332"/>
      <c r="H50" s="332"/>
      <c r="I50" s="332"/>
      <c r="J50" s="332"/>
      <c r="K50" s="333"/>
      <c r="L50" s="334">
        <v>47258</v>
      </c>
      <c r="M50" s="334"/>
      <c r="N50" s="334"/>
      <c r="O50" s="333"/>
      <c r="P50" s="343">
        <v>47540</v>
      </c>
      <c r="Q50" s="332"/>
      <c r="R50" s="332"/>
      <c r="S50" s="332"/>
      <c r="T50" s="334">
        <v>47348</v>
      </c>
      <c r="U50" s="332">
        <v>46788</v>
      </c>
      <c r="V50" s="332">
        <v>46647</v>
      </c>
      <c r="W50" s="334">
        <v>46595</v>
      </c>
      <c r="X50" s="344" t="s">
        <v>443</v>
      </c>
      <c r="Y50" s="345"/>
      <c r="Z50" s="337">
        <v>47453</v>
      </c>
      <c r="AA50" s="332"/>
      <c r="AB50" s="332" t="s">
        <v>443</v>
      </c>
      <c r="AC50" s="335"/>
      <c r="AD50" s="342"/>
      <c r="AE50" s="335">
        <v>46715</v>
      </c>
      <c r="AF50" s="331"/>
      <c r="AG50" s="332"/>
      <c r="AH50" s="332"/>
      <c r="AI50" s="332"/>
      <c r="AJ50" s="332"/>
      <c r="AK50" s="332"/>
      <c r="AL50" s="335"/>
      <c r="AM50" s="337">
        <v>46644</v>
      </c>
      <c r="AN50" s="332">
        <v>46654</v>
      </c>
      <c r="AO50" s="332"/>
      <c r="AP50" s="335"/>
      <c r="AQ50" s="337">
        <v>47504</v>
      </c>
      <c r="AR50" s="340">
        <v>47504</v>
      </c>
      <c r="AS50" s="337">
        <v>47246</v>
      </c>
      <c r="AT50" s="333">
        <v>46949</v>
      </c>
      <c r="AU50" s="346">
        <v>46948</v>
      </c>
      <c r="AV50" s="337" t="s">
        <v>443</v>
      </c>
      <c r="AW50" s="335">
        <v>46475</v>
      </c>
      <c r="AX50" s="337">
        <v>46770</v>
      </c>
      <c r="AY50" s="332">
        <v>46770</v>
      </c>
      <c r="AZ50" s="332">
        <v>47246</v>
      </c>
      <c r="BA50" s="332">
        <v>47246</v>
      </c>
      <c r="BB50" s="332">
        <v>47374</v>
      </c>
      <c r="BC50" s="332">
        <v>46770</v>
      </c>
      <c r="BD50" s="332" t="s">
        <v>443</v>
      </c>
      <c r="BE50" s="332">
        <v>46713</v>
      </c>
      <c r="BF50" s="332">
        <v>46644</v>
      </c>
      <c r="BG50" s="335">
        <v>46769</v>
      </c>
      <c r="BH50" s="205"/>
      <c r="BI50" s="205"/>
      <c r="BJ50" s="205"/>
      <c r="BK50" s="205"/>
    </row>
    <row r="51" spans="1:63" s="263" customFormat="1">
      <c r="A51" s="251"/>
      <c r="B51" s="42" t="s">
        <v>356</v>
      </c>
      <c r="C51" s="252" t="s">
        <v>231</v>
      </c>
      <c r="D51" s="117" t="s">
        <v>357</v>
      </c>
      <c r="E51" s="331"/>
      <c r="F51" s="332"/>
      <c r="G51" s="332"/>
      <c r="H51" s="332"/>
      <c r="I51" s="332"/>
      <c r="J51" s="332"/>
      <c r="K51" s="333"/>
      <c r="L51" s="334">
        <v>46677</v>
      </c>
      <c r="M51" s="334">
        <v>46677</v>
      </c>
      <c r="N51" s="334">
        <v>47656</v>
      </c>
      <c r="O51" s="333"/>
      <c r="P51" s="343">
        <v>46637</v>
      </c>
      <c r="Q51" s="332">
        <v>47915</v>
      </c>
      <c r="R51" s="332">
        <v>47657</v>
      </c>
      <c r="S51" s="332"/>
      <c r="T51" s="334">
        <v>47185</v>
      </c>
      <c r="U51" s="332">
        <v>46845</v>
      </c>
      <c r="V51" s="332">
        <v>46762</v>
      </c>
      <c r="W51" s="334">
        <v>46032</v>
      </c>
      <c r="X51" s="344" t="s">
        <v>443</v>
      </c>
      <c r="Y51" s="345"/>
      <c r="Z51" s="337">
        <v>46905</v>
      </c>
      <c r="AA51" s="332"/>
      <c r="AB51" s="332" t="s">
        <v>443</v>
      </c>
      <c r="AC51" s="335"/>
      <c r="AD51" s="342"/>
      <c r="AE51" s="335">
        <v>46716</v>
      </c>
      <c r="AF51" s="331"/>
      <c r="AG51" s="332"/>
      <c r="AH51" s="332"/>
      <c r="AI51" s="332"/>
      <c r="AJ51" s="332"/>
      <c r="AK51" s="332"/>
      <c r="AL51" s="335"/>
      <c r="AM51" s="337">
        <v>46645</v>
      </c>
      <c r="AN51" s="332">
        <v>46645</v>
      </c>
      <c r="AO51" s="332"/>
      <c r="AP51" s="335"/>
      <c r="AQ51" s="337">
        <v>46330</v>
      </c>
      <c r="AR51" s="340">
        <v>46330</v>
      </c>
      <c r="AS51" s="337">
        <v>47247</v>
      </c>
      <c r="AT51" s="333"/>
      <c r="AU51" s="346" t="s">
        <v>444</v>
      </c>
      <c r="AV51" s="337" t="s">
        <v>443</v>
      </c>
      <c r="AW51" s="335">
        <v>46475</v>
      </c>
      <c r="AX51" s="337">
        <v>46770</v>
      </c>
      <c r="AY51" s="332">
        <v>46771</v>
      </c>
      <c r="AZ51" s="332">
        <v>47247</v>
      </c>
      <c r="BA51" s="332">
        <v>46517</v>
      </c>
      <c r="BB51" s="332">
        <v>46308</v>
      </c>
      <c r="BC51" s="332">
        <v>46770</v>
      </c>
      <c r="BD51" s="332" t="s">
        <v>443</v>
      </c>
      <c r="BE51" s="332">
        <v>46714</v>
      </c>
      <c r="BF51" s="332">
        <v>46757</v>
      </c>
      <c r="BG51" s="335">
        <v>46769</v>
      </c>
      <c r="BH51" s="205"/>
      <c r="BI51" s="205"/>
      <c r="BJ51" s="205"/>
      <c r="BK51" s="205"/>
    </row>
    <row r="52" spans="1:63" s="263" customFormat="1">
      <c r="A52" s="251"/>
      <c r="B52" s="42" t="s">
        <v>354</v>
      </c>
      <c r="C52" s="252" t="s">
        <v>231</v>
      </c>
      <c r="D52" s="117" t="s">
        <v>355</v>
      </c>
      <c r="E52" s="331"/>
      <c r="F52" s="332"/>
      <c r="G52" s="332"/>
      <c r="H52" s="332"/>
      <c r="I52" s="332"/>
      <c r="J52" s="332"/>
      <c r="K52" s="333"/>
      <c r="L52" s="334">
        <v>48017</v>
      </c>
      <c r="M52" s="334"/>
      <c r="N52" s="334">
        <v>46959</v>
      </c>
      <c r="O52" s="333"/>
      <c r="P52" s="343"/>
      <c r="Q52" s="332"/>
      <c r="R52" s="332"/>
      <c r="S52" s="332"/>
      <c r="T52" s="334">
        <v>47196</v>
      </c>
      <c r="U52" s="332">
        <v>46730</v>
      </c>
      <c r="V52" s="332">
        <v>46352</v>
      </c>
      <c r="W52" s="334">
        <v>46088</v>
      </c>
      <c r="X52" s="344" t="s">
        <v>443</v>
      </c>
      <c r="Y52" s="345"/>
      <c r="Z52" s="337">
        <v>47300</v>
      </c>
      <c r="AA52" s="332"/>
      <c r="AB52" s="332" t="s">
        <v>443</v>
      </c>
      <c r="AC52" s="335"/>
      <c r="AD52" s="342"/>
      <c r="AE52" s="335">
        <v>46714</v>
      </c>
      <c r="AF52" s="331"/>
      <c r="AG52" s="332"/>
      <c r="AH52" s="332"/>
      <c r="AI52" s="332"/>
      <c r="AJ52" s="332"/>
      <c r="AK52" s="332"/>
      <c r="AL52" s="335"/>
      <c r="AM52" s="337">
        <v>46664</v>
      </c>
      <c r="AN52" s="332">
        <v>46664</v>
      </c>
      <c r="AO52" s="332"/>
      <c r="AP52" s="335"/>
      <c r="AQ52" s="337">
        <v>46526</v>
      </c>
      <c r="AR52" s="340">
        <v>46526</v>
      </c>
      <c r="AS52" s="337">
        <v>47244</v>
      </c>
      <c r="AT52" s="333"/>
      <c r="AU52" s="346" t="s">
        <v>444</v>
      </c>
      <c r="AV52" s="337" t="s">
        <v>443</v>
      </c>
      <c r="AW52" s="335">
        <v>46475</v>
      </c>
      <c r="AX52" s="337">
        <v>46770</v>
      </c>
      <c r="AY52" s="332">
        <v>46770</v>
      </c>
      <c r="AZ52" s="332">
        <v>47244</v>
      </c>
      <c r="BA52" s="332">
        <v>46513</v>
      </c>
      <c r="BB52" s="332">
        <v>46308</v>
      </c>
      <c r="BC52" s="332">
        <v>46770</v>
      </c>
      <c r="BD52" s="332" t="s">
        <v>443</v>
      </c>
      <c r="BE52" s="332">
        <v>46714</v>
      </c>
      <c r="BF52" s="332">
        <v>46665</v>
      </c>
      <c r="BG52" s="335">
        <v>46756</v>
      </c>
      <c r="BH52" s="205"/>
      <c r="BI52" s="205"/>
      <c r="BJ52" s="205"/>
      <c r="BK52" s="205"/>
    </row>
    <row r="53" spans="1:63" s="263" customFormat="1">
      <c r="A53" s="251"/>
      <c r="B53" s="42" t="s">
        <v>360</v>
      </c>
      <c r="C53" s="252" t="s">
        <v>231</v>
      </c>
      <c r="D53" s="117" t="s">
        <v>361</v>
      </c>
      <c r="E53" s="331"/>
      <c r="F53" s="332"/>
      <c r="G53" s="332"/>
      <c r="H53" s="332"/>
      <c r="I53" s="332"/>
      <c r="J53" s="332"/>
      <c r="K53" s="333"/>
      <c r="L53" s="334">
        <v>46762</v>
      </c>
      <c r="M53" s="334"/>
      <c r="N53" s="334"/>
      <c r="O53" s="333"/>
      <c r="P53" s="343">
        <v>47673</v>
      </c>
      <c r="Q53" s="332"/>
      <c r="R53" s="332"/>
      <c r="S53" s="332"/>
      <c r="T53" s="334">
        <v>47343</v>
      </c>
      <c r="U53" s="332">
        <v>46968</v>
      </c>
      <c r="V53" s="332">
        <v>46818</v>
      </c>
      <c r="W53" s="334">
        <v>46088</v>
      </c>
      <c r="X53" s="344" t="s">
        <v>443</v>
      </c>
      <c r="Y53" s="345"/>
      <c r="Z53" s="337">
        <v>47362</v>
      </c>
      <c r="AA53" s="332"/>
      <c r="AB53" s="332" t="s">
        <v>443</v>
      </c>
      <c r="AC53" s="335"/>
      <c r="AD53" s="342"/>
      <c r="AE53" s="335">
        <v>46714</v>
      </c>
      <c r="AF53" s="331"/>
      <c r="AG53" s="332"/>
      <c r="AH53" s="332"/>
      <c r="AI53" s="332"/>
      <c r="AJ53" s="332"/>
      <c r="AK53" s="332"/>
      <c r="AL53" s="335"/>
      <c r="AM53" s="337">
        <v>46646</v>
      </c>
      <c r="AN53" s="332">
        <v>46646</v>
      </c>
      <c r="AO53" s="332"/>
      <c r="AP53" s="335"/>
      <c r="AQ53" s="337">
        <v>47812</v>
      </c>
      <c r="AR53" s="340">
        <v>47812</v>
      </c>
      <c r="AS53" s="337">
        <v>47245</v>
      </c>
      <c r="AT53" s="333"/>
      <c r="AU53" s="346" t="s">
        <v>444</v>
      </c>
      <c r="AV53" s="337" t="s">
        <v>443</v>
      </c>
      <c r="AW53" s="335">
        <v>46453</v>
      </c>
      <c r="AX53" s="337">
        <v>46770</v>
      </c>
      <c r="AY53" s="332">
        <v>46770</v>
      </c>
      <c r="AZ53" s="332">
        <v>47244</v>
      </c>
      <c r="BA53" s="332">
        <v>47136</v>
      </c>
      <c r="BB53" s="332">
        <v>46308</v>
      </c>
      <c r="BC53" s="332">
        <v>46770</v>
      </c>
      <c r="BD53" s="332" t="s">
        <v>443</v>
      </c>
      <c r="BE53" s="332">
        <v>46772</v>
      </c>
      <c r="BF53" s="332">
        <v>46591</v>
      </c>
      <c r="BG53" s="335">
        <v>46756</v>
      </c>
      <c r="BH53" s="205"/>
      <c r="BI53" s="205"/>
      <c r="BJ53" s="205"/>
      <c r="BK53" s="205"/>
    </row>
    <row r="54" spans="1:63" s="263" customFormat="1">
      <c r="A54" s="280"/>
      <c r="B54" s="42" t="s">
        <v>424</v>
      </c>
      <c r="C54" s="252" t="s">
        <v>236</v>
      </c>
      <c r="D54" s="117" t="s">
        <v>425</v>
      </c>
      <c r="E54" s="332"/>
      <c r="F54" s="332"/>
      <c r="G54" s="332"/>
      <c r="H54" s="332"/>
      <c r="I54" s="332"/>
      <c r="J54" s="332"/>
      <c r="K54" s="333"/>
      <c r="L54" s="333"/>
      <c r="M54" s="333"/>
      <c r="N54" s="333"/>
      <c r="O54" s="333">
        <v>47896</v>
      </c>
      <c r="P54" s="332">
        <v>47896</v>
      </c>
      <c r="Q54" s="332"/>
      <c r="R54" s="332"/>
      <c r="S54" s="332"/>
      <c r="T54" s="334"/>
      <c r="U54" s="332">
        <v>46345</v>
      </c>
      <c r="V54" s="332">
        <v>46033</v>
      </c>
      <c r="W54" s="334"/>
      <c r="X54" s="335"/>
      <c r="Y54" s="336"/>
      <c r="Z54" s="337">
        <v>47270</v>
      </c>
      <c r="AA54" s="332"/>
      <c r="AB54" s="332" t="s">
        <v>443</v>
      </c>
      <c r="AC54" s="335"/>
      <c r="AD54" s="342"/>
      <c r="AE54" s="335"/>
      <c r="AF54" s="331"/>
      <c r="AG54" s="332"/>
      <c r="AH54" s="332"/>
      <c r="AI54" s="332"/>
      <c r="AJ54" s="332"/>
      <c r="AK54" s="332"/>
      <c r="AL54" s="335"/>
      <c r="AM54" s="337"/>
      <c r="AN54" s="332"/>
      <c r="AO54" s="332"/>
      <c r="AP54" s="335"/>
      <c r="AQ54" s="337"/>
      <c r="AR54" s="335"/>
      <c r="AS54" s="337">
        <v>47249</v>
      </c>
      <c r="AT54" s="332"/>
      <c r="AU54" s="335"/>
      <c r="AV54" s="337" t="s">
        <v>443</v>
      </c>
      <c r="AW54" s="335">
        <v>46476</v>
      </c>
      <c r="AX54" s="337">
        <v>46769</v>
      </c>
      <c r="AY54" s="332">
        <v>46871</v>
      </c>
      <c r="AZ54" s="332">
        <v>47248</v>
      </c>
      <c r="BA54" s="332">
        <v>46518</v>
      </c>
      <c r="BB54" s="332">
        <v>46263</v>
      </c>
      <c r="BC54" s="332">
        <v>46769</v>
      </c>
      <c r="BD54" s="332" t="s">
        <v>443</v>
      </c>
      <c r="BE54" s="332">
        <v>46769</v>
      </c>
      <c r="BF54" s="332">
        <v>46769</v>
      </c>
      <c r="BG54" s="335">
        <v>46769</v>
      </c>
      <c r="BH54" s="205"/>
      <c r="BI54" s="205"/>
      <c r="BJ54" s="205"/>
      <c r="BK54" s="205"/>
    </row>
    <row r="55" spans="1:63" s="263" customFormat="1" ht="15.75" thickBot="1">
      <c r="A55" s="280"/>
      <c r="B55" s="42" t="s">
        <v>410</v>
      </c>
      <c r="C55" s="252" t="s">
        <v>236</v>
      </c>
      <c r="D55" s="117" t="s">
        <v>411</v>
      </c>
      <c r="E55" s="347"/>
      <c r="F55" s="348"/>
      <c r="G55" s="348"/>
      <c r="H55" s="348"/>
      <c r="I55" s="348"/>
      <c r="J55" s="348"/>
      <c r="K55" s="349"/>
      <c r="L55" s="349"/>
      <c r="M55" s="349"/>
      <c r="N55" s="349"/>
      <c r="O55" s="349">
        <v>47202</v>
      </c>
      <c r="P55" s="348">
        <v>47202</v>
      </c>
      <c r="Q55" s="348"/>
      <c r="R55" s="348"/>
      <c r="S55" s="348"/>
      <c r="T55" s="350"/>
      <c r="U55" s="348">
        <v>46779</v>
      </c>
      <c r="V55" s="348">
        <v>46174</v>
      </c>
      <c r="W55" s="350"/>
      <c r="X55" s="351"/>
      <c r="Y55" s="352"/>
      <c r="Z55" s="353">
        <v>46357</v>
      </c>
      <c r="AA55" s="348"/>
      <c r="AB55" s="348" t="s">
        <v>443</v>
      </c>
      <c r="AC55" s="351"/>
      <c r="AD55" s="354"/>
      <c r="AE55" s="351"/>
      <c r="AF55" s="347"/>
      <c r="AG55" s="348"/>
      <c r="AH55" s="348"/>
      <c r="AI55" s="348"/>
      <c r="AJ55" s="348"/>
      <c r="AK55" s="348"/>
      <c r="AL55" s="351"/>
      <c r="AM55" s="353"/>
      <c r="AN55" s="348"/>
      <c r="AO55" s="348"/>
      <c r="AP55" s="351"/>
      <c r="AQ55" s="353"/>
      <c r="AR55" s="351"/>
      <c r="AS55" s="353">
        <v>47802</v>
      </c>
      <c r="AT55" s="348"/>
      <c r="AU55" s="351"/>
      <c r="AV55" s="353" t="s">
        <v>443</v>
      </c>
      <c r="AW55" s="351">
        <v>46769</v>
      </c>
      <c r="AX55" s="353">
        <v>46705</v>
      </c>
      <c r="AY55" s="348">
        <v>46705</v>
      </c>
      <c r="AZ55" s="348">
        <v>47802</v>
      </c>
      <c r="BA55" s="348">
        <v>47071</v>
      </c>
      <c r="BB55" s="348">
        <v>47328</v>
      </c>
      <c r="BC55" s="348">
        <v>46705</v>
      </c>
      <c r="BD55" s="332" t="s">
        <v>443</v>
      </c>
      <c r="BE55" s="348">
        <v>46768</v>
      </c>
      <c r="BF55" s="348">
        <v>46706</v>
      </c>
      <c r="BG55" s="351">
        <v>46768</v>
      </c>
      <c r="BH55" s="205"/>
      <c r="BI55" s="205"/>
      <c r="BJ55" s="205"/>
      <c r="BK55" s="205"/>
    </row>
    <row r="56" spans="1:63" s="192" customFormat="1" ht="16.5">
      <c r="A56" s="186"/>
      <c r="B56" s="186"/>
      <c r="C56" s="186"/>
      <c r="D56" s="186"/>
    </row>
    <row r="57" spans="1:63" s="192" customFormat="1" outlineLevel="1">
      <c r="A57"/>
      <c r="B57"/>
      <c r="C57"/>
      <c r="D57"/>
      <c r="I57" s="199"/>
      <c r="J57" s="199"/>
      <c r="K57" s="199"/>
      <c r="L57" s="199"/>
      <c r="M57" s="199"/>
      <c r="N57" s="199"/>
      <c r="O57" s="199"/>
      <c r="P57" s="199"/>
      <c r="Q57" s="199"/>
      <c r="R57" s="199"/>
      <c r="S57" s="199"/>
      <c r="T57" s="199"/>
      <c r="U57" s="199"/>
      <c r="V57" s="199"/>
      <c r="W57" s="199"/>
      <c r="X57" s="199"/>
      <c r="Y57" s="199"/>
      <c r="Z57" s="199"/>
      <c r="AA57" s="199"/>
      <c r="AB57" s="199"/>
      <c r="AC57" s="199"/>
      <c r="AD57" s="199"/>
      <c r="AE57" s="199"/>
      <c r="AF57" s="199"/>
      <c r="AG57" s="199"/>
      <c r="AJ57" s="200"/>
      <c r="AK57" s="199"/>
      <c r="AL57" s="199"/>
      <c r="AM57" s="199"/>
      <c r="AN57" s="199"/>
      <c r="AO57" s="199"/>
      <c r="AP57" s="199"/>
      <c r="AQ57" s="199"/>
      <c r="AR57" s="199"/>
      <c r="AS57" s="199"/>
      <c r="AT57" s="199"/>
      <c r="AU57" s="199"/>
      <c r="AV57" s="199"/>
      <c r="AW57" s="201"/>
      <c r="AX57" s="201"/>
      <c r="AY57" s="198"/>
      <c r="AZ57" s="198"/>
      <c r="BA57" s="198"/>
      <c r="BB57" s="198"/>
      <c r="BC57" s="198"/>
      <c r="BD57" s="198"/>
      <c r="BE57" s="198"/>
      <c r="BF57" s="198"/>
      <c r="BG57" s="198"/>
      <c r="BH57" s="198"/>
      <c r="BI57" s="198"/>
      <c r="BJ57" s="198"/>
      <c r="BK57" s="193"/>
    </row>
    <row r="58" spans="1:63" s="192" customFormat="1" ht="3.75" customHeight="1" outlineLevel="1">
      <c r="A58"/>
      <c r="B58"/>
      <c r="C58"/>
      <c r="D58"/>
      <c r="I58" s="199"/>
      <c r="J58" s="199"/>
      <c r="K58" s="199"/>
      <c r="L58" s="199"/>
      <c r="M58" s="199"/>
      <c r="N58" s="199"/>
      <c r="O58" s="199"/>
      <c r="P58" s="199"/>
      <c r="Q58" s="199"/>
      <c r="R58" s="199"/>
      <c r="S58" s="199"/>
      <c r="T58" s="199"/>
      <c r="U58" s="199"/>
      <c r="V58" s="199"/>
      <c r="W58" s="199"/>
      <c r="X58" s="199"/>
      <c r="Y58" s="199"/>
      <c r="Z58" s="199"/>
      <c r="AA58" s="199"/>
      <c r="AB58" s="199"/>
      <c r="AC58" s="199"/>
      <c r="AD58" s="199"/>
      <c r="AE58" s="199"/>
      <c r="AF58" s="199"/>
      <c r="AG58" s="199"/>
      <c r="AJ58" s="200"/>
      <c r="AK58" s="199"/>
      <c r="AL58" s="199"/>
      <c r="AM58" s="199"/>
      <c r="AN58" s="199"/>
      <c r="AO58" s="199"/>
      <c r="AP58" s="199"/>
      <c r="AQ58" s="199"/>
      <c r="AR58" s="199"/>
      <c r="AS58" s="199"/>
      <c r="AT58" s="199"/>
      <c r="AU58" s="199"/>
      <c r="AV58" s="199"/>
      <c r="AW58" s="201"/>
      <c r="AX58" s="201"/>
      <c r="AY58" s="198"/>
      <c r="AZ58" s="198"/>
      <c r="BA58" s="198"/>
      <c r="BB58" s="198"/>
      <c r="BC58" s="198"/>
      <c r="BD58" s="198"/>
      <c r="BE58" s="198"/>
      <c r="BF58" s="198"/>
      <c r="BG58" s="198"/>
      <c r="BH58" s="198"/>
      <c r="BI58" s="198"/>
      <c r="BJ58" s="198"/>
      <c r="BK58" s="193"/>
    </row>
    <row r="59" spans="1:63" s="192" customFormat="1" outlineLevel="1">
      <c r="A59"/>
      <c r="B59"/>
      <c r="C59"/>
      <c r="D59"/>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191"/>
      <c r="AK59" s="78"/>
      <c r="AL59" s="78"/>
      <c r="AM59" s="78"/>
      <c r="AN59" s="78"/>
      <c r="AO59" s="78"/>
      <c r="AP59" s="78"/>
      <c r="AQ59" s="78"/>
      <c r="AR59" s="78"/>
      <c r="AS59" s="78"/>
      <c r="AT59" s="78"/>
      <c r="AU59" s="78"/>
      <c r="AV59" s="78"/>
      <c r="AW59" s="78"/>
      <c r="AX59" s="78"/>
      <c r="AY59" s="193"/>
      <c r="AZ59" s="193"/>
      <c r="BA59" s="193"/>
      <c r="BB59" s="193"/>
      <c r="BC59" s="193"/>
      <c r="BD59" s="193"/>
      <c r="BE59" s="193"/>
      <c r="BF59" s="193"/>
      <c r="BG59" s="193"/>
      <c r="BH59" s="193"/>
      <c r="BI59" s="193"/>
      <c r="BJ59" s="193"/>
      <c r="BK59" s="193"/>
    </row>
    <row r="60" spans="1:63" s="192" customFormat="1" ht="40.5" customHeight="1" outlineLevel="1">
      <c r="A60"/>
      <c r="B60"/>
      <c r="C60"/>
      <c r="D60"/>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191"/>
      <c r="AK60" s="78"/>
      <c r="AL60" s="78"/>
      <c r="AM60" s="78"/>
      <c r="AN60" s="78"/>
      <c r="AO60" s="78"/>
      <c r="AP60" s="78"/>
      <c r="AQ60" s="78"/>
      <c r="AR60" s="78"/>
      <c r="AS60" s="78"/>
      <c r="AT60" s="78"/>
      <c r="AU60" s="78"/>
      <c r="AV60" s="78"/>
      <c r="AW60" s="78"/>
      <c r="AX60" s="78"/>
      <c r="AY60" s="193"/>
      <c r="AZ60" s="193"/>
      <c r="BA60" s="193"/>
      <c r="BB60" s="193"/>
      <c r="BC60" s="193"/>
      <c r="BD60" s="193"/>
      <c r="BE60" s="193"/>
      <c r="BF60" s="193"/>
      <c r="BG60" s="193"/>
      <c r="BH60" s="193"/>
      <c r="BI60" s="193"/>
      <c r="BJ60" s="193"/>
      <c r="BK60" s="193"/>
    </row>
    <row r="61" spans="1:63" s="192" customFormat="1" ht="33.75" customHeight="1" outlineLevel="1">
      <c r="A61"/>
      <c r="B61"/>
      <c r="C61"/>
      <c r="D61"/>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191"/>
      <c r="AK61" s="78"/>
      <c r="AL61" s="78"/>
      <c r="AM61" s="78"/>
      <c r="AN61" s="78"/>
      <c r="AO61" s="78"/>
      <c r="AP61" s="78"/>
      <c r="AQ61" s="78"/>
      <c r="AR61" s="78"/>
      <c r="AS61" s="78"/>
      <c r="AT61" s="78"/>
      <c r="AU61" s="78"/>
      <c r="AV61" s="78"/>
      <c r="AW61" s="78"/>
      <c r="AX61" s="78"/>
      <c r="AY61" s="193"/>
      <c r="AZ61" s="193"/>
      <c r="BA61" s="193"/>
      <c r="BB61" s="193"/>
      <c r="BC61" s="193"/>
      <c r="BD61" s="193"/>
      <c r="BE61" s="193"/>
      <c r="BF61" s="193"/>
      <c r="BG61" s="193"/>
      <c r="BH61" s="193"/>
      <c r="BI61" s="193"/>
      <c r="BJ61" s="193"/>
      <c r="BK61" s="193"/>
    </row>
    <row r="62" spans="1:63" s="192" customFormat="1" ht="44.25" customHeight="1" outlineLevel="1">
      <c r="A62"/>
      <c r="B62"/>
      <c r="C62"/>
      <c r="D62"/>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191"/>
      <c r="AK62" s="78"/>
      <c r="AL62" s="78"/>
      <c r="AM62" s="78"/>
      <c r="AN62" s="78"/>
      <c r="AO62" s="78"/>
      <c r="AP62" s="78"/>
      <c r="AQ62" s="78"/>
      <c r="AR62" s="78"/>
      <c r="AS62" s="78"/>
      <c r="AT62" s="78"/>
      <c r="AU62" s="78"/>
      <c r="AV62" s="78"/>
      <c r="AW62" s="78"/>
      <c r="AX62" s="78"/>
      <c r="AY62" s="193"/>
      <c r="AZ62" s="193"/>
      <c r="BA62" s="193"/>
      <c r="BB62" s="193"/>
      <c r="BC62" s="193"/>
      <c r="BD62" s="193"/>
      <c r="BE62" s="193"/>
      <c r="BF62" s="193"/>
      <c r="BG62" s="193"/>
      <c r="BH62" s="193"/>
      <c r="BI62" s="193"/>
      <c r="BJ62" s="193"/>
      <c r="BK62" s="193"/>
    </row>
    <row r="63" spans="1:63" s="192" customFormat="1" ht="24" customHeight="1" outlineLevel="1">
      <c r="A63"/>
      <c r="B63"/>
      <c r="C63"/>
      <c r="D63"/>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191"/>
      <c r="AK63" s="78"/>
      <c r="AL63" s="78"/>
      <c r="AM63" s="78"/>
      <c r="AN63" s="78"/>
      <c r="AO63" s="78"/>
      <c r="AP63" s="78"/>
      <c r="AQ63" s="78"/>
      <c r="AR63" s="78"/>
      <c r="AS63" s="78"/>
      <c r="AT63" s="78"/>
      <c r="AU63" s="78"/>
      <c r="AV63" s="78"/>
      <c r="AW63" s="78"/>
      <c r="AX63" s="78"/>
      <c r="AY63" s="193"/>
      <c r="AZ63" s="193"/>
      <c r="BA63" s="193"/>
      <c r="BB63" s="193"/>
      <c r="BC63" s="193"/>
      <c r="BD63" s="193"/>
      <c r="BE63" s="193"/>
      <c r="BF63" s="193"/>
      <c r="BG63" s="193"/>
      <c r="BH63" s="193"/>
      <c r="BI63" s="193"/>
      <c r="BJ63" s="193"/>
      <c r="BK63" s="193"/>
    </row>
    <row r="64" spans="1:63" s="192" customFormat="1" outlineLevel="1">
      <c r="A64"/>
      <c r="B64"/>
      <c r="C64"/>
      <c r="D64"/>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191"/>
      <c r="AK64" s="78"/>
      <c r="AL64" s="78"/>
      <c r="AM64" s="78"/>
      <c r="AN64" s="78"/>
      <c r="AO64" s="78"/>
      <c r="AP64" s="78"/>
      <c r="AQ64" s="78"/>
      <c r="AR64" s="78"/>
      <c r="AS64" s="78"/>
      <c r="AT64" s="78"/>
      <c r="AU64" s="78"/>
      <c r="AV64" s="78"/>
      <c r="AW64" s="78"/>
      <c r="AX64" s="78"/>
      <c r="AY64" s="193"/>
      <c r="AZ64" s="193"/>
      <c r="BA64" s="193"/>
      <c r="BB64" s="193"/>
      <c r="BC64" s="193"/>
      <c r="BD64" s="193"/>
      <c r="BE64" s="193"/>
      <c r="BF64" s="193"/>
      <c r="BG64" s="193"/>
      <c r="BH64" s="193"/>
      <c r="BI64" s="193"/>
      <c r="BJ64" s="193"/>
      <c r="BK64" s="193"/>
    </row>
    <row r="65" spans="1:63" s="192" customFormat="1" outlineLevel="1">
      <c r="A65"/>
      <c r="B65"/>
      <c r="C65"/>
      <c r="D65"/>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191"/>
      <c r="AK65" s="78"/>
      <c r="AL65" s="78"/>
      <c r="AM65" s="78"/>
      <c r="AN65" s="78"/>
      <c r="AO65" s="78"/>
      <c r="AP65" s="78"/>
      <c r="AQ65" s="78"/>
      <c r="AR65" s="78"/>
      <c r="AS65" s="78"/>
      <c r="AT65" s="78"/>
      <c r="AU65" s="78"/>
      <c r="AV65" s="78"/>
      <c r="AW65" s="78"/>
      <c r="AX65" s="78"/>
      <c r="AY65" s="193"/>
      <c r="AZ65" s="193"/>
      <c r="BA65" s="193"/>
      <c r="BB65" s="193"/>
      <c r="BC65" s="193"/>
      <c r="BD65" s="193"/>
      <c r="BE65" s="193"/>
      <c r="BF65" s="193"/>
      <c r="BG65" s="193"/>
      <c r="BH65" s="193"/>
      <c r="BI65" s="193"/>
      <c r="BJ65" s="193"/>
      <c r="BK65" s="193"/>
    </row>
    <row r="66" spans="1:63" s="192" customFormat="1" ht="15" customHeight="1" outlineLevel="1">
      <c r="A66"/>
      <c r="B66"/>
      <c r="C66"/>
      <c r="D66"/>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191"/>
      <c r="AK66" s="78"/>
      <c r="AL66" s="78"/>
      <c r="AM66" s="78"/>
      <c r="AN66" s="78"/>
      <c r="AO66" s="78"/>
      <c r="AP66" s="78"/>
      <c r="AQ66" s="78"/>
      <c r="AR66" s="78"/>
      <c r="AS66" s="78"/>
      <c r="AT66" s="78"/>
      <c r="AU66" s="78"/>
      <c r="AV66" s="78"/>
      <c r="AW66" s="78"/>
      <c r="AX66" s="78"/>
      <c r="AY66" s="193"/>
      <c r="AZ66" s="193"/>
      <c r="BA66" s="193"/>
      <c r="BB66" s="193"/>
      <c r="BC66" s="193"/>
      <c r="BD66" s="193"/>
      <c r="BE66" s="193"/>
      <c r="BF66" s="193"/>
      <c r="BG66" s="193"/>
      <c r="BH66" s="193"/>
      <c r="BI66" s="193"/>
      <c r="BJ66" s="193"/>
      <c r="BK66" s="193"/>
    </row>
    <row r="67" spans="1:63" s="192" customFormat="1" outlineLevel="1">
      <c r="A67"/>
      <c r="B67"/>
      <c r="C67"/>
      <c r="D67"/>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191"/>
      <c r="AK67" s="78"/>
      <c r="AL67" s="78"/>
      <c r="AM67" s="78"/>
      <c r="AN67" s="78"/>
      <c r="AO67" s="78"/>
      <c r="AP67" s="78"/>
      <c r="AQ67" s="78"/>
      <c r="AR67" s="78"/>
      <c r="AS67" s="78"/>
      <c r="AT67" s="78"/>
      <c r="AU67" s="78"/>
      <c r="AV67" s="78"/>
      <c r="AW67" s="78"/>
      <c r="AX67" s="78"/>
      <c r="AY67" s="193"/>
      <c r="AZ67" s="193"/>
      <c r="BA67" s="193"/>
      <c r="BB67" s="193"/>
      <c r="BC67" s="193"/>
      <c r="BD67" s="193"/>
      <c r="BE67" s="193"/>
      <c r="BF67" s="193"/>
      <c r="BG67" s="193"/>
      <c r="BH67" s="193"/>
      <c r="BI67" s="193"/>
      <c r="BJ67" s="193"/>
      <c r="BK67" s="193"/>
    </row>
    <row r="68" spans="1:63" s="192" customFormat="1" ht="15" customHeight="1" outlineLevel="1">
      <c r="A68"/>
      <c r="B68"/>
      <c r="C68"/>
      <c r="D68"/>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191"/>
      <c r="AK68" s="78"/>
      <c r="AL68" s="78"/>
      <c r="AM68" s="78"/>
      <c r="AN68" s="78"/>
      <c r="AO68" s="78"/>
      <c r="AP68" s="78"/>
      <c r="AQ68" s="78"/>
      <c r="AR68" s="78"/>
      <c r="AS68" s="78"/>
      <c r="AT68" s="78"/>
      <c r="AU68" s="78"/>
      <c r="AV68" s="78"/>
      <c r="AW68" s="78"/>
      <c r="AX68" s="78"/>
      <c r="AY68" s="193"/>
      <c r="AZ68" s="193"/>
      <c r="BA68" s="193"/>
      <c r="BB68" s="193"/>
      <c r="BC68" s="193"/>
      <c r="BD68" s="193"/>
      <c r="BE68" s="193"/>
      <c r="BF68" s="193"/>
      <c r="BG68" s="193"/>
      <c r="BH68" s="193"/>
      <c r="BI68" s="193"/>
      <c r="BJ68" s="193"/>
      <c r="BK68" s="193"/>
    </row>
    <row r="69" spans="1:63" s="192" customFormat="1" outlineLevel="1">
      <c r="A69"/>
      <c r="B69"/>
      <c r="C69"/>
      <c r="D69"/>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191"/>
      <c r="AK69" s="78"/>
      <c r="AL69" s="78"/>
      <c r="AM69" s="78"/>
      <c r="AN69" s="78"/>
      <c r="AO69" s="78"/>
      <c r="AP69" s="78"/>
      <c r="AQ69" s="78"/>
      <c r="AR69" s="78"/>
      <c r="AS69" s="78"/>
      <c r="AT69" s="78"/>
      <c r="AU69" s="78"/>
      <c r="AV69" s="78"/>
      <c r="AW69" s="78"/>
      <c r="AX69" s="78"/>
      <c r="AY69" s="193"/>
      <c r="AZ69" s="193"/>
      <c r="BA69" s="193"/>
      <c r="BB69" s="193"/>
      <c r="BC69" s="193"/>
      <c r="BD69" s="193"/>
      <c r="BE69" s="193"/>
      <c r="BF69" s="193"/>
      <c r="BG69" s="193"/>
      <c r="BH69" s="193"/>
      <c r="BI69" s="193"/>
      <c r="BJ69" s="193"/>
      <c r="BK69" s="193"/>
    </row>
    <row r="70" spans="1:63" s="192" customFormat="1" ht="15" customHeight="1" outlineLevel="1">
      <c r="A70"/>
      <c r="B70"/>
      <c r="C70"/>
      <c r="D70"/>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191"/>
      <c r="AK70" s="78"/>
      <c r="AL70" s="78"/>
      <c r="AM70" s="78"/>
      <c r="AN70" s="78"/>
      <c r="AO70" s="78"/>
      <c r="AP70" s="78"/>
      <c r="AQ70" s="78"/>
      <c r="AR70" s="78"/>
      <c r="AS70" s="78"/>
      <c r="AT70" s="78"/>
      <c r="AU70" s="78"/>
      <c r="AV70" s="78"/>
      <c r="AW70" s="78"/>
      <c r="AX70" s="78"/>
      <c r="AY70" s="193"/>
      <c r="AZ70" s="193"/>
      <c r="BA70" s="193"/>
      <c r="BB70" s="193"/>
      <c r="BC70" s="193"/>
      <c r="BD70" s="193"/>
      <c r="BE70" s="193"/>
      <c r="BF70" s="193"/>
      <c r="BG70" s="193"/>
      <c r="BH70" s="193"/>
      <c r="BI70" s="193"/>
      <c r="BJ70" s="193"/>
      <c r="BK70" s="193"/>
    </row>
    <row r="71" spans="1:63" s="192" customFormat="1" outlineLevel="1">
      <c r="A71"/>
      <c r="B71"/>
      <c r="C71"/>
      <c r="D71"/>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191"/>
      <c r="AK71" s="78"/>
      <c r="AL71" s="78"/>
      <c r="AM71" s="78"/>
      <c r="AN71" s="78"/>
      <c r="AO71" s="78"/>
      <c r="AP71" s="78"/>
      <c r="AQ71" s="78"/>
      <c r="AR71" s="78"/>
      <c r="AS71" s="78"/>
      <c r="AT71" s="78"/>
      <c r="AU71" s="78"/>
      <c r="AV71" s="78"/>
      <c r="AW71" s="78"/>
      <c r="AX71" s="78"/>
      <c r="AY71" s="193"/>
      <c r="AZ71" s="193"/>
      <c r="BA71" s="193"/>
      <c r="BB71" s="193"/>
      <c r="BC71" s="193"/>
      <c r="BD71" s="193"/>
      <c r="BE71" s="193"/>
      <c r="BF71" s="193"/>
      <c r="BG71" s="193"/>
      <c r="BH71" s="193"/>
      <c r="BI71" s="193"/>
      <c r="BJ71" s="193"/>
      <c r="BK71" s="193"/>
    </row>
    <row r="72" spans="1:63" s="192" customFormat="1" ht="15" customHeight="1" outlineLevel="1">
      <c r="A72"/>
      <c r="B72"/>
      <c r="C72"/>
      <c r="D72"/>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191"/>
      <c r="AK72" s="78"/>
      <c r="AL72" s="78"/>
      <c r="AM72" s="78"/>
      <c r="AN72" s="78"/>
      <c r="AO72" s="78"/>
      <c r="AP72" s="78"/>
      <c r="AQ72" s="78"/>
      <c r="AR72" s="78"/>
      <c r="AS72" s="78"/>
      <c r="AT72" s="78"/>
      <c r="AU72" s="78"/>
      <c r="AV72" s="78"/>
      <c r="AW72" s="78"/>
      <c r="AX72" s="78"/>
      <c r="AY72" s="193"/>
      <c r="AZ72" s="193"/>
      <c r="BA72" s="193"/>
      <c r="BB72" s="193"/>
      <c r="BC72" s="193"/>
      <c r="BD72" s="193"/>
      <c r="BE72" s="193"/>
      <c r="BF72" s="193"/>
      <c r="BG72" s="193"/>
      <c r="BH72" s="193"/>
      <c r="BI72" s="193"/>
      <c r="BJ72" s="193"/>
      <c r="BK72" s="193"/>
    </row>
    <row r="73" spans="1:63" s="192" customFormat="1" outlineLevel="1">
      <c r="A73"/>
      <c r="B73"/>
      <c r="C73"/>
      <c r="D73"/>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191"/>
      <c r="AK73" s="78"/>
      <c r="AL73" s="78"/>
      <c r="AM73" s="78"/>
      <c r="AN73" s="78"/>
      <c r="AO73" s="78"/>
      <c r="AP73" s="78"/>
      <c r="AQ73" s="78"/>
      <c r="AR73" s="78"/>
      <c r="AS73" s="78"/>
      <c r="AT73" s="78"/>
      <c r="AU73" s="78"/>
      <c r="AV73" s="78"/>
      <c r="AW73" s="78"/>
      <c r="AX73" s="78"/>
      <c r="AY73" s="193"/>
      <c r="AZ73" s="193"/>
      <c r="BA73" s="193"/>
      <c r="BB73" s="193"/>
      <c r="BC73" s="193"/>
      <c r="BD73" s="193"/>
      <c r="BE73" s="193"/>
      <c r="BF73" s="193"/>
      <c r="BG73" s="193"/>
      <c r="BH73" s="193"/>
      <c r="BI73" s="193"/>
      <c r="BJ73" s="193"/>
      <c r="BK73" s="193"/>
    </row>
    <row r="74" spans="1:63" s="186" customFormat="1" ht="16.5">
      <c r="A74"/>
      <c r="B74"/>
      <c r="C74"/>
      <c r="D74"/>
      <c r="E74" s="43"/>
      <c r="F74" s="43"/>
      <c r="G74" s="43"/>
      <c r="H74" s="43"/>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191"/>
      <c r="AK74" s="78"/>
      <c r="AL74" s="78"/>
      <c r="AM74" s="78"/>
      <c r="AN74" s="78"/>
      <c r="AO74" s="78"/>
      <c r="AP74" s="78"/>
      <c r="AQ74" s="78"/>
      <c r="AR74" s="78"/>
      <c r="AS74" s="78"/>
      <c r="AT74" s="78"/>
      <c r="AU74" s="78"/>
      <c r="AV74" s="78"/>
      <c r="AW74" s="78"/>
      <c r="AX74" s="78"/>
      <c r="AY74" s="43"/>
      <c r="AZ74" s="43"/>
      <c r="BA74" s="43"/>
      <c r="BB74" s="43"/>
      <c r="BC74" s="43"/>
      <c r="BD74" s="43"/>
      <c r="BE74" s="43"/>
      <c r="BF74" s="43"/>
      <c r="BG74" s="43"/>
      <c r="BH74" s="43"/>
      <c r="BI74" s="43"/>
      <c r="BJ74" s="43"/>
      <c r="BK74" s="43"/>
    </row>
  </sheetData>
  <sheetProtection selectLockedCells="1"/>
  <autoFilter ref="A15:BK55" xr:uid="{C7A57253-58B1-4CF3-8685-A5C145AD241E}"/>
  <mergeCells count="14">
    <mergeCell ref="E6:F6"/>
    <mergeCell ref="A12:A15"/>
    <mergeCell ref="C12:C15"/>
    <mergeCell ref="B12:B15"/>
    <mergeCell ref="D12:D15"/>
    <mergeCell ref="AS12:AU12"/>
    <mergeCell ref="AV12:AW12"/>
    <mergeCell ref="AX12:BG12"/>
    <mergeCell ref="E12:X12"/>
    <mergeCell ref="Z12:AC12"/>
    <mergeCell ref="AD12:AE12"/>
    <mergeCell ref="AF12:AL12"/>
    <mergeCell ref="AM12:AP12"/>
    <mergeCell ref="AQ12:AR12"/>
  </mergeCells>
  <conditionalFormatting sqref="E16:BG99">
    <cfRule type="containsBlanks" dxfId="15" priority="1" stopIfTrue="1">
      <formula>LEN(TRIM(E16))=0</formula>
    </cfRule>
    <cfRule type="cellIs" dxfId="14" priority="2" stopIfTrue="1" operator="equal">
      <formula>"N"</formula>
    </cfRule>
    <cfRule type="cellIs" dxfId="13" priority="3" stopIfTrue="1" operator="equal">
      <formula>"Y"</formula>
    </cfRule>
    <cfRule type="expression" dxfId="12" priority="4" stopIfTrue="1">
      <formula>AND(ISNUMBER(E16),E16&lt;=TODAY())</formula>
    </cfRule>
    <cfRule type="expression" dxfId="11" priority="5" stopIfTrue="1">
      <formula>AND(ISNUMBER(E16),E16-TODAY()&lt;=90,E16-TODAY()&gt;0)</formula>
    </cfRule>
    <cfRule type="expression" dxfId="10" priority="15" stopIfTrue="1">
      <formula>AND(ISNUMBER(E16),E16-TODAY()&gt;90)</formula>
    </cfRule>
  </conditionalFormatting>
  <dataValidations count="1">
    <dataValidation type="list" allowBlank="1" showInputMessage="1" showErrorMessage="1" sqref="B30" xr:uid="{05BBA1EC-291D-4D35-BAF9-AEA5FC53A0F9}">
      <formula1>NameListMatrix</formula1>
    </dataValidation>
  </dataValidations>
  <hyperlinks>
    <hyperlink ref="T18" location="M_3" display="M³" xr:uid="{7E1E028B-E19F-481F-ADD4-3B7F68831242}"/>
    <hyperlink ref="T22" location="M_3" display="M³" xr:uid="{9513449D-BDF7-4634-A732-4BCFE8B815B8}"/>
    <hyperlink ref="W22" location="M_4" display="M⁴" xr:uid="{C58C6DF7-61AC-4909-8EED-18E74FFF68A4}"/>
    <hyperlink ref="T24" location="M_3" display="M³" xr:uid="{ABDE296D-760B-42CF-833F-DD9BE2689618}"/>
    <hyperlink ref="W24" location="M_4" display="M⁴" xr:uid="{C8FE4B04-210E-4CE3-96C1-223293B4E8E8}"/>
    <hyperlink ref="AR38" location="M_6" display="M⁶" xr:uid="{5CF3BD15-8473-43D3-8854-A0FECE1312BC}"/>
    <hyperlink ref="AR39" location="M_6" display="M⁶" xr:uid="{18146AC3-F2BE-4EA4-BE76-F72DFDB357A8}"/>
    <hyperlink ref="P44" location="M_2" display="M²" xr:uid="{E80E928B-A17E-4896-B4B8-6452D240B26B}"/>
    <hyperlink ref="N44" location="M_1" display="M¹" xr:uid="{AF3DEB5F-DABC-4FFB-AB8E-FA9295EB89BE}"/>
    <hyperlink ref="T44" location="M_3" display="M³" xr:uid="{9B169422-6408-4B24-BB85-0B6AC907906C}"/>
    <hyperlink ref="W44" location="M_4" display="M⁴" xr:uid="{8079EE9B-0284-4000-B098-2B06316C508E}"/>
    <hyperlink ref="X44" location="M_5" display="M⁵" xr:uid="{4F7F7C77-069B-4650-A983-25A1B0D941E9}"/>
    <hyperlink ref="AR44" location="M_6" display="M⁶" xr:uid="{AF6562F2-019C-4EC5-8689-8A5A439E1876}"/>
    <hyperlink ref="AU44" location="M_7" display="M⁷" xr:uid="{94EE7657-B82B-4C21-A7F8-0350854E3DFD}"/>
    <hyperlink ref="M46" location="M_1" display="M¹" xr:uid="{FF463F84-88E1-4DDD-984B-08D076B67E07}"/>
    <hyperlink ref="N46" location="M_1" display="M¹" xr:uid="{1739E2A5-E264-4328-9D10-3A5D907CB77A}"/>
    <hyperlink ref="W46" location="M_4" display="M⁴" xr:uid="{155978D0-3EDF-4F9D-991E-44F8DFFB1532}"/>
    <hyperlink ref="X46" location="M_5" display="M⁵" xr:uid="{DFD1BB19-9FC3-41B8-934F-3E321663A418}"/>
    <hyperlink ref="AR46" location="M_6" display="M⁶" xr:uid="{4AFC7978-5CF9-4195-AE62-C3129A1001B6}"/>
    <hyperlink ref="AU46" location="M_7" display="M⁷" xr:uid="{4FA99AF0-5300-4207-89F3-B1FBA0402028}"/>
    <hyperlink ref="P47" location="M_2" display="M²" xr:uid="{71B17683-AE33-415F-A1CD-56317C61F78D}"/>
    <hyperlink ref="L47" location="M_1" display="M¹" xr:uid="{9E55D94A-880A-4A90-B542-FC45B29181BA}"/>
    <hyperlink ref="W47" location="M_4" display="M⁴" xr:uid="{E175782E-0CC9-4EDF-8622-342EC19283BC}"/>
    <hyperlink ref="X47" location="M_5" display="M⁵" xr:uid="{017ADF5E-5623-4F07-A5EB-BA5352587036}"/>
    <hyperlink ref="AR47" location="M_6" display="M⁶" xr:uid="{3581572B-E420-45B2-AED1-007A7E9D17E7}"/>
    <hyperlink ref="AU47" location="M_7" display="M⁷" xr:uid="{60E1D807-97F8-4087-AB34-509E18125395}"/>
    <hyperlink ref="L48" location="M_1" display="M¹" xr:uid="{55147373-D7B0-4FA8-893E-A4D7C8C7D8C6}"/>
    <hyperlink ref="M48" location="M_1" display="M¹" xr:uid="{8C1006AB-41B0-4890-B923-5762C97063D1}"/>
    <hyperlink ref="N48" location="M_1" display="M¹" xr:uid="{8BB16933-16A4-4284-B8B9-B4ED5D5509AD}"/>
    <hyperlink ref="T48" location="M_3" display="M³" xr:uid="{31A53E8D-13CB-4538-A4AF-288F8F1658D1}"/>
    <hyperlink ref="W48" location="M_4" display="M⁴" xr:uid="{839242FD-986B-4297-9EDC-D648909D8954}"/>
    <hyperlink ref="X48" location="M_5" display="M⁵" xr:uid="{2E76CE8F-4F51-43C4-AE7C-709842299F1D}"/>
    <hyperlink ref="AR48" location="M_6" display="M⁶" xr:uid="{9405B2DC-078E-4266-BC21-EF143E8BD860}"/>
    <hyperlink ref="AU48" location="M_7" display="M⁷" xr:uid="{CB845B3B-3A24-4280-8743-67FB90E31634}"/>
    <hyperlink ref="P49" location="M_2" display="M²" xr:uid="{6B2903C2-FBC1-4DB3-BFFF-A7AF940F2E26}"/>
    <hyperlink ref="L49" location="M_1" display="M¹" xr:uid="{9DD41FE0-8B3D-4768-9ED2-0EEEAFB429A0}"/>
    <hyperlink ref="M49" location="M_1" display="M¹" xr:uid="{7C2B0C22-6C5A-49A1-BB90-5F55BC9D80D5}"/>
    <hyperlink ref="N49" location="M_1" display="M¹" xr:uid="{C4B44E34-428B-4C5B-9596-3B24548FBE3C}"/>
    <hyperlink ref="T49" location="M_3" display="M³" xr:uid="{40A82A27-393F-44EF-A04D-3F88419C58E1}"/>
    <hyperlink ref="W49" location="M_4" display="M⁴" xr:uid="{28B57F1E-4C73-4B20-8BC9-58F345DDFBD3}"/>
    <hyperlink ref="AR49" location="M_6" display="M⁶" xr:uid="{352A29D6-2209-40DF-81B1-35E846ADDD47}"/>
    <hyperlink ref="AU49" location="M_7" display="M⁷" xr:uid="{690A4EDD-C105-452A-9509-C30A0746E71F}"/>
    <hyperlink ref="P53" location="M_2" display="M²" xr:uid="{B1F2F2B7-C5F9-4E64-AD10-54E576A5781F}"/>
    <hyperlink ref="L53" location="M_1" display="M¹" xr:uid="{192073F7-2758-4938-B4D3-A3CC1EE292BE}"/>
    <hyperlink ref="T53" location="M_3" display="M³" xr:uid="{8DC68DC1-8B60-4D9A-81F5-75DCBEA2AC5E}"/>
    <hyperlink ref="W53" location="M_4" display="M⁴" xr:uid="{BB50F3E3-BE2D-4C67-A9AA-7B651430081D}"/>
    <hyperlink ref="X53" location="M_5" display="M⁵" xr:uid="{A1271992-AF1F-4152-95DE-7E8EBD46B5F2}"/>
    <hyperlink ref="AR53" location="M_6" display="M⁶" xr:uid="{F41060FB-B20E-46FC-9BAA-EECD56F6D5DD}"/>
    <hyperlink ref="AU53" location="M_7" display="M⁷" xr:uid="{725434CF-4BE6-4DF8-B607-EE5084F101EE}"/>
    <hyperlink ref="T16" location="M_3" display="M³" xr:uid="{BAD3EEAA-50A7-4E63-8E0E-14E35E47B5A2}"/>
    <hyperlink ref="T17" location="M_3" display="M³" xr:uid="{49A1C487-3087-4636-A9BF-A4C8860862C3}"/>
    <hyperlink ref="T19" location="M_3" display="M³" xr:uid="{4915C1BA-5374-40E8-BCDC-AF7D7A817174}"/>
    <hyperlink ref="T21" location="M_3" display="M³" xr:uid="{AE243CCF-79A6-44D7-9F1A-DC9EB8E49A75}"/>
    <hyperlink ref="T23" location="M_3" display="M³" xr:uid="{EBCEAB58-48CF-4A0D-A6F5-A6F913788289}"/>
    <hyperlink ref="W23" location="M_4" display="M⁴" xr:uid="{1D34974A-1773-4D1C-8B4F-69F330D9E009}"/>
    <hyperlink ref="AR25" location="M_6" display="M⁶" xr:uid="{7636C472-2078-43E5-968E-C93ED9D81C82}"/>
    <hyperlink ref="AR26" location="M_6" display="M⁶" xr:uid="{3E4BCF9D-F8E9-4E5F-BC45-64FDFDE6511C}"/>
    <hyperlink ref="AR28" location="M_6" display="M⁶" xr:uid="{5D27DE0D-CD5B-40B9-95CD-0285AF7AD985}"/>
    <hyperlink ref="AR34" location="M_6" display="M⁶" xr:uid="{708581A9-206A-4907-ABB8-D45EA745DF50}"/>
    <hyperlink ref="AR37" location="M_6" display="M⁶" xr:uid="{27465FBD-C0DE-4E11-939F-B4F7C07C3F79}"/>
    <hyperlink ref="AR41" location="M_6" display="M⁶" xr:uid="{C7D71DC3-7D78-4A7A-8871-3511B73FDC65}"/>
    <hyperlink ref="L52" location="M_1" display="M¹" xr:uid="{32ECEB19-065B-4939-8043-E4047A0F51D1}"/>
    <hyperlink ref="N52" location="M_1" display="M¹" xr:uid="{410F92E6-7AB8-4101-94BC-DBA8DBFE1C87}"/>
    <hyperlink ref="T52" location="M_3" display="M³" xr:uid="{355E6133-E54A-400C-8AF6-7B594156E36C}"/>
    <hyperlink ref="W52" location="M_4" display="M⁴" xr:uid="{A6EF5597-83F0-4021-873F-BF9D3F448977}"/>
    <hyperlink ref="X52" location="M_5" display="M⁵" xr:uid="{3B7777B8-BA07-449B-B284-6A065D41DDB6}"/>
    <hyperlink ref="AR52" location="M_6" display="M⁶" xr:uid="{7ABFA28C-E761-4DE9-8046-583CB88FFCE6}"/>
    <hyperlink ref="AU52" location="M_7" display="M⁷" xr:uid="{41247AE7-371C-45AE-B6A3-188FDA283355}"/>
    <hyperlink ref="P51" location="M_2" display="M²" xr:uid="{E0C12051-256A-4CD9-8730-74B02B8D3AF1}"/>
    <hyperlink ref="L51" location="M_1" display="M¹" xr:uid="{5C258333-EA61-4E2E-90C5-70224544ED28}"/>
    <hyperlink ref="M51" location="M_1" display="M¹" xr:uid="{657B2DC5-C805-47AB-B4C3-E9AEFECAB2E8}"/>
    <hyperlink ref="N51" location="M_1" display="M¹" xr:uid="{E97128CF-CB6B-4520-8826-5EED7171ED9C}"/>
    <hyperlink ref="T51" location="M_3" display="M³" xr:uid="{2A724A11-E22C-485E-88EF-2382CBCE33DB}"/>
    <hyperlink ref="W51" location="M_4" display="M⁴" xr:uid="{6D6E4A0A-6413-41E6-94A9-35893CE17A3D}"/>
    <hyperlink ref="X51" location="M_5" display="M⁵" xr:uid="{1477E62A-DE3C-45BD-A929-D06A8FD6E2BA}"/>
    <hyperlink ref="AR51" location="M_6" display="M⁶" xr:uid="{42E622B1-6622-44A6-8B74-4F89EE61EB73}"/>
    <hyperlink ref="AU51" location="M_7" display="M⁷" xr:uid="{F47BE201-B93B-44C6-BCB5-1397C747A435}"/>
    <hyperlink ref="P50" location="M_2" display="M²" xr:uid="{0AC9FAB7-6064-4D64-A610-16BB5A643DEE}"/>
    <hyperlink ref="L50" location="M_1" display="M¹" xr:uid="{8F849FEB-6624-4435-AE81-0A8F0CDB69B1}"/>
    <hyperlink ref="T50" location="M_3" display="M³" xr:uid="{C507941A-3CF6-4E51-809B-78CAC572FD9A}"/>
    <hyperlink ref="W50" location="M_4" display="M⁴" xr:uid="{B37EFABE-50CB-410B-8760-4EA2520E5804}"/>
    <hyperlink ref="X50" location="M_5" display="M⁵" xr:uid="{54F4BF9B-3F2F-4DCA-83EA-E02840306CF8}"/>
    <hyperlink ref="AR50" location="M_6" display="M⁶" xr:uid="{7457D9AC-E1A2-4E8F-B0AC-EC87F1AC96CF}"/>
    <hyperlink ref="AU50" location="M_7" display="M⁷" xr:uid="{0F3E7110-C25B-4F98-937A-054B446EF171}"/>
    <hyperlink ref="P45" location="M_2" display="M²" xr:uid="{47A8F368-2935-4836-A2CF-131DB903B5A8}"/>
    <hyperlink ref="M45" location="M_1" display="M¹" xr:uid="{9B949E5E-214F-4DF1-A596-562DD2C0194C}"/>
    <hyperlink ref="X45" location="M_5" display="M⁵" xr:uid="{C8A734F9-BC0C-44BC-AC88-1B6D54D3342D}"/>
    <hyperlink ref="AU45" location="M_7" display="M⁷" xr:uid="{E9D0D4CC-C8EF-4EB4-9D96-4FF95E651B21}"/>
  </hyperlinks>
  <printOptions horizontalCentered="1"/>
  <pageMargins left="0.19685039370078741" right="0.19685039370078741" top="0.39370078740157483" bottom="0.39370078740157483" header="0.31496062992125984" footer="0.19685039370078741"/>
  <pageSetup paperSize="8" scale="20" orientation="landscape" r:id="rId1"/>
  <headerFooter>
    <oddFooter>&amp;L&amp;"Century Gothic,Bold"&amp;10ISSUE DATE: 04/04/2024&amp;C&amp;"Century Gothic,Bold"&amp;10MRM-ATB-REG-0001&amp;R&amp;"Century Gothic,Bold"&amp;10PAGE &amp;P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A61FA-138B-4D5A-A24E-8DC8A0335527}">
  <sheetPr>
    <tabColor theme="9"/>
    <pageSetUpPr fitToPage="1"/>
  </sheetPr>
  <dimension ref="A1:BN57"/>
  <sheetViews>
    <sheetView showGridLines="0" zoomScale="70" zoomScaleNormal="70" workbookViewId="0">
      <pane xSplit="8" ySplit="18" topLeftCell="I34" activePane="bottomRight" state="frozen"/>
      <selection pane="topRight" activeCell="C1" sqref="C1"/>
      <selection pane="bottomLeft" activeCell="A14" sqref="A14"/>
      <selection pane="bottomRight" activeCell="D45" sqref="D45"/>
    </sheetView>
  </sheetViews>
  <sheetFormatPr defaultColWidth="9.28515625" defaultRowHeight="15" outlineLevelRow="1"/>
  <cols>
    <col min="1" max="1" width="14" customWidth="1"/>
    <col min="2" max="2" width="18.42578125" customWidth="1"/>
    <col min="3" max="5" width="14" customWidth="1"/>
    <col min="6" max="6" width="12.28515625" customWidth="1"/>
    <col min="7" max="7" width="15.7109375" style="43" customWidth="1"/>
    <col min="8" max="8" width="35" style="43" customWidth="1"/>
    <col min="9" max="12" width="22.5703125" style="43" customWidth="1"/>
    <col min="13" max="38" width="22.5703125" style="78" customWidth="1"/>
    <col min="39" max="39" width="22.5703125" style="191" customWidth="1"/>
    <col min="40" max="53" width="22.5703125" style="78" customWidth="1"/>
    <col min="54" max="62" width="22.5703125" style="43" customWidth="1"/>
    <col min="63" max="66" width="24.28515625" style="43" customWidth="1"/>
  </cols>
  <sheetData>
    <row r="1" spans="1:66" s="43" customFormat="1" ht="13.5"/>
    <row r="2" spans="1:66" s="43" customFormat="1" ht="25.15" customHeight="1">
      <c r="A2" s="71" t="s">
        <v>58</v>
      </c>
      <c r="B2" s="125"/>
      <c r="C2" s="129" t="s">
        <v>89</v>
      </c>
    </row>
    <row r="3" spans="1:66" s="43" customFormat="1" ht="24.6" customHeight="1">
      <c r="A3" s="71" t="s">
        <v>90</v>
      </c>
      <c r="B3" s="128" t="s">
        <v>91</v>
      </c>
    </row>
    <row r="4" spans="1:66" s="43" customFormat="1" ht="31.9" customHeight="1">
      <c r="A4" s="71" t="s">
        <v>92</v>
      </c>
      <c r="B4" s="126"/>
    </row>
    <row r="5" spans="1:66" s="43" customFormat="1" ht="38.450000000000003" customHeight="1">
      <c r="A5" s="71" t="s">
        <v>93</v>
      </c>
      <c r="B5" s="127" t="s">
        <v>91</v>
      </c>
    </row>
    <row r="6" spans="1:66" s="43" customFormat="1" ht="13.5"/>
    <row r="7" spans="1:66" s="43" customFormat="1" ht="13.5"/>
    <row r="8" spans="1:66" s="43" customFormat="1" ht="13.5"/>
    <row r="9" spans="1:66" s="186" customFormat="1" ht="17.25" thickBot="1">
      <c r="G9" s="43"/>
      <c r="H9" s="43"/>
      <c r="I9" s="43"/>
      <c r="J9" s="43"/>
      <c r="K9" s="43"/>
      <c r="L9" s="43"/>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191"/>
      <c r="AN9" s="78"/>
      <c r="AO9" s="78"/>
      <c r="AP9" s="78"/>
      <c r="AQ9" s="78"/>
      <c r="AR9" s="78"/>
      <c r="AS9" s="78"/>
      <c r="AT9" s="78"/>
      <c r="AU9" s="78"/>
      <c r="AV9" s="78"/>
      <c r="AW9" s="78"/>
      <c r="AX9" s="78"/>
      <c r="AY9" s="78"/>
      <c r="AZ9" s="78"/>
      <c r="BA9" s="78"/>
      <c r="BB9" s="43"/>
      <c r="BC9" s="43"/>
      <c r="BD9" s="43"/>
      <c r="BE9" s="43"/>
      <c r="BF9" s="43"/>
      <c r="BG9" s="43"/>
      <c r="BH9" s="43"/>
      <c r="BI9" s="43"/>
      <c r="BJ9" s="43"/>
      <c r="BK9" s="43"/>
      <c r="BL9" s="43"/>
      <c r="BM9" s="43"/>
      <c r="BN9" s="43"/>
    </row>
    <row r="10" spans="1:66" s="192" customFormat="1" ht="16.5" thickBot="1">
      <c r="G10" s="385" t="s">
        <v>94</v>
      </c>
      <c r="H10" s="386"/>
      <c r="I10" s="193"/>
      <c r="J10" s="193"/>
      <c r="K10" s="193"/>
      <c r="L10" s="193"/>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191"/>
      <c r="AN10" s="78"/>
      <c r="AO10" s="78"/>
      <c r="AP10" s="78"/>
      <c r="AQ10" s="78"/>
      <c r="AR10" s="78"/>
      <c r="AS10" s="78"/>
      <c r="AT10" s="78"/>
      <c r="AU10" s="78"/>
      <c r="AV10" s="78"/>
      <c r="AW10" s="78"/>
      <c r="AX10" s="78"/>
      <c r="AY10" s="78"/>
      <c r="AZ10" s="78"/>
      <c r="BA10" s="78"/>
      <c r="BB10" s="193"/>
      <c r="BC10" s="193"/>
      <c r="BD10" s="193"/>
      <c r="BE10" s="193"/>
      <c r="BF10" s="193"/>
      <c r="BG10" s="193"/>
      <c r="BH10" s="193"/>
      <c r="BI10" s="193"/>
      <c r="BJ10" s="193"/>
      <c r="BK10" s="193"/>
      <c r="BL10" s="193"/>
      <c r="BM10" s="193"/>
      <c r="BN10" s="193"/>
    </row>
    <row r="11" spans="1:66" s="192" customFormat="1" ht="13.5">
      <c r="G11" s="194" t="s">
        <v>95</v>
      </c>
      <c r="H11" s="195" t="s">
        <v>96</v>
      </c>
      <c r="I11" s="193"/>
      <c r="J11" s="193"/>
      <c r="K11" s="193"/>
      <c r="L11" s="193"/>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191"/>
      <c r="AN11" s="78"/>
      <c r="AO11" s="78"/>
      <c r="AP11" s="78"/>
      <c r="AQ11" s="78"/>
      <c r="AR11" s="78"/>
      <c r="AS11" s="78"/>
      <c r="AT11" s="78"/>
      <c r="AU11" s="78"/>
      <c r="AV11" s="78"/>
      <c r="AW11" s="78"/>
      <c r="AX11" s="78"/>
      <c r="AY11" s="78"/>
      <c r="AZ11" s="78"/>
      <c r="BA11" s="78"/>
      <c r="BB11" s="193"/>
      <c r="BC11" s="193"/>
      <c r="BD11" s="193"/>
      <c r="BE11" s="193"/>
      <c r="BF11" s="193"/>
      <c r="BG11" s="193"/>
      <c r="BH11" s="193"/>
      <c r="BI11" s="193"/>
      <c r="BJ11" s="193"/>
      <c r="BK11" s="193"/>
      <c r="BL11" s="193"/>
      <c r="BM11" s="193"/>
      <c r="BN11" s="193"/>
    </row>
    <row r="12" spans="1:66" s="192" customFormat="1" ht="27">
      <c r="G12" s="196" t="s">
        <v>97</v>
      </c>
      <c r="H12" s="197" t="s">
        <v>98</v>
      </c>
      <c r="I12" s="193"/>
      <c r="J12" s="193"/>
      <c r="K12" s="198"/>
      <c r="L12" s="198"/>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M12" s="200"/>
      <c r="AN12" s="199"/>
      <c r="AO12" s="199"/>
      <c r="AP12" s="199"/>
      <c r="AQ12" s="199"/>
      <c r="AR12" s="199"/>
      <c r="AS12" s="199"/>
      <c r="AT12" s="199"/>
      <c r="AU12" s="199"/>
      <c r="AV12" s="199"/>
      <c r="AW12" s="199"/>
      <c r="AX12" s="199"/>
      <c r="AY12" s="199"/>
      <c r="AZ12" s="201"/>
      <c r="BA12" s="201"/>
      <c r="BB12" s="198"/>
      <c r="BC12" s="198"/>
      <c r="BD12" s="198"/>
      <c r="BE12" s="198"/>
      <c r="BF12" s="198"/>
      <c r="BG12" s="198"/>
      <c r="BH12" s="198"/>
      <c r="BI12" s="198"/>
      <c r="BJ12" s="198"/>
      <c r="BK12" s="198"/>
      <c r="BL12" s="198"/>
      <c r="BM12" s="198"/>
      <c r="BN12" s="193"/>
    </row>
    <row r="13" spans="1:66" s="192" customFormat="1" ht="13.5">
      <c r="G13" s="196" t="s">
        <v>99</v>
      </c>
      <c r="H13" s="197" t="s">
        <v>100</v>
      </c>
      <c r="I13" s="193"/>
      <c r="J13" s="193"/>
      <c r="K13" s="198"/>
      <c r="L13" s="198"/>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M13" s="200"/>
      <c r="AN13" s="199"/>
      <c r="AO13" s="199"/>
      <c r="AP13" s="199"/>
      <c r="AQ13" s="199"/>
      <c r="AR13" s="199"/>
      <c r="AS13" s="199"/>
      <c r="AT13" s="199"/>
      <c r="AU13" s="199"/>
      <c r="AV13" s="199"/>
      <c r="AW13" s="199"/>
      <c r="AX13" s="199"/>
      <c r="AY13" s="199"/>
      <c r="AZ13" s="201"/>
      <c r="BA13" s="201"/>
      <c r="BB13" s="198"/>
      <c r="BC13" s="198"/>
      <c r="BD13" s="198"/>
      <c r="BE13" s="198"/>
      <c r="BF13" s="198"/>
      <c r="BG13" s="198"/>
      <c r="BH13" s="198"/>
      <c r="BI13" s="198"/>
      <c r="BJ13" s="198"/>
      <c r="BK13" s="198"/>
      <c r="BL13" s="198"/>
      <c r="BM13" s="198"/>
      <c r="BN13" s="193"/>
    </row>
    <row r="14" spans="1:66" s="192" customFormat="1" ht="14.25" thickBot="1">
      <c r="G14" s="202"/>
      <c r="H14" s="203" t="s">
        <v>101</v>
      </c>
      <c r="I14" s="193"/>
      <c r="J14" s="193"/>
      <c r="K14" s="198"/>
      <c r="L14" s="198"/>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M14" s="200"/>
      <c r="AN14" s="199"/>
      <c r="AO14" s="199"/>
      <c r="AP14" s="199"/>
      <c r="AQ14" s="199"/>
      <c r="AR14" s="199"/>
      <c r="AS14" s="199"/>
      <c r="AT14" s="199"/>
      <c r="AU14" s="199"/>
      <c r="AV14" s="199"/>
      <c r="AW14" s="199"/>
      <c r="AX14" s="199"/>
      <c r="AY14" s="199"/>
      <c r="AZ14" s="201"/>
      <c r="BA14" s="201"/>
      <c r="BB14" s="198"/>
      <c r="BC14" s="198"/>
      <c r="BD14" s="198"/>
      <c r="BE14" s="198"/>
      <c r="BF14" s="198"/>
      <c r="BG14" s="198"/>
      <c r="BH14" s="198"/>
      <c r="BI14" s="198"/>
      <c r="BJ14" s="198"/>
      <c r="BK14" s="198"/>
      <c r="BL14" s="198"/>
      <c r="BM14" s="198"/>
      <c r="BN14" s="193"/>
    </row>
    <row r="15" spans="1:66" s="192" customFormat="1" ht="14.25" thickBot="1">
      <c r="G15" s="44"/>
      <c r="H15" s="44"/>
      <c r="I15" s="44"/>
      <c r="J15" s="204"/>
      <c r="K15" s="204"/>
      <c r="L15" s="204"/>
      <c r="M15" s="204"/>
      <c r="N15" s="44"/>
      <c r="O15" s="44"/>
      <c r="P15" s="44"/>
      <c r="Q15" s="44"/>
      <c r="R15" s="205"/>
      <c r="S15" s="205"/>
      <c r="T15" s="44"/>
      <c r="U15" s="44"/>
      <c r="V15" s="44"/>
      <c r="W15" s="44"/>
      <c r="X15" s="44"/>
      <c r="Y15" s="44"/>
      <c r="Z15" s="44"/>
      <c r="AA15" s="44"/>
      <c r="AB15" s="44"/>
      <c r="AC15" s="44"/>
      <c r="AD15" s="44"/>
      <c r="AE15" s="44"/>
      <c r="AF15" s="44"/>
      <c r="AG15" s="44"/>
      <c r="AH15" s="44"/>
      <c r="AI15" s="44"/>
      <c r="AJ15" s="44"/>
      <c r="AK15" s="44"/>
      <c r="AL15" s="44"/>
      <c r="AM15" s="200"/>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row>
    <row r="16" spans="1:66" s="192" customFormat="1" ht="15.75" customHeight="1" thickBot="1">
      <c r="A16" s="387" t="s">
        <v>9</v>
      </c>
      <c r="B16" s="387" t="s">
        <v>63</v>
      </c>
      <c r="C16" s="387" t="s">
        <v>67</v>
      </c>
      <c r="D16" s="425" t="s">
        <v>72</v>
      </c>
      <c r="E16" s="387" t="s">
        <v>65</v>
      </c>
      <c r="F16" s="425" t="s">
        <v>102</v>
      </c>
      <c r="G16" s="425" t="s">
        <v>103</v>
      </c>
      <c r="H16" s="425" t="s">
        <v>104</v>
      </c>
      <c r="I16" s="407" t="s">
        <v>105</v>
      </c>
      <c r="J16" s="408"/>
      <c r="K16" s="408"/>
      <c r="L16" s="408"/>
      <c r="M16" s="408"/>
      <c r="N16" s="408"/>
      <c r="O16" s="408"/>
      <c r="P16" s="408"/>
      <c r="Q16" s="408"/>
      <c r="R16" s="408"/>
      <c r="S16" s="408"/>
      <c r="T16" s="408"/>
      <c r="U16" s="408"/>
      <c r="V16" s="408"/>
      <c r="W16" s="408"/>
      <c r="X16" s="408"/>
      <c r="Y16" s="408"/>
      <c r="Z16" s="408"/>
      <c r="AA16" s="408"/>
      <c r="AB16" s="409"/>
      <c r="AC16" s="410" t="s">
        <v>106</v>
      </c>
      <c r="AD16" s="411"/>
      <c r="AE16" s="411"/>
      <c r="AF16" s="412"/>
      <c r="AG16" s="413" t="s">
        <v>107</v>
      </c>
      <c r="AH16" s="414"/>
      <c r="AI16" s="415" t="s">
        <v>108</v>
      </c>
      <c r="AJ16" s="416"/>
      <c r="AK16" s="416"/>
      <c r="AL16" s="416"/>
      <c r="AM16" s="416"/>
      <c r="AN16" s="416"/>
      <c r="AO16" s="417"/>
      <c r="AP16" s="418" t="s">
        <v>109</v>
      </c>
      <c r="AQ16" s="419"/>
      <c r="AR16" s="419"/>
      <c r="AS16" s="420"/>
      <c r="AT16" s="421" t="s">
        <v>110</v>
      </c>
      <c r="AU16" s="422"/>
      <c r="AV16" s="398" t="s">
        <v>111</v>
      </c>
      <c r="AW16" s="399"/>
      <c r="AX16" s="400"/>
      <c r="AY16" s="401" t="s">
        <v>112</v>
      </c>
      <c r="AZ16" s="402"/>
      <c r="BA16" s="403" t="s">
        <v>113</v>
      </c>
      <c r="BB16" s="404"/>
      <c r="BC16" s="404"/>
      <c r="BD16" s="404"/>
      <c r="BE16" s="404"/>
      <c r="BF16" s="404"/>
      <c r="BG16" s="404"/>
      <c r="BH16" s="404"/>
      <c r="BI16" s="404"/>
      <c r="BJ16" s="405"/>
      <c r="BK16" s="193"/>
      <c r="BL16" s="193"/>
      <c r="BM16" s="193"/>
      <c r="BN16" s="193"/>
    </row>
    <row r="17" spans="1:66" s="192" customFormat="1" ht="13.5">
      <c r="A17" s="388"/>
      <c r="B17" s="388"/>
      <c r="C17" s="388"/>
      <c r="D17" s="426"/>
      <c r="E17" s="388"/>
      <c r="F17" s="426"/>
      <c r="G17" s="426"/>
      <c r="H17" s="426"/>
      <c r="I17" s="206" t="s">
        <v>114</v>
      </c>
      <c r="J17" s="207" t="s">
        <v>115</v>
      </c>
      <c r="K17" s="207" t="s">
        <v>116</v>
      </c>
      <c r="L17" s="207" t="s">
        <v>117</v>
      </c>
      <c r="M17" s="207" t="s">
        <v>118</v>
      </c>
      <c r="N17" s="207" t="s">
        <v>119</v>
      </c>
      <c r="O17" s="207" t="s">
        <v>120</v>
      </c>
      <c r="P17" s="207" t="s">
        <v>121</v>
      </c>
      <c r="Q17" s="207" t="s">
        <v>122</v>
      </c>
      <c r="R17" s="207" t="s">
        <v>123</v>
      </c>
      <c r="S17" s="207" t="s">
        <v>124</v>
      </c>
      <c r="T17" s="207" t="s">
        <v>125</v>
      </c>
      <c r="U17" s="207" t="s">
        <v>126</v>
      </c>
      <c r="V17" s="207" t="s">
        <v>127</v>
      </c>
      <c r="W17" s="207" t="s">
        <v>128</v>
      </c>
      <c r="X17" s="207" t="s">
        <v>129</v>
      </c>
      <c r="Y17" s="207" t="s">
        <v>130</v>
      </c>
      <c r="Z17" s="207" t="s">
        <v>131</v>
      </c>
      <c r="AA17" s="207" t="s">
        <v>132</v>
      </c>
      <c r="AB17" s="208" t="s">
        <v>133</v>
      </c>
      <c r="AC17" s="209" t="s">
        <v>134</v>
      </c>
      <c r="AD17" s="210" t="s">
        <v>135</v>
      </c>
      <c r="AE17" s="210" t="s">
        <v>136</v>
      </c>
      <c r="AF17" s="211" t="s">
        <v>137</v>
      </c>
      <c r="AG17" s="212" t="s">
        <v>138</v>
      </c>
      <c r="AH17" s="212" t="s">
        <v>139</v>
      </c>
      <c r="AI17" s="213" t="s">
        <v>140</v>
      </c>
      <c r="AJ17" s="214" t="s">
        <v>141</v>
      </c>
      <c r="AK17" s="214" t="s">
        <v>142</v>
      </c>
      <c r="AL17" s="214" t="s">
        <v>143</v>
      </c>
      <c r="AM17" s="214" t="s">
        <v>144</v>
      </c>
      <c r="AN17" s="214" t="s">
        <v>145</v>
      </c>
      <c r="AO17" s="215" t="s">
        <v>146</v>
      </c>
      <c r="AP17" s="216" t="s">
        <v>147</v>
      </c>
      <c r="AQ17" s="217" t="s">
        <v>148</v>
      </c>
      <c r="AR17" s="217" t="s">
        <v>149</v>
      </c>
      <c r="AS17" s="218" t="s">
        <v>150</v>
      </c>
      <c r="AT17" s="219" t="s">
        <v>151</v>
      </c>
      <c r="AU17" s="220" t="s">
        <v>152</v>
      </c>
      <c r="AV17" s="221" t="s">
        <v>153</v>
      </c>
      <c r="AW17" s="222" t="s">
        <v>154</v>
      </c>
      <c r="AX17" s="223" t="s">
        <v>155</v>
      </c>
      <c r="AY17" s="224" t="s">
        <v>156</v>
      </c>
      <c r="AZ17" s="225" t="s">
        <v>157</v>
      </c>
      <c r="BA17" s="226" t="s">
        <v>158</v>
      </c>
      <c r="BB17" s="227" t="s">
        <v>159</v>
      </c>
      <c r="BC17" s="227" t="s">
        <v>160</v>
      </c>
      <c r="BD17" s="227" t="s">
        <v>161</v>
      </c>
      <c r="BE17" s="227" t="s">
        <v>162</v>
      </c>
      <c r="BF17" s="227" t="s">
        <v>163</v>
      </c>
      <c r="BG17" s="227" t="s">
        <v>164</v>
      </c>
      <c r="BH17" s="227" t="s">
        <v>165</v>
      </c>
      <c r="BI17" s="227" t="s">
        <v>166</v>
      </c>
      <c r="BJ17" s="228" t="s">
        <v>167</v>
      </c>
      <c r="BK17" s="193"/>
      <c r="BL17" s="193"/>
      <c r="BM17" s="193"/>
      <c r="BN17" s="193"/>
    </row>
    <row r="18" spans="1:66" s="192" customFormat="1" ht="69.75" customHeight="1" thickBot="1">
      <c r="A18" s="388"/>
      <c r="B18" s="388"/>
      <c r="C18" s="388"/>
      <c r="D18" s="427"/>
      <c r="E18" s="388"/>
      <c r="F18" s="427"/>
      <c r="G18" s="427"/>
      <c r="H18" s="427"/>
      <c r="I18" s="229" t="s">
        <v>3</v>
      </c>
      <c r="J18" s="230" t="s">
        <v>168</v>
      </c>
      <c r="K18" s="230" t="s">
        <v>169</v>
      </c>
      <c r="L18" s="230" t="s">
        <v>170</v>
      </c>
      <c r="M18" s="230" t="s">
        <v>171</v>
      </c>
      <c r="N18" s="230" t="s">
        <v>172</v>
      </c>
      <c r="O18" s="230" t="s">
        <v>173</v>
      </c>
      <c r="P18" s="230" t="s">
        <v>174</v>
      </c>
      <c r="Q18" s="230" t="s">
        <v>175</v>
      </c>
      <c r="R18" s="230" t="s">
        <v>176</v>
      </c>
      <c r="S18" s="230" t="s">
        <v>177</v>
      </c>
      <c r="T18" s="230" t="s">
        <v>178</v>
      </c>
      <c r="U18" s="230" t="s">
        <v>179</v>
      </c>
      <c r="V18" s="230" t="s">
        <v>180</v>
      </c>
      <c r="W18" s="230" t="s">
        <v>181</v>
      </c>
      <c r="X18" s="230" t="s">
        <v>182</v>
      </c>
      <c r="Y18" s="230" t="s">
        <v>183</v>
      </c>
      <c r="Z18" s="230" t="s">
        <v>184</v>
      </c>
      <c r="AA18" s="230" t="s">
        <v>185</v>
      </c>
      <c r="AB18" s="231" t="s">
        <v>186</v>
      </c>
      <c r="AC18" s="232" t="s">
        <v>187</v>
      </c>
      <c r="AD18" s="233" t="s">
        <v>188</v>
      </c>
      <c r="AE18" s="233" t="s">
        <v>189</v>
      </c>
      <c r="AF18" s="234" t="s">
        <v>190</v>
      </c>
      <c r="AG18" s="212" t="s">
        <v>191</v>
      </c>
      <c r="AH18" s="212" t="s">
        <v>192</v>
      </c>
      <c r="AI18" s="235" t="s">
        <v>193</v>
      </c>
      <c r="AJ18" s="236" t="s">
        <v>194</v>
      </c>
      <c r="AK18" s="236" t="s">
        <v>195</v>
      </c>
      <c r="AL18" s="236" t="s">
        <v>196</v>
      </c>
      <c r="AM18" s="236" t="s">
        <v>197</v>
      </c>
      <c r="AN18" s="236" t="s">
        <v>198</v>
      </c>
      <c r="AO18" s="237" t="s">
        <v>199</v>
      </c>
      <c r="AP18" s="238" t="s">
        <v>200</v>
      </c>
      <c r="AQ18" s="239" t="s">
        <v>201</v>
      </c>
      <c r="AR18" s="239" t="s">
        <v>202</v>
      </c>
      <c r="AS18" s="240" t="s">
        <v>203</v>
      </c>
      <c r="AT18" s="241" t="s">
        <v>204</v>
      </c>
      <c r="AU18" s="242" t="s">
        <v>205</v>
      </c>
      <c r="AV18" s="243" t="s">
        <v>206</v>
      </c>
      <c r="AW18" s="244" t="s">
        <v>207</v>
      </c>
      <c r="AX18" s="245" t="s">
        <v>208</v>
      </c>
      <c r="AY18" s="246" t="s">
        <v>209</v>
      </c>
      <c r="AZ18" s="247" t="s">
        <v>210</v>
      </c>
      <c r="BA18" s="248" t="s">
        <v>211</v>
      </c>
      <c r="BB18" s="249" t="s">
        <v>212</v>
      </c>
      <c r="BC18" s="249" t="s">
        <v>213</v>
      </c>
      <c r="BD18" s="249" t="s">
        <v>214</v>
      </c>
      <c r="BE18" s="249" t="s">
        <v>215</v>
      </c>
      <c r="BF18" s="249" t="s">
        <v>216</v>
      </c>
      <c r="BG18" s="249" t="s">
        <v>217</v>
      </c>
      <c r="BH18" s="249" t="s">
        <v>218</v>
      </c>
      <c r="BI18" s="249" t="s">
        <v>219</v>
      </c>
      <c r="BJ18" s="250" t="s">
        <v>220</v>
      </c>
      <c r="BK18" s="193"/>
      <c r="BL18" s="193"/>
      <c r="BM18" s="193"/>
      <c r="BN18" s="193"/>
    </row>
    <row r="19" spans="1:66" s="263" customFormat="1" ht="15.75" thickBot="1">
      <c r="A19" s="251">
        <v>1</v>
      </c>
      <c r="B19" s="42"/>
      <c r="C19" s="252" t="s">
        <v>3</v>
      </c>
      <c r="D19" s="252" t="s">
        <v>221</v>
      </c>
      <c r="E19" s="117"/>
      <c r="F19" s="121" t="str">
        <f>IF(ISBLANK($B$4), "", $B$7)</f>
        <v/>
      </c>
      <c r="G19" s="121" t="str">
        <f>IF(ISBLANK($B$4), "", $B$5)</f>
        <v/>
      </c>
      <c r="H19" s="253"/>
      <c r="I19" s="254" t="s">
        <v>95</v>
      </c>
      <c r="J19" s="255" t="str">
        <f>IFERROR(VLOOKUP($B$19,'CREW EXPIRY DATES'!$B$16:$BG$100,5,FALSE),"")</f>
        <v/>
      </c>
      <c r="K19" s="255"/>
      <c r="L19" s="255"/>
      <c r="M19" s="255"/>
      <c r="N19" s="255"/>
      <c r="O19" s="255"/>
      <c r="P19" s="255"/>
      <c r="Q19" s="255"/>
      <c r="R19" s="255"/>
      <c r="S19" s="255"/>
      <c r="T19" s="255"/>
      <c r="U19" s="256" t="s">
        <v>95</v>
      </c>
      <c r="V19" s="255" t="s">
        <v>95</v>
      </c>
      <c r="W19" s="255"/>
      <c r="X19" s="257" t="s">
        <v>222</v>
      </c>
      <c r="Y19" s="255" t="s">
        <v>95</v>
      </c>
      <c r="Z19" s="255" t="s">
        <v>95</v>
      </c>
      <c r="AA19" s="257" t="s">
        <v>223</v>
      </c>
      <c r="AB19" s="258"/>
      <c r="AC19" s="259" t="s">
        <v>95</v>
      </c>
      <c r="AD19" s="255" t="s">
        <v>95</v>
      </c>
      <c r="AE19" s="158" t="s">
        <v>95</v>
      </c>
      <c r="AF19" s="258" t="s">
        <v>95</v>
      </c>
      <c r="AG19" s="260" t="s">
        <v>95</v>
      </c>
      <c r="AH19" s="261" t="s">
        <v>95</v>
      </c>
      <c r="AI19" s="254" t="s">
        <v>95</v>
      </c>
      <c r="AJ19" s="255" t="s">
        <v>95</v>
      </c>
      <c r="AK19" s="255" t="s">
        <v>95</v>
      </c>
      <c r="AL19" s="255" t="s">
        <v>95</v>
      </c>
      <c r="AM19" s="255" t="s">
        <v>95</v>
      </c>
      <c r="AN19" s="255" t="s">
        <v>95</v>
      </c>
      <c r="AO19" s="258" t="s">
        <v>95</v>
      </c>
      <c r="AP19" s="259" t="s">
        <v>95</v>
      </c>
      <c r="AQ19" s="255" t="s">
        <v>95</v>
      </c>
      <c r="AR19" s="256" t="s">
        <v>95</v>
      </c>
      <c r="AS19" s="262"/>
      <c r="AT19" s="259"/>
      <c r="AU19" s="258"/>
      <c r="AV19" s="259" t="s">
        <v>95</v>
      </c>
      <c r="AW19" s="255" t="s">
        <v>95</v>
      </c>
      <c r="AX19" s="258" t="s">
        <v>95</v>
      </c>
      <c r="AY19" s="259" t="s">
        <v>95</v>
      </c>
      <c r="AZ19" s="258" t="s">
        <v>95</v>
      </c>
      <c r="BA19" s="259" t="s">
        <v>95</v>
      </c>
      <c r="BB19" s="255" t="s">
        <v>95</v>
      </c>
      <c r="BC19" s="255" t="s">
        <v>95</v>
      </c>
      <c r="BD19" s="255" t="s">
        <v>95</v>
      </c>
      <c r="BE19" s="255" t="s">
        <v>95</v>
      </c>
      <c r="BF19" s="255" t="s">
        <v>95</v>
      </c>
      <c r="BG19" s="255" t="s">
        <v>95</v>
      </c>
      <c r="BH19" s="255" t="s">
        <v>95</v>
      </c>
      <c r="BI19" s="255" t="s">
        <v>95</v>
      </c>
      <c r="BJ19" s="258" t="s">
        <v>95</v>
      </c>
      <c r="BK19" s="205"/>
      <c r="BL19" s="205"/>
      <c r="BM19" s="205"/>
      <c r="BN19" s="205"/>
    </row>
    <row r="20" spans="1:66" s="263" customFormat="1">
      <c r="A20" s="251">
        <v>2</v>
      </c>
      <c r="B20" s="42"/>
      <c r="C20" s="252" t="s">
        <v>3</v>
      </c>
      <c r="D20" s="252" t="s">
        <v>224</v>
      </c>
      <c r="E20" s="117"/>
      <c r="F20" s="121" t="str">
        <f t="shared" ref="F20:F37" si="0">IF(ISBLANK($B$4), "", $B$7)</f>
        <v/>
      </c>
      <c r="G20" s="121" t="str">
        <f t="shared" ref="G20:G37" si="1">IF(ISBLANK($B$4), "", $B$5)</f>
        <v/>
      </c>
      <c r="H20" s="253"/>
      <c r="I20" s="265" t="s">
        <v>95</v>
      </c>
      <c r="J20" s="255"/>
      <c r="K20" s="255"/>
      <c r="L20" s="255"/>
      <c r="M20" s="255"/>
      <c r="N20" s="255"/>
      <c r="O20" s="255"/>
      <c r="P20" s="255"/>
      <c r="Q20" s="255"/>
      <c r="R20" s="255"/>
      <c r="S20" s="255"/>
      <c r="T20" s="255"/>
      <c r="U20" s="256" t="s">
        <v>95</v>
      </c>
      <c r="V20" s="255" t="s">
        <v>95</v>
      </c>
      <c r="W20" s="255"/>
      <c r="X20" s="257" t="s">
        <v>222</v>
      </c>
      <c r="Y20" s="255" t="s">
        <v>95</v>
      </c>
      <c r="Z20" s="255" t="s">
        <v>95</v>
      </c>
      <c r="AA20" s="257" t="s">
        <v>223</v>
      </c>
      <c r="AB20" s="258"/>
      <c r="AC20" s="259" t="s">
        <v>95</v>
      </c>
      <c r="AD20" s="255" t="s">
        <v>95</v>
      </c>
      <c r="AE20" s="158" t="s">
        <v>95</v>
      </c>
      <c r="AF20" s="258" t="s">
        <v>95</v>
      </c>
      <c r="AG20" s="260" t="s">
        <v>95</v>
      </c>
      <c r="AH20" s="261" t="s">
        <v>95</v>
      </c>
      <c r="AI20" s="254" t="s">
        <v>95</v>
      </c>
      <c r="AJ20" s="255" t="s">
        <v>95</v>
      </c>
      <c r="AK20" s="255" t="s">
        <v>95</v>
      </c>
      <c r="AL20" s="255" t="s">
        <v>95</v>
      </c>
      <c r="AM20" s="255" t="s">
        <v>95</v>
      </c>
      <c r="AN20" s="255" t="s">
        <v>95</v>
      </c>
      <c r="AO20" s="258" t="s">
        <v>95</v>
      </c>
      <c r="AP20" s="259" t="s">
        <v>95</v>
      </c>
      <c r="AQ20" s="255" t="s">
        <v>95</v>
      </c>
      <c r="AR20" s="256" t="s">
        <v>95</v>
      </c>
      <c r="AS20" s="262"/>
      <c r="AT20" s="259"/>
      <c r="AU20" s="258"/>
      <c r="AV20" s="259" t="s">
        <v>95</v>
      </c>
      <c r="AW20" s="255" t="s">
        <v>95</v>
      </c>
      <c r="AX20" s="258" t="s">
        <v>95</v>
      </c>
      <c r="AY20" s="259" t="s">
        <v>95</v>
      </c>
      <c r="AZ20" s="258" t="s">
        <v>95</v>
      </c>
      <c r="BA20" s="259" t="s">
        <v>95</v>
      </c>
      <c r="BB20" s="255" t="s">
        <v>95</v>
      </c>
      <c r="BC20" s="255" t="s">
        <v>95</v>
      </c>
      <c r="BD20" s="255" t="s">
        <v>95</v>
      </c>
      <c r="BE20" s="255" t="s">
        <v>95</v>
      </c>
      <c r="BF20" s="255" t="s">
        <v>95</v>
      </c>
      <c r="BG20" s="255" t="s">
        <v>95</v>
      </c>
      <c r="BH20" s="255" t="s">
        <v>95</v>
      </c>
      <c r="BI20" s="255" t="s">
        <v>95</v>
      </c>
      <c r="BJ20" s="258" t="s">
        <v>95</v>
      </c>
      <c r="BK20" s="205"/>
      <c r="BL20" s="205"/>
      <c r="BM20" s="205"/>
      <c r="BN20" s="205"/>
    </row>
    <row r="21" spans="1:66" s="263" customFormat="1">
      <c r="A21" s="251">
        <v>3</v>
      </c>
      <c r="B21" s="42"/>
      <c r="C21" s="252" t="s">
        <v>225</v>
      </c>
      <c r="D21" s="252" t="s">
        <v>221</v>
      </c>
      <c r="E21" s="117"/>
      <c r="F21" s="121" t="str">
        <f t="shared" si="0"/>
        <v/>
      </c>
      <c r="G21" s="121" t="str">
        <f t="shared" si="1"/>
        <v/>
      </c>
      <c r="H21" s="253"/>
      <c r="I21" s="264"/>
      <c r="J21" s="355" t="s">
        <v>95</v>
      </c>
      <c r="K21" s="265"/>
      <c r="L21" s="265"/>
      <c r="M21" s="265"/>
      <c r="N21" s="265"/>
      <c r="O21" s="265"/>
      <c r="P21" s="265"/>
      <c r="Q21" s="265"/>
      <c r="R21" s="265"/>
      <c r="S21" s="265"/>
      <c r="T21" s="265"/>
      <c r="U21" s="266" t="s">
        <v>95</v>
      </c>
      <c r="V21" s="265" t="s">
        <v>95</v>
      </c>
      <c r="W21" s="265"/>
      <c r="X21" s="267" t="s">
        <v>222</v>
      </c>
      <c r="Y21" s="265" t="s">
        <v>95</v>
      </c>
      <c r="Z21" s="265" t="s">
        <v>95</v>
      </c>
      <c r="AA21" s="267" t="s">
        <v>223</v>
      </c>
      <c r="AB21" s="268"/>
      <c r="AC21" s="269" t="s">
        <v>95</v>
      </c>
      <c r="AD21" s="265" t="s">
        <v>95</v>
      </c>
      <c r="AE21" s="157" t="s">
        <v>95</v>
      </c>
      <c r="AF21" s="268" t="s">
        <v>95</v>
      </c>
      <c r="AG21" s="269" t="s">
        <v>95</v>
      </c>
      <c r="AH21" s="268" t="s">
        <v>95</v>
      </c>
      <c r="AI21" s="264" t="s">
        <v>99</v>
      </c>
      <c r="AJ21" s="265" t="s">
        <v>99</v>
      </c>
      <c r="AK21" s="265" t="s">
        <v>99</v>
      </c>
      <c r="AL21" s="265" t="s">
        <v>99</v>
      </c>
      <c r="AM21" s="265" t="s">
        <v>99</v>
      </c>
      <c r="AN21" s="265" t="s">
        <v>95</v>
      </c>
      <c r="AO21" s="268" t="s">
        <v>99</v>
      </c>
      <c r="AP21" s="269" t="s">
        <v>95</v>
      </c>
      <c r="AQ21" s="265" t="s">
        <v>95</v>
      </c>
      <c r="AR21" s="266" t="s">
        <v>95</v>
      </c>
      <c r="AS21" s="270" t="s">
        <v>95</v>
      </c>
      <c r="AT21" s="271" t="s">
        <v>99</v>
      </c>
      <c r="AU21" s="272" t="s">
        <v>226</v>
      </c>
      <c r="AV21" s="269" t="s">
        <v>95</v>
      </c>
      <c r="AW21" s="157"/>
      <c r="AX21" s="268"/>
      <c r="AY21" s="269" t="s">
        <v>95</v>
      </c>
      <c r="AZ21" s="268" t="s">
        <v>95</v>
      </c>
      <c r="BA21" s="269" t="s">
        <v>95</v>
      </c>
      <c r="BB21" s="265" t="s">
        <v>95</v>
      </c>
      <c r="BC21" s="265" t="s">
        <v>95</v>
      </c>
      <c r="BD21" s="265" t="s">
        <v>95</v>
      </c>
      <c r="BE21" s="265" t="s">
        <v>95</v>
      </c>
      <c r="BF21" s="265" t="s">
        <v>95</v>
      </c>
      <c r="BG21" s="265" t="s">
        <v>95</v>
      </c>
      <c r="BH21" s="265" t="s">
        <v>95</v>
      </c>
      <c r="BI21" s="265" t="s">
        <v>95</v>
      </c>
      <c r="BJ21" s="268" t="s">
        <v>95</v>
      </c>
      <c r="BK21" s="205"/>
      <c r="BL21" s="205"/>
      <c r="BM21" s="205"/>
      <c r="BN21" s="205"/>
    </row>
    <row r="22" spans="1:66" s="263" customFormat="1">
      <c r="A22" s="251">
        <v>4</v>
      </c>
      <c r="B22" s="42"/>
      <c r="C22" s="252" t="s">
        <v>225</v>
      </c>
      <c r="D22" s="252" t="s">
        <v>224</v>
      </c>
      <c r="E22" s="117"/>
      <c r="F22" s="121" t="str">
        <f t="shared" si="0"/>
        <v/>
      </c>
      <c r="G22" s="121" t="str">
        <f t="shared" si="1"/>
        <v/>
      </c>
      <c r="H22" s="253"/>
      <c r="I22" s="264"/>
      <c r="J22" s="265"/>
      <c r="K22" s="265" t="s">
        <v>95</v>
      </c>
      <c r="L22" s="265"/>
      <c r="M22" s="265"/>
      <c r="N22" s="265"/>
      <c r="O22" s="265"/>
      <c r="P22" s="265"/>
      <c r="Q22" s="265"/>
      <c r="R22" s="265"/>
      <c r="S22" s="265"/>
      <c r="T22" s="265" t="s">
        <v>95</v>
      </c>
      <c r="U22" s="266" t="s">
        <v>95</v>
      </c>
      <c r="V22" s="265" t="s">
        <v>95</v>
      </c>
      <c r="W22" s="265" t="s">
        <v>95</v>
      </c>
      <c r="X22" s="267" t="s">
        <v>222</v>
      </c>
      <c r="Y22" s="265" t="s">
        <v>95</v>
      </c>
      <c r="Z22" s="265" t="s">
        <v>95</v>
      </c>
      <c r="AA22" s="267" t="s">
        <v>223</v>
      </c>
      <c r="AB22" s="268"/>
      <c r="AC22" s="269" t="s">
        <v>95</v>
      </c>
      <c r="AD22" s="265" t="s">
        <v>95</v>
      </c>
      <c r="AE22" s="157" t="s">
        <v>95</v>
      </c>
      <c r="AF22" s="268" t="s">
        <v>95</v>
      </c>
      <c r="AG22" s="269" t="s">
        <v>95</v>
      </c>
      <c r="AH22" s="268" t="s">
        <v>95</v>
      </c>
      <c r="AI22" s="264" t="s">
        <v>99</v>
      </c>
      <c r="AJ22" s="265" t="s">
        <v>99</v>
      </c>
      <c r="AK22" s="265" t="s">
        <v>99</v>
      </c>
      <c r="AL22" s="265" t="s">
        <v>99</v>
      </c>
      <c r="AM22" s="265" t="s">
        <v>99</v>
      </c>
      <c r="AN22" s="265" t="s">
        <v>95</v>
      </c>
      <c r="AO22" s="268" t="s">
        <v>99</v>
      </c>
      <c r="AP22" s="269" t="s">
        <v>95</v>
      </c>
      <c r="AQ22" s="265" t="s">
        <v>95</v>
      </c>
      <c r="AR22" s="266" t="s">
        <v>95</v>
      </c>
      <c r="AS22" s="270" t="s">
        <v>95</v>
      </c>
      <c r="AT22" s="271" t="s">
        <v>99</v>
      </c>
      <c r="AU22" s="272" t="s">
        <v>226</v>
      </c>
      <c r="AV22" s="269" t="s">
        <v>95</v>
      </c>
      <c r="AW22" s="157"/>
      <c r="AX22" s="268"/>
      <c r="AY22" s="269" t="s">
        <v>95</v>
      </c>
      <c r="AZ22" s="268" t="s">
        <v>95</v>
      </c>
      <c r="BA22" s="269" t="s">
        <v>95</v>
      </c>
      <c r="BB22" s="265" t="s">
        <v>95</v>
      </c>
      <c r="BC22" s="265" t="s">
        <v>95</v>
      </c>
      <c r="BD22" s="265" t="s">
        <v>95</v>
      </c>
      <c r="BE22" s="265" t="s">
        <v>95</v>
      </c>
      <c r="BF22" s="265" t="s">
        <v>95</v>
      </c>
      <c r="BG22" s="265" t="s">
        <v>95</v>
      </c>
      <c r="BH22" s="265" t="s">
        <v>95</v>
      </c>
      <c r="BI22" s="265" t="s">
        <v>95</v>
      </c>
      <c r="BJ22" s="268" t="s">
        <v>95</v>
      </c>
      <c r="BK22" s="205"/>
      <c r="BL22" s="205"/>
      <c r="BM22" s="205"/>
      <c r="BN22" s="205"/>
    </row>
    <row r="23" spans="1:66" s="263" customFormat="1">
      <c r="A23" s="251">
        <v>5</v>
      </c>
      <c r="B23" s="42"/>
      <c r="C23" s="252" t="s">
        <v>227</v>
      </c>
      <c r="D23" s="252" t="s">
        <v>221</v>
      </c>
      <c r="E23" s="117"/>
      <c r="F23" s="121" t="str">
        <f t="shared" si="0"/>
        <v/>
      </c>
      <c r="G23" s="121" t="str">
        <f t="shared" si="1"/>
        <v/>
      </c>
      <c r="H23" s="253"/>
      <c r="I23" s="264"/>
      <c r="J23" s="265"/>
      <c r="K23" s="265"/>
      <c r="L23" s="265" t="s">
        <v>95</v>
      </c>
      <c r="M23" s="265"/>
      <c r="N23" s="265"/>
      <c r="O23" s="265"/>
      <c r="P23" s="265"/>
      <c r="Q23" s="265"/>
      <c r="R23" s="265"/>
      <c r="S23" s="265"/>
      <c r="T23" s="265" t="s">
        <v>95</v>
      </c>
      <c r="U23" s="273" t="s">
        <v>95</v>
      </c>
      <c r="V23" s="265"/>
      <c r="W23" s="265" t="s">
        <v>95</v>
      </c>
      <c r="X23" s="267" t="s">
        <v>222</v>
      </c>
      <c r="Y23" s="265" t="s">
        <v>95</v>
      </c>
      <c r="Z23" s="265" t="s">
        <v>95</v>
      </c>
      <c r="AA23" s="267" t="s">
        <v>223</v>
      </c>
      <c r="AB23" s="161"/>
      <c r="AC23" s="269" t="s">
        <v>95</v>
      </c>
      <c r="AD23" s="265" t="s">
        <v>95</v>
      </c>
      <c r="AE23" s="157" t="s">
        <v>95</v>
      </c>
      <c r="AF23" s="268" t="s">
        <v>95</v>
      </c>
      <c r="AG23" s="269" t="s">
        <v>95</v>
      </c>
      <c r="AH23" s="268" t="s">
        <v>95</v>
      </c>
      <c r="AI23" s="264"/>
      <c r="AJ23" s="265"/>
      <c r="AK23" s="265"/>
      <c r="AL23" s="265"/>
      <c r="AM23" s="265"/>
      <c r="AN23" s="265"/>
      <c r="AO23" s="268"/>
      <c r="AP23" s="269" t="s">
        <v>95</v>
      </c>
      <c r="AQ23" s="265" t="s">
        <v>95</v>
      </c>
      <c r="AR23" s="266" t="s">
        <v>95</v>
      </c>
      <c r="AS23" s="268"/>
      <c r="AT23" s="271" t="s">
        <v>99</v>
      </c>
      <c r="AU23" s="272" t="s">
        <v>226</v>
      </c>
      <c r="AV23" s="269" t="s">
        <v>95</v>
      </c>
      <c r="AW23" s="157"/>
      <c r="AX23" s="161"/>
      <c r="AY23" s="269" t="s">
        <v>95</v>
      </c>
      <c r="AZ23" s="268" t="s">
        <v>95</v>
      </c>
      <c r="BA23" s="269" t="s">
        <v>95</v>
      </c>
      <c r="BB23" s="265" t="s">
        <v>95</v>
      </c>
      <c r="BC23" s="265" t="s">
        <v>95</v>
      </c>
      <c r="BD23" s="265" t="s">
        <v>95</v>
      </c>
      <c r="BE23" s="265" t="s">
        <v>95</v>
      </c>
      <c r="BF23" s="265" t="s">
        <v>95</v>
      </c>
      <c r="BG23" s="265" t="s">
        <v>95</v>
      </c>
      <c r="BH23" s="265" t="s">
        <v>95</v>
      </c>
      <c r="BI23" s="265" t="s">
        <v>95</v>
      </c>
      <c r="BJ23" s="268" t="s">
        <v>95</v>
      </c>
      <c r="BK23" s="205"/>
      <c r="BL23" s="205"/>
      <c r="BM23" s="205"/>
      <c r="BN23" s="205"/>
    </row>
    <row r="24" spans="1:66" s="263" customFormat="1">
      <c r="A24" s="251">
        <v>6</v>
      </c>
      <c r="B24" s="42"/>
      <c r="C24" s="252" t="s">
        <v>227</v>
      </c>
      <c r="D24" s="252" t="s">
        <v>224</v>
      </c>
      <c r="E24" s="117"/>
      <c r="F24" s="121" t="str">
        <f t="shared" si="0"/>
        <v/>
      </c>
      <c r="G24" s="121" t="str">
        <f t="shared" si="1"/>
        <v/>
      </c>
      <c r="H24" s="253"/>
      <c r="I24" s="264"/>
      <c r="J24" s="265"/>
      <c r="K24" s="265"/>
      <c r="L24" s="265" t="s">
        <v>95</v>
      </c>
      <c r="M24" s="265"/>
      <c r="N24" s="265"/>
      <c r="O24" s="265"/>
      <c r="P24" s="265"/>
      <c r="Q24" s="265"/>
      <c r="R24" s="265"/>
      <c r="S24" s="265"/>
      <c r="T24" s="265" t="s">
        <v>95</v>
      </c>
      <c r="U24" s="273" t="s">
        <v>95</v>
      </c>
      <c r="V24" s="265"/>
      <c r="W24" s="265" t="s">
        <v>95</v>
      </c>
      <c r="X24" s="267" t="s">
        <v>222</v>
      </c>
      <c r="Y24" s="265" t="s">
        <v>95</v>
      </c>
      <c r="Z24" s="265" t="s">
        <v>95</v>
      </c>
      <c r="AA24" s="267" t="s">
        <v>223</v>
      </c>
      <c r="AB24" s="161"/>
      <c r="AC24" s="269" t="s">
        <v>95</v>
      </c>
      <c r="AD24" s="265" t="s">
        <v>95</v>
      </c>
      <c r="AE24" s="157" t="s">
        <v>95</v>
      </c>
      <c r="AF24" s="268" t="s">
        <v>95</v>
      </c>
      <c r="AG24" s="269" t="s">
        <v>95</v>
      </c>
      <c r="AH24" s="268" t="s">
        <v>95</v>
      </c>
      <c r="AI24" s="264"/>
      <c r="AJ24" s="265"/>
      <c r="AK24" s="265"/>
      <c r="AL24" s="265"/>
      <c r="AM24" s="265"/>
      <c r="AN24" s="265"/>
      <c r="AO24" s="268"/>
      <c r="AP24" s="269" t="s">
        <v>95</v>
      </c>
      <c r="AQ24" s="265" t="s">
        <v>95</v>
      </c>
      <c r="AR24" s="266" t="s">
        <v>95</v>
      </c>
      <c r="AS24" s="268"/>
      <c r="AT24" s="271" t="s">
        <v>99</v>
      </c>
      <c r="AU24" s="272" t="s">
        <v>226</v>
      </c>
      <c r="AV24" s="269" t="s">
        <v>95</v>
      </c>
      <c r="AW24" s="157"/>
      <c r="AX24" s="161"/>
      <c r="AY24" s="269" t="s">
        <v>95</v>
      </c>
      <c r="AZ24" s="268" t="s">
        <v>95</v>
      </c>
      <c r="BA24" s="269" t="s">
        <v>95</v>
      </c>
      <c r="BB24" s="265" t="s">
        <v>95</v>
      </c>
      <c r="BC24" s="265" t="s">
        <v>95</v>
      </c>
      <c r="BD24" s="265" t="s">
        <v>95</v>
      </c>
      <c r="BE24" s="265" t="s">
        <v>95</v>
      </c>
      <c r="BF24" s="265" t="s">
        <v>95</v>
      </c>
      <c r="BG24" s="265" t="s">
        <v>95</v>
      </c>
      <c r="BH24" s="265" t="s">
        <v>95</v>
      </c>
      <c r="BI24" s="265" t="s">
        <v>95</v>
      </c>
      <c r="BJ24" s="268" t="s">
        <v>95</v>
      </c>
      <c r="BK24" s="205"/>
      <c r="BL24" s="205"/>
      <c r="BM24" s="205"/>
      <c r="BN24" s="205"/>
    </row>
    <row r="25" spans="1:66" s="263" customFormat="1" ht="27">
      <c r="A25" s="251">
        <v>7</v>
      </c>
      <c r="B25" s="42"/>
      <c r="C25" s="252" t="s">
        <v>228</v>
      </c>
      <c r="D25" s="252" t="s">
        <v>221</v>
      </c>
      <c r="E25" s="117"/>
      <c r="F25" s="121" t="str">
        <f t="shared" si="0"/>
        <v/>
      </c>
      <c r="G25" s="121" t="str">
        <f t="shared" si="1"/>
        <v/>
      </c>
      <c r="H25" s="253"/>
      <c r="I25" s="264"/>
      <c r="J25" s="265"/>
      <c r="K25" s="265"/>
      <c r="L25" s="265"/>
      <c r="M25" s="265" t="s">
        <v>95</v>
      </c>
      <c r="N25" s="265"/>
      <c r="O25" s="265"/>
      <c r="P25" s="265"/>
      <c r="Q25" s="265"/>
      <c r="R25" s="265"/>
      <c r="S25" s="265"/>
      <c r="T25" s="265"/>
      <c r="U25" s="265"/>
      <c r="V25" s="265"/>
      <c r="W25" s="265"/>
      <c r="X25" s="267" t="s">
        <v>222</v>
      </c>
      <c r="Y25" s="265" t="s">
        <v>95</v>
      </c>
      <c r="Z25" s="265" t="s">
        <v>95</v>
      </c>
      <c r="AA25" s="267" t="s">
        <v>223</v>
      </c>
      <c r="AB25" s="161"/>
      <c r="AC25" s="269" t="s">
        <v>95</v>
      </c>
      <c r="AD25" s="265"/>
      <c r="AE25" s="157" t="s">
        <v>95</v>
      </c>
      <c r="AF25" s="268"/>
      <c r="AG25" s="274"/>
      <c r="AH25" s="268" t="s">
        <v>95</v>
      </c>
      <c r="AI25" s="264"/>
      <c r="AJ25" s="265"/>
      <c r="AK25" s="265"/>
      <c r="AL25" s="265"/>
      <c r="AM25" s="265"/>
      <c r="AN25" s="265"/>
      <c r="AO25" s="268"/>
      <c r="AP25" s="269" t="s">
        <v>95</v>
      </c>
      <c r="AQ25" s="265" t="s">
        <v>95</v>
      </c>
      <c r="AR25" s="265" t="s">
        <v>99</v>
      </c>
      <c r="AS25" s="268"/>
      <c r="AT25" s="269"/>
      <c r="AU25" s="268"/>
      <c r="AV25" s="269" t="s">
        <v>95</v>
      </c>
      <c r="AW25" s="265" t="s">
        <v>95</v>
      </c>
      <c r="AX25" s="161" t="s">
        <v>95</v>
      </c>
      <c r="AY25" s="269" t="s">
        <v>95</v>
      </c>
      <c r="AZ25" s="268" t="s">
        <v>95</v>
      </c>
      <c r="BA25" s="269" t="s">
        <v>95</v>
      </c>
      <c r="BB25" s="265" t="s">
        <v>95</v>
      </c>
      <c r="BC25" s="265" t="s">
        <v>95</v>
      </c>
      <c r="BD25" s="265" t="s">
        <v>95</v>
      </c>
      <c r="BE25" s="265" t="s">
        <v>95</v>
      </c>
      <c r="BF25" s="265" t="s">
        <v>95</v>
      </c>
      <c r="BG25" s="265" t="s">
        <v>95</v>
      </c>
      <c r="BH25" s="265" t="s">
        <v>95</v>
      </c>
      <c r="BI25" s="265" t="s">
        <v>95</v>
      </c>
      <c r="BJ25" s="268" t="s">
        <v>95</v>
      </c>
      <c r="BK25" s="205"/>
      <c r="BL25" s="205"/>
      <c r="BM25" s="205"/>
      <c r="BN25" s="205"/>
    </row>
    <row r="26" spans="1:66" s="263" customFormat="1">
      <c r="A26" s="251">
        <v>8</v>
      </c>
      <c r="B26" s="42"/>
      <c r="C26" s="252" t="s">
        <v>229</v>
      </c>
      <c r="D26" s="252" t="s">
        <v>224</v>
      </c>
      <c r="E26" s="117"/>
      <c r="F26" s="121" t="str">
        <f t="shared" si="0"/>
        <v/>
      </c>
      <c r="G26" s="121" t="str">
        <f t="shared" si="1"/>
        <v/>
      </c>
      <c r="H26" s="253"/>
      <c r="I26" s="264"/>
      <c r="J26" s="265"/>
      <c r="K26" s="265"/>
      <c r="L26" s="265"/>
      <c r="M26" s="265"/>
      <c r="N26" s="265" t="s">
        <v>95</v>
      </c>
      <c r="O26" s="265"/>
      <c r="P26" s="265"/>
      <c r="Q26" s="265"/>
      <c r="R26" s="265"/>
      <c r="S26" s="265"/>
      <c r="T26" s="265"/>
      <c r="U26" s="265"/>
      <c r="V26" s="265"/>
      <c r="W26" s="265"/>
      <c r="X26" s="267" t="s">
        <v>222</v>
      </c>
      <c r="Y26" s="265" t="s">
        <v>95</v>
      </c>
      <c r="Z26" s="265" t="s">
        <v>95</v>
      </c>
      <c r="AA26" s="267" t="s">
        <v>223</v>
      </c>
      <c r="AB26" s="161"/>
      <c r="AC26" s="269" t="s">
        <v>95</v>
      </c>
      <c r="AD26" s="265"/>
      <c r="AE26" s="157" t="s">
        <v>95</v>
      </c>
      <c r="AF26" s="268"/>
      <c r="AG26" s="274"/>
      <c r="AH26" s="268" t="s">
        <v>95</v>
      </c>
      <c r="AI26" s="264"/>
      <c r="AJ26" s="265"/>
      <c r="AK26" s="265"/>
      <c r="AL26" s="265"/>
      <c r="AM26" s="265"/>
      <c r="AN26" s="265"/>
      <c r="AO26" s="268"/>
      <c r="AP26" s="269" t="s">
        <v>95</v>
      </c>
      <c r="AQ26" s="265" t="s">
        <v>95</v>
      </c>
      <c r="AR26" s="265" t="s">
        <v>99</v>
      </c>
      <c r="AS26" s="268"/>
      <c r="AT26" s="269"/>
      <c r="AU26" s="270"/>
      <c r="AV26" s="269" t="s">
        <v>95</v>
      </c>
      <c r="AW26" s="266" t="s">
        <v>95</v>
      </c>
      <c r="AX26" s="275" t="s">
        <v>95</v>
      </c>
      <c r="AY26" s="269" t="s">
        <v>95</v>
      </c>
      <c r="AZ26" s="268" t="s">
        <v>95</v>
      </c>
      <c r="BA26" s="269" t="s">
        <v>95</v>
      </c>
      <c r="BB26" s="265" t="s">
        <v>95</v>
      </c>
      <c r="BC26" s="265" t="s">
        <v>95</v>
      </c>
      <c r="BD26" s="265" t="s">
        <v>95</v>
      </c>
      <c r="BE26" s="265" t="s">
        <v>95</v>
      </c>
      <c r="BF26" s="265" t="s">
        <v>95</v>
      </c>
      <c r="BG26" s="265" t="s">
        <v>95</v>
      </c>
      <c r="BH26" s="265" t="s">
        <v>95</v>
      </c>
      <c r="BI26" s="265" t="s">
        <v>95</v>
      </c>
      <c r="BJ26" s="268" t="s">
        <v>95</v>
      </c>
      <c r="BK26" s="205"/>
      <c r="BL26" s="205"/>
      <c r="BM26" s="205"/>
      <c r="BN26" s="205"/>
    </row>
    <row r="27" spans="1:66" s="263" customFormat="1" ht="27">
      <c r="A27" s="251">
        <v>9</v>
      </c>
      <c r="B27" s="42"/>
      <c r="C27" s="252" t="s">
        <v>230</v>
      </c>
      <c r="D27" s="252" t="s">
        <v>221</v>
      </c>
      <c r="E27" s="117"/>
      <c r="F27" s="121" t="str">
        <f t="shared" si="0"/>
        <v/>
      </c>
      <c r="G27" s="121" t="str">
        <f t="shared" si="1"/>
        <v/>
      </c>
      <c r="H27" s="253"/>
      <c r="I27" s="264"/>
      <c r="J27" s="265"/>
      <c r="K27" s="265"/>
      <c r="L27" s="265"/>
      <c r="M27" s="265"/>
      <c r="N27" s="265"/>
      <c r="O27" s="265" t="s">
        <v>95</v>
      </c>
      <c r="P27" s="265"/>
      <c r="Q27" s="265"/>
      <c r="R27" s="265"/>
      <c r="S27" s="265"/>
      <c r="T27" s="265" t="s">
        <v>95</v>
      </c>
      <c r="U27" s="265"/>
      <c r="V27" s="265"/>
      <c r="W27" s="265"/>
      <c r="X27" s="267" t="s">
        <v>222</v>
      </c>
      <c r="Y27" s="265" t="s">
        <v>95</v>
      </c>
      <c r="Z27" s="265" t="s">
        <v>95</v>
      </c>
      <c r="AA27" s="267" t="s">
        <v>223</v>
      </c>
      <c r="AB27" s="161"/>
      <c r="AC27" s="269" t="s">
        <v>95</v>
      </c>
      <c r="AD27" s="265"/>
      <c r="AE27" s="157" t="s">
        <v>95</v>
      </c>
      <c r="AF27" s="268"/>
      <c r="AG27" s="274"/>
      <c r="AH27" s="268" t="s">
        <v>95</v>
      </c>
      <c r="AI27" s="264"/>
      <c r="AJ27" s="265"/>
      <c r="AK27" s="265"/>
      <c r="AL27" s="265"/>
      <c r="AM27" s="265"/>
      <c r="AN27" s="265"/>
      <c r="AO27" s="268"/>
      <c r="AP27" s="269" t="s">
        <v>95</v>
      </c>
      <c r="AQ27" s="265" t="s">
        <v>95</v>
      </c>
      <c r="AR27" s="265"/>
      <c r="AS27" s="268"/>
      <c r="AT27" s="269" t="s">
        <v>95</v>
      </c>
      <c r="AU27" s="272" t="s">
        <v>226</v>
      </c>
      <c r="AV27" s="269" t="s">
        <v>95</v>
      </c>
      <c r="AW27" s="276"/>
      <c r="AX27" s="275" t="s">
        <v>95</v>
      </c>
      <c r="AY27" s="269" t="s">
        <v>95</v>
      </c>
      <c r="AZ27" s="268" t="s">
        <v>95</v>
      </c>
      <c r="BA27" s="269" t="s">
        <v>95</v>
      </c>
      <c r="BB27" s="265" t="s">
        <v>95</v>
      </c>
      <c r="BC27" s="265" t="s">
        <v>95</v>
      </c>
      <c r="BD27" s="265" t="s">
        <v>95</v>
      </c>
      <c r="BE27" s="265" t="s">
        <v>95</v>
      </c>
      <c r="BF27" s="265" t="s">
        <v>95</v>
      </c>
      <c r="BG27" s="265" t="s">
        <v>95</v>
      </c>
      <c r="BH27" s="265" t="s">
        <v>95</v>
      </c>
      <c r="BI27" s="265" t="s">
        <v>95</v>
      </c>
      <c r="BJ27" s="268" t="s">
        <v>95</v>
      </c>
      <c r="BK27" s="205"/>
      <c r="BL27" s="205"/>
      <c r="BM27" s="205"/>
      <c r="BN27" s="205"/>
    </row>
    <row r="28" spans="1:66" s="263" customFormat="1" ht="27">
      <c r="A28" s="251">
        <v>10</v>
      </c>
      <c r="B28" s="42"/>
      <c r="C28" s="252" t="s">
        <v>230</v>
      </c>
      <c r="D28" s="252" t="s">
        <v>224</v>
      </c>
      <c r="E28" s="117"/>
      <c r="F28" s="121" t="str">
        <f t="shared" si="0"/>
        <v/>
      </c>
      <c r="G28" s="121" t="str">
        <f t="shared" si="1"/>
        <v/>
      </c>
      <c r="H28" s="253"/>
      <c r="I28" s="264"/>
      <c r="J28" s="265"/>
      <c r="K28" s="265"/>
      <c r="L28" s="265"/>
      <c r="M28" s="265"/>
      <c r="N28" s="265"/>
      <c r="O28" s="265" t="s">
        <v>95</v>
      </c>
      <c r="P28" s="265"/>
      <c r="Q28" s="265"/>
      <c r="R28" s="265"/>
      <c r="S28" s="265"/>
      <c r="T28" s="265" t="s">
        <v>95</v>
      </c>
      <c r="U28" s="265"/>
      <c r="V28" s="265"/>
      <c r="W28" s="265"/>
      <c r="X28" s="267" t="s">
        <v>222</v>
      </c>
      <c r="Y28" s="265" t="s">
        <v>95</v>
      </c>
      <c r="Z28" s="265" t="s">
        <v>95</v>
      </c>
      <c r="AA28" s="267" t="s">
        <v>223</v>
      </c>
      <c r="AB28" s="161"/>
      <c r="AC28" s="269" t="s">
        <v>95</v>
      </c>
      <c r="AD28" s="265"/>
      <c r="AE28" s="157" t="s">
        <v>95</v>
      </c>
      <c r="AF28" s="268"/>
      <c r="AG28" s="274"/>
      <c r="AH28" s="268" t="s">
        <v>95</v>
      </c>
      <c r="AI28" s="264"/>
      <c r="AJ28" s="265"/>
      <c r="AK28" s="265"/>
      <c r="AL28" s="265"/>
      <c r="AM28" s="265"/>
      <c r="AN28" s="265"/>
      <c r="AO28" s="268"/>
      <c r="AP28" s="269" t="s">
        <v>95</v>
      </c>
      <c r="AQ28" s="265" t="s">
        <v>95</v>
      </c>
      <c r="AR28" s="265"/>
      <c r="AS28" s="268"/>
      <c r="AT28" s="269" t="s">
        <v>95</v>
      </c>
      <c r="AU28" s="272" t="s">
        <v>226</v>
      </c>
      <c r="AV28" s="269" t="s">
        <v>95</v>
      </c>
      <c r="AW28" s="276"/>
      <c r="AX28" s="275" t="s">
        <v>95</v>
      </c>
      <c r="AY28" s="269" t="s">
        <v>95</v>
      </c>
      <c r="AZ28" s="268" t="s">
        <v>95</v>
      </c>
      <c r="BA28" s="269" t="s">
        <v>95</v>
      </c>
      <c r="BB28" s="265" t="s">
        <v>95</v>
      </c>
      <c r="BC28" s="265" t="s">
        <v>95</v>
      </c>
      <c r="BD28" s="265" t="s">
        <v>95</v>
      </c>
      <c r="BE28" s="265" t="s">
        <v>95</v>
      </c>
      <c r="BF28" s="265" t="s">
        <v>95</v>
      </c>
      <c r="BG28" s="265" t="s">
        <v>95</v>
      </c>
      <c r="BH28" s="265" t="s">
        <v>95</v>
      </c>
      <c r="BI28" s="265" t="s">
        <v>95</v>
      </c>
      <c r="BJ28" s="268" t="s">
        <v>95</v>
      </c>
      <c r="BK28" s="205"/>
      <c r="BL28" s="205"/>
      <c r="BM28" s="205"/>
      <c r="BN28" s="205"/>
    </row>
    <row r="29" spans="1:66" s="263" customFormat="1">
      <c r="A29" s="251">
        <v>11</v>
      </c>
      <c r="B29" s="42"/>
      <c r="C29" s="252" t="s">
        <v>231</v>
      </c>
      <c r="D29" s="252" t="s">
        <v>221</v>
      </c>
      <c r="E29" s="117"/>
      <c r="F29" s="121" t="str">
        <f t="shared" si="0"/>
        <v/>
      </c>
      <c r="G29" s="121" t="str">
        <f t="shared" si="1"/>
        <v/>
      </c>
      <c r="H29" s="253"/>
      <c r="I29" s="264"/>
      <c r="J29" s="265"/>
      <c r="K29" s="265"/>
      <c r="L29" s="265"/>
      <c r="M29" s="265"/>
      <c r="N29" s="265"/>
      <c r="O29" s="266"/>
      <c r="P29" s="267" t="s">
        <v>232</v>
      </c>
      <c r="Q29" s="267" t="s">
        <v>232</v>
      </c>
      <c r="R29" s="267" t="s">
        <v>232</v>
      </c>
      <c r="S29" s="266"/>
      <c r="T29" s="277" t="s">
        <v>233</v>
      </c>
      <c r="U29" s="265"/>
      <c r="V29" s="265"/>
      <c r="W29" s="265"/>
      <c r="X29" s="267" t="s">
        <v>222</v>
      </c>
      <c r="Y29" s="265" t="s">
        <v>95</v>
      </c>
      <c r="Z29" s="265" t="s">
        <v>95</v>
      </c>
      <c r="AA29" s="267" t="s">
        <v>223</v>
      </c>
      <c r="AB29" s="278" t="s">
        <v>234</v>
      </c>
      <c r="AC29" s="269" t="s">
        <v>95</v>
      </c>
      <c r="AD29" s="265"/>
      <c r="AE29" s="157" t="s">
        <v>95</v>
      </c>
      <c r="AF29" s="268"/>
      <c r="AG29" s="274"/>
      <c r="AH29" s="268" t="s">
        <v>95</v>
      </c>
      <c r="AI29" s="264"/>
      <c r="AJ29" s="265"/>
      <c r="AK29" s="265"/>
      <c r="AL29" s="265"/>
      <c r="AM29" s="265"/>
      <c r="AN29" s="265"/>
      <c r="AO29" s="268"/>
      <c r="AP29" s="269" t="s">
        <v>95</v>
      </c>
      <c r="AQ29" s="265" t="s">
        <v>95</v>
      </c>
      <c r="AR29" s="265"/>
      <c r="AS29" s="268"/>
      <c r="AT29" s="269" t="s">
        <v>95</v>
      </c>
      <c r="AU29" s="272" t="s">
        <v>226</v>
      </c>
      <c r="AV29" s="269" t="s">
        <v>95</v>
      </c>
      <c r="AW29" s="276"/>
      <c r="AX29" s="279" t="s">
        <v>235</v>
      </c>
      <c r="AY29" s="269" t="s">
        <v>95</v>
      </c>
      <c r="AZ29" s="268" t="s">
        <v>95</v>
      </c>
      <c r="BA29" s="269" t="s">
        <v>95</v>
      </c>
      <c r="BB29" s="265" t="s">
        <v>95</v>
      </c>
      <c r="BC29" s="265" t="s">
        <v>95</v>
      </c>
      <c r="BD29" s="265" t="s">
        <v>95</v>
      </c>
      <c r="BE29" s="265" t="s">
        <v>95</v>
      </c>
      <c r="BF29" s="265" t="s">
        <v>95</v>
      </c>
      <c r="BG29" s="265" t="s">
        <v>95</v>
      </c>
      <c r="BH29" s="265" t="s">
        <v>95</v>
      </c>
      <c r="BI29" s="265" t="s">
        <v>95</v>
      </c>
      <c r="BJ29" s="268" t="s">
        <v>95</v>
      </c>
      <c r="BK29" s="205"/>
      <c r="BL29" s="205"/>
      <c r="BM29" s="205"/>
      <c r="BN29" s="205"/>
    </row>
    <row r="30" spans="1:66" s="263" customFormat="1">
      <c r="A30" s="251">
        <v>12</v>
      </c>
      <c r="B30" s="42"/>
      <c r="C30" s="252" t="s">
        <v>231</v>
      </c>
      <c r="D30" s="252" t="s">
        <v>224</v>
      </c>
      <c r="E30" s="117"/>
      <c r="F30" s="121" t="str">
        <f t="shared" si="0"/>
        <v/>
      </c>
      <c r="G30" s="121" t="str">
        <f t="shared" si="1"/>
        <v/>
      </c>
      <c r="H30" s="253"/>
      <c r="I30" s="264"/>
      <c r="J30" s="265"/>
      <c r="K30" s="265"/>
      <c r="L30" s="265"/>
      <c r="M30" s="265"/>
      <c r="N30" s="265"/>
      <c r="O30" s="266"/>
      <c r="P30" s="267" t="s">
        <v>232</v>
      </c>
      <c r="Q30" s="267" t="s">
        <v>232</v>
      </c>
      <c r="R30" s="267" t="s">
        <v>232</v>
      </c>
      <c r="S30" s="266"/>
      <c r="T30" s="277" t="s">
        <v>233</v>
      </c>
      <c r="U30" s="265"/>
      <c r="V30" s="265"/>
      <c r="W30" s="265"/>
      <c r="X30" s="267" t="s">
        <v>222</v>
      </c>
      <c r="Y30" s="265" t="s">
        <v>95</v>
      </c>
      <c r="Z30" s="265" t="s">
        <v>95</v>
      </c>
      <c r="AA30" s="267" t="s">
        <v>223</v>
      </c>
      <c r="AB30" s="278" t="s">
        <v>234</v>
      </c>
      <c r="AC30" s="269" t="s">
        <v>95</v>
      </c>
      <c r="AD30" s="265"/>
      <c r="AE30" s="157" t="s">
        <v>95</v>
      </c>
      <c r="AF30" s="268"/>
      <c r="AG30" s="274"/>
      <c r="AH30" s="268" t="s">
        <v>95</v>
      </c>
      <c r="AI30" s="264"/>
      <c r="AJ30" s="265"/>
      <c r="AK30" s="265"/>
      <c r="AL30" s="265"/>
      <c r="AM30" s="265"/>
      <c r="AN30" s="265"/>
      <c r="AO30" s="268"/>
      <c r="AP30" s="269" t="s">
        <v>95</v>
      </c>
      <c r="AQ30" s="265" t="s">
        <v>95</v>
      </c>
      <c r="AR30" s="265"/>
      <c r="AS30" s="268"/>
      <c r="AT30" s="269" t="s">
        <v>95</v>
      </c>
      <c r="AU30" s="272" t="s">
        <v>226</v>
      </c>
      <c r="AV30" s="269" t="s">
        <v>95</v>
      </c>
      <c r="AW30" s="276"/>
      <c r="AX30" s="279" t="s">
        <v>235</v>
      </c>
      <c r="AY30" s="269" t="s">
        <v>95</v>
      </c>
      <c r="AZ30" s="268" t="s">
        <v>95</v>
      </c>
      <c r="BA30" s="269" t="s">
        <v>95</v>
      </c>
      <c r="BB30" s="265" t="s">
        <v>95</v>
      </c>
      <c r="BC30" s="265" t="s">
        <v>95</v>
      </c>
      <c r="BD30" s="265" t="s">
        <v>95</v>
      </c>
      <c r="BE30" s="265" t="s">
        <v>95</v>
      </c>
      <c r="BF30" s="265" t="s">
        <v>95</v>
      </c>
      <c r="BG30" s="265" t="s">
        <v>95</v>
      </c>
      <c r="BH30" s="265" t="s">
        <v>95</v>
      </c>
      <c r="BI30" s="265" t="s">
        <v>95</v>
      </c>
      <c r="BJ30" s="268" t="s">
        <v>95</v>
      </c>
      <c r="BK30" s="205"/>
      <c r="BL30" s="205"/>
      <c r="BM30" s="205"/>
      <c r="BN30" s="205"/>
    </row>
    <row r="31" spans="1:66" s="263" customFormat="1">
      <c r="A31" s="251">
        <v>13</v>
      </c>
      <c r="B31" s="42"/>
      <c r="C31" s="252" t="s">
        <v>231</v>
      </c>
      <c r="D31" s="252" t="s">
        <v>221</v>
      </c>
      <c r="E31" s="117"/>
      <c r="F31" s="121" t="str">
        <f t="shared" si="0"/>
        <v/>
      </c>
      <c r="G31" s="121" t="str">
        <f t="shared" si="1"/>
        <v/>
      </c>
      <c r="H31" s="253"/>
      <c r="I31" s="264"/>
      <c r="J31" s="265"/>
      <c r="K31" s="265"/>
      <c r="L31" s="265"/>
      <c r="M31" s="265"/>
      <c r="N31" s="265"/>
      <c r="O31" s="266"/>
      <c r="P31" s="267" t="s">
        <v>232</v>
      </c>
      <c r="Q31" s="267" t="s">
        <v>232</v>
      </c>
      <c r="R31" s="267" t="s">
        <v>232</v>
      </c>
      <c r="S31" s="266"/>
      <c r="T31" s="277" t="s">
        <v>233</v>
      </c>
      <c r="U31" s="265"/>
      <c r="V31" s="265"/>
      <c r="W31" s="265"/>
      <c r="X31" s="267" t="s">
        <v>222</v>
      </c>
      <c r="Y31" s="265" t="s">
        <v>95</v>
      </c>
      <c r="Z31" s="265" t="s">
        <v>95</v>
      </c>
      <c r="AA31" s="267" t="s">
        <v>223</v>
      </c>
      <c r="AB31" s="278" t="s">
        <v>234</v>
      </c>
      <c r="AC31" s="269" t="s">
        <v>95</v>
      </c>
      <c r="AD31" s="265"/>
      <c r="AE31" s="157" t="s">
        <v>95</v>
      </c>
      <c r="AF31" s="268"/>
      <c r="AG31" s="274"/>
      <c r="AH31" s="268" t="s">
        <v>95</v>
      </c>
      <c r="AI31" s="264"/>
      <c r="AJ31" s="265"/>
      <c r="AK31" s="265"/>
      <c r="AL31" s="265"/>
      <c r="AM31" s="265"/>
      <c r="AN31" s="265"/>
      <c r="AO31" s="268"/>
      <c r="AP31" s="269" t="s">
        <v>95</v>
      </c>
      <c r="AQ31" s="265" t="s">
        <v>95</v>
      </c>
      <c r="AR31" s="265"/>
      <c r="AS31" s="268"/>
      <c r="AT31" s="269" t="s">
        <v>95</v>
      </c>
      <c r="AU31" s="272" t="s">
        <v>226</v>
      </c>
      <c r="AV31" s="269" t="s">
        <v>95</v>
      </c>
      <c r="AW31" s="276"/>
      <c r="AX31" s="279" t="s">
        <v>235</v>
      </c>
      <c r="AY31" s="269" t="s">
        <v>95</v>
      </c>
      <c r="AZ31" s="268" t="s">
        <v>95</v>
      </c>
      <c r="BA31" s="269" t="s">
        <v>95</v>
      </c>
      <c r="BB31" s="265" t="s">
        <v>95</v>
      </c>
      <c r="BC31" s="265" t="s">
        <v>95</v>
      </c>
      <c r="BD31" s="265" t="s">
        <v>95</v>
      </c>
      <c r="BE31" s="265" t="s">
        <v>95</v>
      </c>
      <c r="BF31" s="265" t="s">
        <v>95</v>
      </c>
      <c r="BG31" s="265" t="s">
        <v>95</v>
      </c>
      <c r="BH31" s="265" t="s">
        <v>95</v>
      </c>
      <c r="BI31" s="265" t="s">
        <v>95</v>
      </c>
      <c r="BJ31" s="268" t="s">
        <v>95</v>
      </c>
      <c r="BK31" s="205"/>
      <c r="BL31" s="205"/>
      <c r="BM31" s="205"/>
      <c r="BN31" s="205"/>
    </row>
    <row r="32" spans="1:66" s="263" customFormat="1">
      <c r="A32" s="251">
        <v>14</v>
      </c>
      <c r="B32" s="42"/>
      <c r="C32" s="252" t="s">
        <v>231</v>
      </c>
      <c r="D32" s="252" t="s">
        <v>224</v>
      </c>
      <c r="E32" s="117"/>
      <c r="F32" s="121" t="str">
        <f t="shared" si="0"/>
        <v/>
      </c>
      <c r="G32" s="121" t="str">
        <f t="shared" si="1"/>
        <v/>
      </c>
      <c r="H32" s="253"/>
      <c r="I32" s="264"/>
      <c r="J32" s="265"/>
      <c r="K32" s="265"/>
      <c r="L32" s="265"/>
      <c r="M32" s="265"/>
      <c r="N32" s="265"/>
      <c r="O32" s="266"/>
      <c r="P32" s="267" t="s">
        <v>232</v>
      </c>
      <c r="Q32" s="267" t="s">
        <v>232</v>
      </c>
      <c r="R32" s="267" t="s">
        <v>232</v>
      </c>
      <c r="S32" s="266"/>
      <c r="T32" s="277" t="s">
        <v>233</v>
      </c>
      <c r="U32" s="265"/>
      <c r="V32" s="265"/>
      <c r="W32" s="265"/>
      <c r="X32" s="267" t="s">
        <v>222</v>
      </c>
      <c r="Y32" s="265" t="s">
        <v>95</v>
      </c>
      <c r="Z32" s="265" t="s">
        <v>95</v>
      </c>
      <c r="AA32" s="267" t="s">
        <v>223</v>
      </c>
      <c r="AB32" s="278" t="s">
        <v>234</v>
      </c>
      <c r="AC32" s="269" t="s">
        <v>95</v>
      </c>
      <c r="AD32" s="265"/>
      <c r="AE32" s="157" t="s">
        <v>95</v>
      </c>
      <c r="AF32" s="268"/>
      <c r="AG32" s="274"/>
      <c r="AH32" s="268" t="s">
        <v>95</v>
      </c>
      <c r="AI32" s="264"/>
      <c r="AJ32" s="265"/>
      <c r="AK32" s="265"/>
      <c r="AL32" s="265"/>
      <c r="AM32" s="265"/>
      <c r="AN32" s="265"/>
      <c r="AO32" s="268"/>
      <c r="AP32" s="269" t="s">
        <v>95</v>
      </c>
      <c r="AQ32" s="265" t="s">
        <v>95</v>
      </c>
      <c r="AR32" s="265"/>
      <c r="AS32" s="268"/>
      <c r="AT32" s="269" t="s">
        <v>95</v>
      </c>
      <c r="AU32" s="272" t="s">
        <v>226</v>
      </c>
      <c r="AV32" s="269" t="s">
        <v>95</v>
      </c>
      <c r="AW32" s="276"/>
      <c r="AX32" s="279" t="s">
        <v>235</v>
      </c>
      <c r="AY32" s="269" t="s">
        <v>95</v>
      </c>
      <c r="AZ32" s="268" t="s">
        <v>95</v>
      </c>
      <c r="BA32" s="269" t="s">
        <v>95</v>
      </c>
      <c r="BB32" s="265" t="s">
        <v>95</v>
      </c>
      <c r="BC32" s="265" t="s">
        <v>95</v>
      </c>
      <c r="BD32" s="265" t="s">
        <v>95</v>
      </c>
      <c r="BE32" s="265" t="s">
        <v>95</v>
      </c>
      <c r="BF32" s="265" t="s">
        <v>95</v>
      </c>
      <c r="BG32" s="265" t="s">
        <v>95</v>
      </c>
      <c r="BH32" s="265" t="s">
        <v>95</v>
      </c>
      <c r="BI32" s="265" t="s">
        <v>95</v>
      </c>
      <c r="BJ32" s="268" t="s">
        <v>95</v>
      </c>
      <c r="BK32" s="205"/>
      <c r="BL32" s="205"/>
      <c r="BM32" s="205"/>
      <c r="BN32" s="205"/>
    </row>
    <row r="33" spans="1:66" s="263" customFormat="1">
      <c r="A33" s="251">
        <v>15</v>
      </c>
      <c r="B33" s="42"/>
      <c r="C33" s="252" t="s">
        <v>231</v>
      </c>
      <c r="D33" s="252" t="s">
        <v>221</v>
      </c>
      <c r="E33" s="117"/>
      <c r="F33" s="121" t="str">
        <f t="shared" si="0"/>
        <v/>
      </c>
      <c r="G33" s="121" t="str">
        <f t="shared" si="1"/>
        <v/>
      </c>
      <c r="H33" s="253"/>
      <c r="I33" s="264"/>
      <c r="J33" s="265"/>
      <c r="K33" s="265"/>
      <c r="L33" s="265"/>
      <c r="M33" s="265"/>
      <c r="N33" s="265"/>
      <c r="O33" s="266"/>
      <c r="P33" s="267" t="s">
        <v>232</v>
      </c>
      <c r="Q33" s="267" t="s">
        <v>232</v>
      </c>
      <c r="R33" s="267" t="s">
        <v>232</v>
      </c>
      <c r="S33" s="266"/>
      <c r="T33" s="277" t="s">
        <v>233</v>
      </c>
      <c r="U33" s="265"/>
      <c r="V33" s="265"/>
      <c r="W33" s="265"/>
      <c r="X33" s="267" t="s">
        <v>222</v>
      </c>
      <c r="Y33" s="265" t="s">
        <v>95</v>
      </c>
      <c r="Z33" s="265" t="s">
        <v>95</v>
      </c>
      <c r="AA33" s="267" t="s">
        <v>223</v>
      </c>
      <c r="AB33" s="278" t="s">
        <v>234</v>
      </c>
      <c r="AC33" s="269" t="s">
        <v>95</v>
      </c>
      <c r="AD33" s="265"/>
      <c r="AE33" s="157" t="s">
        <v>95</v>
      </c>
      <c r="AF33" s="268"/>
      <c r="AG33" s="274"/>
      <c r="AH33" s="268" t="s">
        <v>95</v>
      </c>
      <c r="AI33" s="264"/>
      <c r="AJ33" s="265"/>
      <c r="AK33" s="265"/>
      <c r="AL33" s="265"/>
      <c r="AM33" s="265"/>
      <c r="AN33" s="265"/>
      <c r="AO33" s="268"/>
      <c r="AP33" s="269" t="s">
        <v>95</v>
      </c>
      <c r="AQ33" s="265" t="s">
        <v>95</v>
      </c>
      <c r="AR33" s="265"/>
      <c r="AS33" s="268"/>
      <c r="AT33" s="269" t="s">
        <v>95</v>
      </c>
      <c r="AU33" s="272" t="s">
        <v>226</v>
      </c>
      <c r="AV33" s="269" t="s">
        <v>95</v>
      </c>
      <c r="AW33" s="276"/>
      <c r="AX33" s="279" t="s">
        <v>235</v>
      </c>
      <c r="AY33" s="269" t="s">
        <v>95</v>
      </c>
      <c r="AZ33" s="268" t="s">
        <v>95</v>
      </c>
      <c r="BA33" s="269" t="s">
        <v>95</v>
      </c>
      <c r="BB33" s="265" t="s">
        <v>95</v>
      </c>
      <c r="BC33" s="265" t="s">
        <v>95</v>
      </c>
      <c r="BD33" s="265" t="s">
        <v>95</v>
      </c>
      <c r="BE33" s="265" t="s">
        <v>95</v>
      </c>
      <c r="BF33" s="265" t="s">
        <v>95</v>
      </c>
      <c r="BG33" s="265" t="s">
        <v>95</v>
      </c>
      <c r="BH33" s="265" t="s">
        <v>95</v>
      </c>
      <c r="BI33" s="265" t="s">
        <v>95</v>
      </c>
      <c r="BJ33" s="268" t="s">
        <v>95</v>
      </c>
      <c r="BK33" s="205"/>
      <c r="BL33" s="205"/>
      <c r="BM33" s="205"/>
      <c r="BN33" s="205"/>
    </row>
    <row r="34" spans="1:66" s="263" customFormat="1">
      <c r="A34" s="251">
        <v>16</v>
      </c>
      <c r="B34" s="42"/>
      <c r="C34" s="252" t="s">
        <v>231</v>
      </c>
      <c r="D34" s="252" t="s">
        <v>224</v>
      </c>
      <c r="E34" s="117"/>
      <c r="F34" s="121" t="str">
        <f t="shared" si="0"/>
        <v/>
      </c>
      <c r="G34" s="121" t="str">
        <f t="shared" si="1"/>
        <v/>
      </c>
      <c r="H34" s="253"/>
      <c r="I34" s="264"/>
      <c r="J34" s="265"/>
      <c r="K34" s="265"/>
      <c r="L34" s="265"/>
      <c r="M34" s="265"/>
      <c r="N34" s="265"/>
      <c r="O34" s="266"/>
      <c r="P34" s="267" t="s">
        <v>232</v>
      </c>
      <c r="Q34" s="267" t="s">
        <v>232</v>
      </c>
      <c r="R34" s="267" t="s">
        <v>232</v>
      </c>
      <c r="S34" s="266"/>
      <c r="T34" s="277" t="s">
        <v>233</v>
      </c>
      <c r="U34" s="265"/>
      <c r="V34" s="265"/>
      <c r="W34" s="265"/>
      <c r="X34" s="267" t="s">
        <v>222</v>
      </c>
      <c r="Y34" s="265" t="s">
        <v>95</v>
      </c>
      <c r="Z34" s="265" t="s">
        <v>95</v>
      </c>
      <c r="AA34" s="267" t="s">
        <v>223</v>
      </c>
      <c r="AB34" s="278" t="s">
        <v>234</v>
      </c>
      <c r="AC34" s="269" t="s">
        <v>95</v>
      </c>
      <c r="AD34" s="265"/>
      <c r="AE34" s="157" t="s">
        <v>95</v>
      </c>
      <c r="AF34" s="268"/>
      <c r="AG34" s="274"/>
      <c r="AH34" s="268" t="s">
        <v>95</v>
      </c>
      <c r="AI34" s="264"/>
      <c r="AJ34" s="265"/>
      <c r="AK34" s="265"/>
      <c r="AL34" s="265"/>
      <c r="AM34" s="265"/>
      <c r="AN34" s="265"/>
      <c r="AO34" s="268"/>
      <c r="AP34" s="269" t="s">
        <v>95</v>
      </c>
      <c r="AQ34" s="265" t="s">
        <v>95</v>
      </c>
      <c r="AR34" s="265"/>
      <c r="AS34" s="268"/>
      <c r="AT34" s="269" t="s">
        <v>95</v>
      </c>
      <c r="AU34" s="272" t="s">
        <v>226</v>
      </c>
      <c r="AV34" s="269" t="s">
        <v>95</v>
      </c>
      <c r="AW34" s="276"/>
      <c r="AX34" s="279" t="s">
        <v>235</v>
      </c>
      <c r="AY34" s="269" t="s">
        <v>95</v>
      </c>
      <c r="AZ34" s="268" t="s">
        <v>95</v>
      </c>
      <c r="BA34" s="269" t="s">
        <v>95</v>
      </c>
      <c r="BB34" s="265" t="s">
        <v>95</v>
      </c>
      <c r="BC34" s="265" t="s">
        <v>95</v>
      </c>
      <c r="BD34" s="265" t="s">
        <v>95</v>
      </c>
      <c r="BE34" s="265" t="s">
        <v>95</v>
      </c>
      <c r="BF34" s="265" t="s">
        <v>95</v>
      </c>
      <c r="BG34" s="265" t="s">
        <v>95</v>
      </c>
      <c r="BH34" s="265" t="s">
        <v>95</v>
      </c>
      <c r="BI34" s="265" t="s">
        <v>95</v>
      </c>
      <c r="BJ34" s="268" t="s">
        <v>95</v>
      </c>
      <c r="BK34" s="205"/>
      <c r="BL34" s="205"/>
      <c r="BM34" s="205"/>
      <c r="BN34" s="205"/>
    </row>
    <row r="35" spans="1:66" s="263" customFormat="1" ht="27">
      <c r="A35" s="251">
        <v>15</v>
      </c>
      <c r="B35" s="42"/>
      <c r="C35" s="252" t="s">
        <v>230</v>
      </c>
      <c r="D35" s="252" t="s">
        <v>221</v>
      </c>
      <c r="E35" s="117"/>
      <c r="F35" s="121" t="str">
        <f t="shared" si="0"/>
        <v/>
      </c>
      <c r="G35" s="121" t="str">
        <f t="shared" si="1"/>
        <v/>
      </c>
      <c r="H35" s="253"/>
      <c r="I35" s="264"/>
      <c r="J35" s="265"/>
      <c r="K35" s="265"/>
      <c r="L35" s="265"/>
      <c r="M35" s="265"/>
      <c r="N35" s="265"/>
      <c r="O35" s="265" t="s">
        <v>95</v>
      </c>
      <c r="P35" s="265"/>
      <c r="Q35" s="265"/>
      <c r="R35" s="265"/>
      <c r="S35" s="265"/>
      <c r="T35" s="265" t="s">
        <v>95</v>
      </c>
      <c r="U35" s="265"/>
      <c r="V35" s="265"/>
      <c r="W35" s="265"/>
      <c r="X35" s="267" t="s">
        <v>222</v>
      </c>
      <c r="Y35" s="265" t="s">
        <v>95</v>
      </c>
      <c r="Z35" s="265" t="s">
        <v>95</v>
      </c>
      <c r="AA35" s="267" t="s">
        <v>223</v>
      </c>
      <c r="AB35" s="161"/>
      <c r="AC35" s="269" t="s">
        <v>95</v>
      </c>
      <c r="AD35" s="265"/>
      <c r="AE35" s="157" t="s">
        <v>95</v>
      </c>
      <c r="AF35" s="268"/>
      <c r="AG35" s="274"/>
      <c r="AH35" s="268" t="s">
        <v>95</v>
      </c>
      <c r="AI35" s="264"/>
      <c r="AJ35" s="265"/>
      <c r="AK35" s="265"/>
      <c r="AL35" s="265"/>
      <c r="AM35" s="265"/>
      <c r="AN35" s="265"/>
      <c r="AO35" s="268"/>
      <c r="AP35" s="269" t="s">
        <v>95</v>
      </c>
      <c r="AQ35" s="265" t="s">
        <v>95</v>
      </c>
      <c r="AR35" s="265"/>
      <c r="AS35" s="268"/>
      <c r="AT35" s="269" t="s">
        <v>95</v>
      </c>
      <c r="AU35" s="272" t="s">
        <v>226</v>
      </c>
      <c r="AV35" s="269" t="s">
        <v>95</v>
      </c>
      <c r="AW35" s="276"/>
      <c r="AX35" s="275" t="s">
        <v>95</v>
      </c>
      <c r="AY35" s="269" t="s">
        <v>95</v>
      </c>
      <c r="AZ35" s="268" t="s">
        <v>95</v>
      </c>
      <c r="BA35" s="269" t="s">
        <v>95</v>
      </c>
      <c r="BB35" s="265" t="s">
        <v>95</v>
      </c>
      <c r="BC35" s="265" t="s">
        <v>95</v>
      </c>
      <c r="BD35" s="265" t="s">
        <v>95</v>
      </c>
      <c r="BE35" s="265" t="s">
        <v>95</v>
      </c>
      <c r="BF35" s="265" t="s">
        <v>95</v>
      </c>
      <c r="BG35" s="265" t="s">
        <v>95</v>
      </c>
      <c r="BH35" s="265" t="s">
        <v>95</v>
      </c>
      <c r="BI35" s="265" t="s">
        <v>95</v>
      </c>
      <c r="BJ35" s="268" t="s">
        <v>95</v>
      </c>
      <c r="BK35" s="205"/>
      <c r="BL35" s="205"/>
      <c r="BM35" s="205"/>
      <c r="BN35" s="205"/>
    </row>
    <row r="36" spans="1:66" s="263" customFormat="1" ht="27">
      <c r="A36" s="251">
        <v>16</v>
      </c>
      <c r="B36" s="42"/>
      <c r="C36" s="252" t="s">
        <v>230</v>
      </c>
      <c r="D36" s="252" t="s">
        <v>224</v>
      </c>
      <c r="E36" s="117"/>
      <c r="F36" s="121" t="str">
        <f t="shared" si="0"/>
        <v/>
      </c>
      <c r="G36" s="121" t="str">
        <f t="shared" si="1"/>
        <v/>
      </c>
      <c r="H36" s="253"/>
      <c r="I36" s="264"/>
      <c r="J36" s="265"/>
      <c r="K36" s="265"/>
      <c r="L36" s="265"/>
      <c r="M36" s="265"/>
      <c r="N36" s="265"/>
      <c r="O36" s="265" t="s">
        <v>95</v>
      </c>
      <c r="P36" s="265"/>
      <c r="Q36" s="265"/>
      <c r="R36" s="265"/>
      <c r="S36" s="265"/>
      <c r="T36" s="265" t="s">
        <v>95</v>
      </c>
      <c r="U36" s="265"/>
      <c r="V36" s="265"/>
      <c r="W36" s="265"/>
      <c r="X36" s="267" t="s">
        <v>222</v>
      </c>
      <c r="Y36" s="265" t="s">
        <v>95</v>
      </c>
      <c r="Z36" s="265" t="s">
        <v>95</v>
      </c>
      <c r="AA36" s="267" t="s">
        <v>223</v>
      </c>
      <c r="AB36" s="161"/>
      <c r="AC36" s="269" t="s">
        <v>95</v>
      </c>
      <c r="AD36" s="265"/>
      <c r="AE36" s="157" t="s">
        <v>95</v>
      </c>
      <c r="AF36" s="268"/>
      <c r="AG36" s="274"/>
      <c r="AH36" s="268" t="s">
        <v>95</v>
      </c>
      <c r="AI36" s="264"/>
      <c r="AJ36" s="265"/>
      <c r="AK36" s="265"/>
      <c r="AL36" s="265"/>
      <c r="AM36" s="265"/>
      <c r="AN36" s="265"/>
      <c r="AO36" s="268"/>
      <c r="AP36" s="269" t="s">
        <v>95</v>
      </c>
      <c r="AQ36" s="265" t="s">
        <v>95</v>
      </c>
      <c r="AR36" s="265"/>
      <c r="AS36" s="268"/>
      <c r="AT36" s="269" t="s">
        <v>95</v>
      </c>
      <c r="AU36" s="272" t="s">
        <v>226</v>
      </c>
      <c r="AV36" s="269" t="s">
        <v>95</v>
      </c>
      <c r="AW36" s="276"/>
      <c r="AX36" s="275" t="s">
        <v>95</v>
      </c>
      <c r="AY36" s="269" t="s">
        <v>95</v>
      </c>
      <c r="AZ36" s="268" t="s">
        <v>95</v>
      </c>
      <c r="BA36" s="269" t="s">
        <v>95</v>
      </c>
      <c r="BB36" s="265" t="s">
        <v>95</v>
      </c>
      <c r="BC36" s="265" t="s">
        <v>95</v>
      </c>
      <c r="BD36" s="265" t="s">
        <v>95</v>
      </c>
      <c r="BE36" s="265" t="s">
        <v>95</v>
      </c>
      <c r="BF36" s="265" t="s">
        <v>95</v>
      </c>
      <c r="BG36" s="265" t="s">
        <v>95</v>
      </c>
      <c r="BH36" s="265" t="s">
        <v>95</v>
      </c>
      <c r="BI36" s="265" t="s">
        <v>95</v>
      </c>
      <c r="BJ36" s="268" t="s">
        <v>95</v>
      </c>
      <c r="BK36" s="205"/>
      <c r="BL36" s="205"/>
      <c r="BM36" s="205"/>
      <c r="BN36" s="205"/>
    </row>
    <row r="37" spans="1:66" s="263" customFormat="1" ht="15.75" thickBot="1">
      <c r="A37" s="280">
        <v>17</v>
      </c>
      <c r="B37" s="42"/>
      <c r="C37" s="252" t="s">
        <v>236</v>
      </c>
      <c r="D37" s="252" t="s">
        <v>237</v>
      </c>
      <c r="E37" s="117"/>
      <c r="F37" s="121" t="str">
        <f t="shared" si="0"/>
        <v/>
      </c>
      <c r="G37" s="121" t="str">
        <f t="shared" si="1"/>
        <v/>
      </c>
      <c r="H37" s="253"/>
      <c r="I37" s="281"/>
      <c r="J37" s="282"/>
      <c r="K37" s="282"/>
      <c r="L37" s="282"/>
      <c r="M37" s="282"/>
      <c r="N37" s="282"/>
      <c r="O37" s="283"/>
      <c r="P37" s="283"/>
      <c r="Q37" s="283"/>
      <c r="R37" s="283"/>
      <c r="S37" s="283" t="s">
        <v>95</v>
      </c>
      <c r="T37" s="282" t="s">
        <v>95</v>
      </c>
      <c r="U37" s="282"/>
      <c r="V37" s="282"/>
      <c r="W37" s="282"/>
      <c r="X37" s="284" t="s">
        <v>222</v>
      </c>
      <c r="Y37" s="282" t="s">
        <v>95</v>
      </c>
      <c r="Z37" s="282" t="s">
        <v>95</v>
      </c>
      <c r="AA37" s="284" t="s">
        <v>223</v>
      </c>
      <c r="AB37" s="285"/>
      <c r="AC37" s="202" t="s">
        <v>95</v>
      </c>
      <c r="AD37" s="282"/>
      <c r="AE37" s="286"/>
      <c r="AF37" s="287"/>
      <c r="AG37" s="288"/>
      <c r="AH37" s="287"/>
      <c r="AI37" s="281"/>
      <c r="AJ37" s="282"/>
      <c r="AK37" s="282"/>
      <c r="AL37" s="282"/>
      <c r="AM37" s="282"/>
      <c r="AN37" s="282"/>
      <c r="AO37" s="287"/>
      <c r="AP37" s="202"/>
      <c r="AQ37" s="282"/>
      <c r="AR37" s="282"/>
      <c r="AS37" s="287"/>
      <c r="AT37" s="202"/>
      <c r="AU37" s="287"/>
      <c r="AV37" s="202" t="s">
        <v>95</v>
      </c>
      <c r="AW37" s="286"/>
      <c r="AX37" s="285"/>
      <c r="AY37" s="202" t="s">
        <v>95</v>
      </c>
      <c r="AZ37" s="287" t="s">
        <v>95</v>
      </c>
      <c r="BA37" s="202" t="s">
        <v>95</v>
      </c>
      <c r="BB37" s="282" t="s">
        <v>95</v>
      </c>
      <c r="BC37" s="282" t="s">
        <v>95</v>
      </c>
      <c r="BD37" s="282" t="s">
        <v>95</v>
      </c>
      <c r="BE37" s="282" t="s">
        <v>95</v>
      </c>
      <c r="BF37" s="282" t="s">
        <v>95</v>
      </c>
      <c r="BG37" s="282" t="s">
        <v>95</v>
      </c>
      <c r="BH37" s="282" t="s">
        <v>95</v>
      </c>
      <c r="BI37" s="282" t="s">
        <v>95</v>
      </c>
      <c r="BJ37" s="287" t="s">
        <v>95</v>
      </c>
      <c r="BK37" s="205"/>
      <c r="BL37" s="205"/>
      <c r="BM37" s="205"/>
      <c r="BN37" s="205"/>
    </row>
    <row r="38" spans="1:66" s="192" customFormat="1" ht="13.5"/>
    <row r="39" spans="1:66" s="192" customFormat="1" ht="13.5" outlineLevel="1">
      <c r="G39" s="199"/>
      <c r="H39" s="199"/>
      <c r="I39" s="199"/>
      <c r="J39" s="199"/>
      <c r="K39" s="199"/>
      <c r="L39" s="199"/>
      <c r="M39" s="199"/>
      <c r="N39" s="199"/>
      <c r="O39" s="199"/>
      <c r="P39" s="199"/>
      <c r="Q39" s="199"/>
      <c r="R39" s="199"/>
      <c r="S39" s="199"/>
      <c r="T39" s="199"/>
      <c r="U39" s="199"/>
      <c r="V39" s="199"/>
      <c r="W39" s="199"/>
      <c r="X39" s="199"/>
      <c r="Y39" s="199"/>
      <c r="Z39" s="199"/>
      <c r="AA39" s="199"/>
      <c r="AB39" s="199"/>
      <c r="AE39" s="200"/>
      <c r="AF39" s="199"/>
      <c r="AG39" s="199"/>
      <c r="AH39" s="199"/>
      <c r="AI39" s="199"/>
      <c r="AJ39" s="199"/>
      <c r="AK39" s="199"/>
      <c r="AL39" s="199"/>
      <c r="AM39" s="199"/>
      <c r="AN39" s="199"/>
      <c r="AO39" s="199"/>
      <c r="AP39" s="199"/>
      <c r="AQ39" s="199"/>
      <c r="AR39" s="201"/>
      <c r="AS39" s="201"/>
      <c r="AT39" s="198"/>
      <c r="AU39" s="198"/>
      <c r="AV39" s="198"/>
      <c r="AW39" s="198"/>
      <c r="AX39" s="198"/>
      <c r="AY39" s="198"/>
      <c r="AZ39" s="198"/>
      <c r="BA39" s="198"/>
      <c r="BB39" s="198"/>
      <c r="BC39" s="198"/>
      <c r="BD39" s="198"/>
      <c r="BE39" s="198"/>
      <c r="BF39" s="193"/>
    </row>
    <row r="40" spans="1:66" s="192" customFormat="1" ht="3.75" customHeight="1" outlineLevel="1">
      <c r="G40" s="199"/>
      <c r="H40" s="199"/>
      <c r="I40" s="199"/>
      <c r="J40" s="199"/>
      <c r="K40" s="199"/>
      <c r="L40" s="199"/>
      <c r="M40" s="199"/>
      <c r="N40" s="199"/>
      <c r="O40" s="199"/>
      <c r="P40" s="199"/>
      <c r="Q40" s="199"/>
      <c r="R40" s="199"/>
      <c r="S40" s="199"/>
      <c r="T40" s="199"/>
      <c r="U40" s="199"/>
      <c r="V40" s="199"/>
      <c r="W40" s="199"/>
      <c r="X40" s="199"/>
      <c r="Y40" s="199"/>
      <c r="Z40" s="199"/>
      <c r="AA40" s="199"/>
      <c r="AB40" s="199"/>
      <c r="AE40" s="200"/>
      <c r="AF40" s="199"/>
      <c r="AG40" s="199"/>
      <c r="AH40" s="199"/>
      <c r="AI40" s="199"/>
      <c r="AJ40" s="199"/>
      <c r="AK40" s="199"/>
      <c r="AL40" s="199"/>
      <c r="AM40" s="199"/>
      <c r="AN40" s="199"/>
      <c r="AO40" s="199"/>
      <c r="AP40" s="199"/>
      <c r="AQ40" s="199"/>
      <c r="AR40" s="201"/>
      <c r="AS40" s="201"/>
      <c r="AT40" s="198"/>
      <c r="AU40" s="198"/>
      <c r="AV40" s="198"/>
      <c r="AW40" s="198"/>
      <c r="AX40" s="198"/>
      <c r="AY40" s="198"/>
      <c r="AZ40" s="198"/>
      <c r="BA40" s="198"/>
      <c r="BB40" s="198"/>
      <c r="BC40" s="198"/>
      <c r="BD40" s="198"/>
      <c r="BE40" s="198"/>
      <c r="BF40" s="193"/>
    </row>
    <row r="41" spans="1:66" s="192" customFormat="1" ht="13.5" outlineLevel="1">
      <c r="G41" s="78"/>
      <c r="H41" s="78"/>
      <c r="I41" s="78"/>
      <c r="J41" s="78"/>
      <c r="K41" s="78"/>
      <c r="L41" s="78"/>
      <c r="M41" s="78"/>
      <c r="N41" s="78"/>
      <c r="O41" s="78"/>
      <c r="P41" s="78"/>
      <c r="Q41" s="78"/>
      <c r="R41" s="78"/>
      <c r="S41" s="78"/>
      <c r="T41" s="78"/>
      <c r="U41" s="78"/>
      <c r="V41" s="78"/>
      <c r="W41" s="78"/>
      <c r="X41" s="78"/>
      <c r="Y41" s="78"/>
      <c r="Z41" s="78"/>
      <c r="AA41" s="78"/>
      <c r="AB41" s="78"/>
      <c r="AC41" s="78"/>
      <c r="AD41" s="78"/>
      <c r="AE41" s="191"/>
      <c r="AF41" s="78"/>
      <c r="AG41" s="78"/>
      <c r="AH41" s="78"/>
      <c r="AI41" s="78"/>
      <c r="AJ41" s="78"/>
      <c r="AK41" s="78"/>
      <c r="AL41" s="78"/>
      <c r="AM41" s="78"/>
      <c r="AN41" s="78"/>
      <c r="AO41" s="78"/>
      <c r="AP41" s="78"/>
      <c r="AQ41" s="78"/>
      <c r="AR41" s="78"/>
      <c r="AS41" s="78"/>
      <c r="AT41" s="193"/>
      <c r="AU41" s="193"/>
      <c r="AV41" s="193"/>
      <c r="AW41" s="193"/>
      <c r="AX41" s="193"/>
      <c r="AY41" s="193"/>
      <c r="AZ41" s="193"/>
      <c r="BA41" s="193"/>
      <c r="BB41" s="193"/>
      <c r="BC41" s="193"/>
      <c r="BD41" s="193"/>
      <c r="BE41" s="193"/>
      <c r="BF41" s="193"/>
    </row>
    <row r="42" spans="1:66" s="192" customFormat="1" ht="40.5" customHeight="1" outlineLevel="1">
      <c r="G42" s="78"/>
      <c r="H42" s="78"/>
      <c r="I42" s="78"/>
      <c r="J42" s="78"/>
      <c r="K42" s="78"/>
      <c r="L42" s="78"/>
      <c r="M42" s="78"/>
      <c r="N42" s="78"/>
      <c r="O42" s="78"/>
      <c r="P42" s="78"/>
      <c r="Q42" s="78"/>
      <c r="R42" s="78"/>
      <c r="S42" s="78"/>
      <c r="T42" s="78"/>
      <c r="U42" s="78"/>
      <c r="V42" s="78"/>
      <c r="W42" s="78"/>
      <c r="X42" s="78"/>
      <c r="Y42" s="78"/>
      <c r="Z42" s="78"/>
      <c r="AA42" s="78"/>
      <c r="AB42" s="78"/>
      <c r="AC42" s="78"/>
      <c r="AD42" s="78"/>
      <c r="AE42" s="191"/>
      <c r="AF42" s="78"/>
      <c r="AG42" s="78"/>
      <c r="AH42" s="78"/>
      <c r="AI42" s="78"/>
      <c r="AJ42" s="78"/>
      <c r="AK42" s="78"/>
      <c r="AL42" s="78"/>
      <c r="AM42" s="78"/>
      <c r="AN42" s="78"/>
      <c r="AO42" s="78"/>
      <c r="AP42" s="78"/>
      <c r="AQ42" s="78"/>
      <c r="AR42" s="78"/>
      <c r="AS42" s="78"/>
      <c r="AT42" s="193"/>
      <c r="AU42" s="193"/>
      <c r="AV42" s="193"/>
      <c r="AW42" s="193"/>
      <c r="AX42" s="193"/>
      <c r="AY42" s="193"/>
      <c r="AZ42" s="193"/>
      <c r="BA42" s="193"/>
      <c r="BB42" s="193"/>
      <c r="BC42" s="193"/>
      <c r="BD42" s="193"/>
      <c r="BE42" s="193"/>
      <c r="BF42" s="193"/>
    </row>
    <row r="43" spans="1:66" s="192" customFormat="1" ht="33.75" customHeight="1" outlineLevel="1">
      <c r="G43" s="78"/>
      <c r="H43" s="78"/>
      <c r="I43" s="78"/>
      <c r="J43" s="78"/>
      <c r="K43" s="78"/>
      <c r="L43" s="78"/>
      <c r="M43" s="78"/>
      <c r="N43" s="78"/>
      <c r="O43" s="78"/>
      <c r="P43" s="78"/>
      <c r="Q43" s="78"/>
      <c r="R43" s="78"/>
      <c r="S43" s="78"/>
      <c r="T43" s="78"/>
      <c r="U43" s="78"/>
      <c r="V43" s="78"/>
      <c r="W43" s="78"/>
      <c r="X43" s="78"/>
      <c r="Y43" s="78"/>
      <c r="Z43" s="78"/>
      <c r="AA43" s="78"/>
      <c r="AB43" s="78"/>
      <c r="AC43" s="78"/>
      <c r="AD43" s="78"/>
      <c r="AE43" s="191"/>
      <c r="AF43" s="78"/>
      <c r="AG43" s="78"/>
      <c r="AH43" s="78"/>
      <c r="AI43" s="78"/>
      <c r="AJ43" s="78"/>
      <c r="AK43" s="78"/>
      <c r="AL43" s="78"/>
      <c r="AM43" s="78"/>
      <c r="AN43" s="78"/>
      <c r="AO43" s="78"/>
      <c r="AP43" s="78"/>
      <c r="AQ43" s="78"/>
      <c r="AR43" s="78"/>
      <c r="AS43" s="78"/>
      <c r="AT43" s="193"/>
      <c r="AU43" s="193"/>
      <c r="AV43" s="193"/>
      <c r="AW43" s="193"/>
      <c r="AX43" s="193"/>
      <c r="AY43" s="193"/>
      <c r="AZ43" s="193"/>
      <c r="BA43" s="193"/>
      <c r="BB43" s="193"/>
      <c r="BC43" s="193"/>
      <c r="BD43" s="193"/>
      <c r="BE43" s="193"/>
      <c r="BF43" s="193"/>
    </row>
    <row r="44" spans="1:66" s="192" customFormat="1" ht="44.25" customHeight="1" outlineLevel="1">
      <c r="G44" s="78"/>
      <c r="H44" s="78"/>
      <c r="I44" s="78"/>
      <c r="J44" s="78"/>
      <c r="K44" s="78"/>
      <c r="L44" s="78"/>
      <c r="M44" s="78"/>
      <c r="N44" s="78"/>
      <c r="O44" s="78"/>
      <c r="P44" s="78"/>
      <c r="Q44" s="78"/>
      <c r="R44" s="78"/>
      <c r="S44" s="78"/>
      <c r="T44" s="78"/>
      <c r="U44" s="78"/>
      <c r="V44" s="78"/>
      <c r="W44" s="78"/>
      <c r="X44" s="78"/>
      <c r="Y44" s="78"/>
      <c r="Z44" s="78"/>
      <c r="AA44" s="78"/>
      <c r="AB44" s="78"/>
      <c r="AC44" s="78"/>
      <c r="AD44" s="78"/>
      <c r="AE44" s="191"/>
      <c r="AF44" s="78"/>
      <c r="AG44" s="78"/>
      <c r="AH44" s="78"/>
      <c r="AI44" s="78"/>
      <c r="AJ44" s="78"/>
      <c r="AK44" s="78"/>
      <c r="AL44" s="78"/>
      <c r="AM44" s="78"/>
      <c r="AN44" s="78"/>
      <c r="AO44" s="78"/>
      <c r="AP44" s="78"/>
      <c r="AQ44" s="78"/>
      <c r="AR44" s="78"/>
      <c r="AS44" s="78"/>
      <c r="AT44" s="193"/>
      <c r="AU44" s="193"/>
      <c r="AV44" s="193"/>
      <c r="AW44" s="193"/>
      <c r="AX44" s="193"/>
      <c r="AY44" s="193"/>
      <c r="AZ44" s="193"/>
      <c r="BA44" s="193"/>
      <c r="BB44" s="193"/>
      <c r="BC44" s="193"/>
      <c r="BD44" s="193"/>
      <c r="BE44" s="193"/>
      <c r="BF44" s="193"/>
    </row>
    <row r="45" spans="1:66" s="192" customFormat="1" ht="24" customHeight="1" outlineLevel="1">
      <c r="G45" s="78"/>
      <c r="H45" s="78"/>
      <c r="I45" s="78"/>
      <c r="J45" s="78"/>
      <c r="K45" s="78"/>
      <c r="L45" s="78"/>
      <c r="M45" s="78"/>
      <c r="N45" s="78"/>
      <c r="O45" s="78"/>
      <c r="P45" s="78"/>
      <c r="Q45" s="78"/>
      <c r="R45" s="78"/>
      <c r="S45" s="78"/>
      <c r="T45" s="78"/>
      <c r="U45" s="78"/>
      <c r="V45" s="78"/>
      <c r="W45" s="78"/>
      <c r="X45" s="78"/>
      <c r="Y45" s="78"/>
      <c r="Z45" s="78"/>
      <c r="AA45" s="78"/>
      <c r="AB45" s="78"/>
      <c r="AC45" s="78"/>
      <c r="AD45" s="78"/>
      <c r="AE45" s="191"/>
      <c r="AF45" s="78"/>
      <c r="AG45" s="78"/>
      <c r="AH45" s="78"/>
      <c r="AI45" s="78"/>
      <c r="AJ45" s="78"/>
      <c r="AK45" s="78"/>
      <c r="AL45" s="78"/>
      <c r="AM45" s="78"/>
      <c r="AN45" s="78"/>
      <c r="AO45" s="78"/>
      <c r="AP45" s="78"/>
      <c r="AQ45" s="78"/>
      <c r="AR45" s="78"/>
      <c r="AS45" s="78"/>
      <c r="AT45" s="193"/>
      <c r="AU45" s="193"/>
      <c r="AV45" s="193"/>
      <c r="AW45" s="193"/>
      <c r="AX45" s="193"/>
      <c r="AY45" s="193"/>
      <c r="AZ45" s="193"/>
      <c r="BA45" s="193"/>
      <c r="BB45" s="193"/>
      <c r="BC45" s="193"/>
      <c r="BD45" s="193"/>
      <c r="BE45" s="193"/>
      <c r="BF45" s="193"/>
    </row>
    <row r="46" spans="1:66" s="192" customFormat="1" ht="13.5" outlineLevel="1">
      <c r="G46" s="78"/>
      <c r="H46" s="78"/>
      <c r="I46" s="78"/>
      <c r="J46" s="78"/>
      <c r="K46" s="78"/>
      <c r="L46" s="78"/>
      <c r="M46" s="78"/>
      <c r="N46" s="78"/>
      <c r="O46" s="78"/>
      <c r="P46" s="78"/>
      <c r="Q46" s="78"/>
      <c r="R46" s="78"/>
      <c r="S46" s="78"/>
      <c r="T46" s="78"/>
      <c r="U46" s="78"/>
      <c r="V46" s="78"/>
      <c r="W46" s="78"/>
      <c r="X46" s="78"/>
      <c r="Y46" s="78"/>
      <c r="Z46" s="78"/>
      <c r="AA46" s="78"/>
      <c r="AB46" s="78"/>
      <c r="AC46" s="78"/>
      <c r="AD46" s="78"/>
      <c r="AE46" s="191"/>
      <c r="AF46" s="78"/>
      <c r="AG46" s="78"/>
      <c r="AH46" s="78"/>
      <c r="AI46" s="78"/>
      <c r="AJ46" s="78"/>
      <c r="AK46" s="78"/>
      <c r="AL46" s="78"/>
      <c r="AM46" s="78"/>
      <c r="AN46" s="78"/>
      <c r="AO46" s="78"/>
      <c r="AP46" s="78"/>
      <c r="AQ46" s="78"/>
      <c r="AR46" s="78"/>
      <c r="AS46" s="78"/>
      <c r="AT46" s="193"/>
      <c r="AU46" s="193"/>
      <c r="AV46" s="193"/>
      <c r="AW46" s="193"/>
      <c r="AX46" s="193"/>
      <c r="AY46" s="193"/>
      <c r="AZ46" s="193"/>
      <c r="BA46" s="193"/>
      <c r="BB46" s="193"/>
      <c r="BC46" s="193"/>
      <c r="BD46" s="193"/>
      <c r="BE46" s="193"/>
      <c r="BF46" s="193"/>
    </row>
    <row r="47" spans="1:66" s="192" customFormat="1" ht="13.5" outlineLevel="1">
      <c r="G47" s="78"/>
      <c r="H47" s="78"/>
      <c r="I47" s="78"/>
      <c r="J47" s="78"/>
      <c r="K47" s="78"/>
      <c r="L47" s="78"/>
      <c r="M47" s="78"/>
      <c r="N47" s="78"/>
      <c r="O47" s="78"/>
      <c r="P47" s="78"/>
      <c r="Q47" s="78"/>
      <c r="R47" s="78"/>
      <c r="S47" s="78"/>
      <c r="T47" s="78"/>
      <c r="U47" s="78"/>
      <c r="V47" s="78"/>
      <c r="W47" s="78"/>
      <c r="X47" s="78"/>
      <c r="Y47" s="78"/>
      <c r="Z47" s="78"/>
      <c r="AA47" s="78"/>
      <c r="AB47" s="78"/>
      <c r="AC47" s="78"/>
      <c r="AD47" s="78"/>
      <c r="AE47" s="191"/>
      <c r="AF47" s="78"/>
      <c r="AG47" s="78"/>
      <c r="AH47" s="78"/>
      <c r="AI47" s="78"/>
      <c r="AJ47" s="78"/>
      <c r="AK47" s="78"/>
      <c r="AL47" s="78"/>
      <c r="AM47" s="78"/>
      <c r="AN47" s="78"/>
      <c r="AO47" s="78"/>
      <c r="AP47" s="78"/>
      <c r="AQ47" s="78"/>
      <c r="AR47" s="78"/>
      <c r="AS47" s="78"/>
      <c r="AT47" s="193"/>
      <c r="AU47" s="193"/>
      <c r="AV47" s="193"/>
      <c r="AW47" s="193"/>
      <c r="AX47" s="193"/>
      <c r="AY47" s="193"/>
      <c r="AZ47" s="193"/>
      <c r="BA47" s="193"/>
      <c r="BB47" s="193"/>
      <c r="BC47" s="193"/>
      <c r="BD47" s="193"/>
      <c r="BE47" s="193"/>
      <c r="BF47" s="193"/>
    </row>
    <row r="48" spans="1:66" s="192" customFormat="1" ht="15" customHeight="1" outlineLevel="1">
      <c r="G48" s="78"/>
      <c r="H48" s="78"/>
      <c r="I48" s="78"/>
      <c r="J48" s="78"/>
      <c r="K48" s="78"/>
      <c r="L48" s="78"/>
      <c r="M48" s="78"/>
      <c r="N48" s="78"/>
      <c r="O48" s="78"/>
      <c r="P48" s="78"/>
      <c r="Q48" s="78"/>
      <c r="R48" s="78"/>
      <c r="S48" s="78"/>
      <c r="T48" s="78"/>
      <c r="U48" s="78"/>
      <c r="V48" s="78"/>
      <c r="W48" s="78"/>
      <c r="X48" s="78"/>
      <c r="Y48" s="78"/>
      <c r="Z48" s="78"/>
      <c r="AA48" s="78"/>
      <c r="AB48" s="78"/>
      <c r="AC48" s="78"/>
      <c r="AD48" s="78"/>
      <c r="AE48" s="191"/>
      <c r="AF48" s="78"/>
      <c r="AG48" s="78"/>
      <c r="AH48" s="78"/>
      <c r="AI48" s="78"/>
      <c r="AJ48" s="78"/>
      <c r="AK48" s="78"/>
      <c r="AL48" s="78"/>
      <c r="AM48" s="78"/>
      <c r="AN48" s="78"/>
      <c r="AO48" s="78"/>
      <c r="AP48" s="78"/>
      <c r="AQ48" s="78"/>
      <c r="AR48" s="78"/>
      <c r="AS48" s="78"/>
      <c r="AT48" s="193"/>
      <c r="AU48" s="193"/>
      <c r="AV48" s="193"/>
      <c r="AW48" s="193"/>
      <c r="AX48" s="193"/>
      <c r="AY48" s="193"/>
      <c r="AZ48" s="193"/>
      <c r="BA48" s="193"/>
      <c r="BB48" s="193"/>
      <c r="BC48" s="193"/>
      <c r="BD48" s="193"/>
      <c r="BE48" s="193"/>
      <c r="BF48" s="193"/>
    </row>
    <row r="49" spans="7:66" s="192" customFormat="1" ht="13.5" outlineLevel="1">
      <c r="G49" s="78"/>
      <c r="H49" s="78"/>
      <c r="I49" s="78"/>
      <c r="J49" s="78"/>
      <c r="K49" s="78"/>
      <c r="L49" s="78"/>
      <c r="M49" s="78"/>
      <c r="N49" s="78"/>
      <c r="O49" s="78"/>
      <c r="P49" s="78"/>
      <c r="Q49" s="78"/>
      <c r="R49" s="78"/>
      <c r="S49" s="78"/>
      <c r="T49" s="78"/>
      <c r="U49" s="78"/>
      <c r="V49" s="78"/>
      <c r="W49" s="78"/>
      <c r="X49" s="78"/>
      <c r="Y49" s="78"/>
      <c r="Z49" s="78"/>
      <c r="AA49" s="78"/>
      <c r="AB49" s="78"/>
      <c r="AC49" s="78"/>
      <c r="AD49" s="78"/>
      <c r="AE49" s="191"/>
      <c r="AF49" s="78"/>
      <c r="AG49" s="78"/>
      <c r="AH49" s="78"/>
      <c r="AI49" s="78"/>
      <c r="AJ49" s="78"/>
      <c r="AK49" s="78"/>
      <c r="AL49" s="78"/>
      <c r="AM49" s="78"/>
      <c r="AN49" s="78"/>
      <c r="AO49" s="78"/>
      <c r="AP49" s="78"/>
      <c r="AQ49" s="78"/>
      <c r="AR49" s="78"/>
      <c r="AS49" s="78"/>
      <c r="AT49" s="193"/>
      <c r="AU49" s="193"/>
      <c r="AV49" s="193"/>
      <c r="AW49" s="193"/>
      <c r="AX49" s="193"/>
      <c r="AY49" s="193"/>
      <c r="AZ49" s="193"/>
      <c r="BA49" s="193"/>
      <c r="BB49" s="193"/>
      <c r="BC49" s="193"/>
      <c r="BD49" s="193"/>
      <c r="BE49" s="193"/>
      <c r="BF49" s="193"/>
    </row>
    <row r="50" spans="7:66" s="192" customFormat="1" ht="15" customHeight="1" outlineLevel="1">
      <c r="G50" s="78"/>
      <c r="H50" s="78"/>
      <c r="I50" s="78"/>
      <c r="J50" s="78"/>
      <c r="K50" s="78"/>
      <c r="L50" s="78"/>
      <c r="M50" s="78"/>
      <c r="N50" s="78"/>
      <c r="O50" s="78"/>
      <c r="P50" s="78"/>
      <c r="Q50" s="78"/>
      <c r="R50" s="78"/>
      <c r="S50" s="78"/>
      <c r="T50" s="78"/>
      <c r="U50" s="78"/>
      <c r="V50" s="78"/>
      <c r="W50" s="78"/>
      <c r="X50" s="78"/>
      <c r="Y50" s="78"/>
      <c r="Z50" s="78"/>
      <c r="AA50" s="78"/>
      <c r="AB50" s="78"/>
      <c r="AC50" s="78"/>
      <c r="AD50" s="78"/>
      <c r="AE50" s="191"/>
      <c r="AF50" s="78"/>
      <c r="AG50" s="78"/>
      <c r="AH50" s="78"/>
      <c r="AI50" s="78"/>
      <c r="AJ50" s="78"/>
      <c r="AK50" s="78"/>
      <c r="AL50" s="78"/>
      <c r="AM50" s="78"/>
      <c r="AN50" s="78"/>
      <c r="AO50" s="78"/>
      <c r="AP50" s="78"/>
      <c r="AQ50" s="78"/>
      <c r="AR50" s="78"/>
      <c r="AS50" s="78"/>
      <c r="AT50" s="193"/>
      <c r="AU50" s="193"/>
      <c r="AV50" s="193"/>
      <c r="AW50" s="193"/>
      <c r="AX50" s="193"/>
      <c r="AY50" s="193"/>
      <c r="AZ50" s="193"/>
      <c r="BA50" s="193"/>
      <c r="BB50" s="193"/>
      <c r="BC50" s="193"/>
      <c r="BD50" s="193"/>
      <c r="BE50" s="193"/>
      <c r="BF50" s="193"/>
    </row>
    <row r="51" spans="7:66" s="192" customFormat="1" ht="13.5" outlineLevel="1">
      <c r="G51" s="78"/>
      <c r="H51" s="78"/>
      <c r="I51" s="78"/>
      <c r="J51" s="78"/>
      <c r="K51" s="78"/>
      <c r="L51" s="78"/>
      <c r="M51" s="78"/>
      <c r="N51" s="78"/>
      <c r="O51" s="78"/>
      <c r="P51" s="78"/>
      <c r="Q51" s="78"/>
      <c r="R51" s="78"/>
      <c r="S51" s="78"/>
      <c r="T51" s="78"/>
      <c r="U51" s="78"/>
      <c r="V51" s="78"/>
      <c r="W51" s="78"/>
      <c r="X51" s="78"/>
      <c r="Y51" s="78"/>
      <c r="Z51" s="78"/>
      <c r="AA51" s="78"/>
      <c r="AB51" s="78"/>
      <c r="AC51" s="78"/>
      <c r="AD51" s="78"/>
      <c r="AE51" s="191"/>
      <c r="AF51" s="78"/>
      <c r="AG51" s="78"/>
      <c r="AH51" s="78"/>
      <c r="AI51" s="78"/>
      <c r="AJ51" s="78"/>
      <c r="AK51" s="78"/>
      <c r="AL51" s="78"/>
      <c r="AM51" s="78"/>
      <c r="AN51" s="78"/>
      <c r="AO51" s="78"/>
      <c r="AP51" s="78"/>
      <c r="AQ51" s="78"/>
      <c r="AR51" s="78"/>
      <c r="AS51" s="78"/>
      <c r="AT51" s="193"/>
      <c r="AU51" s="193"/>
      <c r="AV51" s="193"/>
      <c r="AW51" s="193"/>
      <c r="AX51" s="193"/>
      <c r="AY51" s="193"/>
      <c r="AZ51" s="193"/>
      <c r="BA51" s="193"/>
      <c r="BB51" s="193"/>
      <c r="BC51" s="193"/>
      <c r="BD51" s="193"/>
      <c r="BE51" s="193"/>
      <c r="BF51" s="193"/>
    </row>
    <row r="52" spans="7:66" s="192" customFormat="1" ht="15" customHeight="1" outlineLevel="1">
      <c r="G52" s="78"/>
      <c r="H52" s="78"/>
      <c r="I52" s="78"/>
      <c r="J52" s="78"/>
      <c r="K52" s="78"/>
      <c r="L52" s="78"/>
      <c r="M52" s="78"/>
      <c r="N52" s="78"/>
      <c r="O52" s="78"/>
      <c r="P52" s="78"/>
      <c r="Q52" s="78"/>
      <c r="R52" s="78"/>
      <c r="S52" s="78"/>
      <c r="T52" s="78"/>
      <c r="U52" s="78"/>
      <c r="V52" s="78"/>
      <c r="W52" s="78"/>
      <c r="X52" s="78"/>
      <c r="Y52" s="78"/>
      <c r="Z52" s="78"/>
      <c r="AA52" s="78"/>
      <c r="AB52" s="78"/>
      <c r="AC52" s="78"/>
      <c r="AD52" s="78"/>
      <c r="AE52" s="191"/>
      <c r="AF52" s="78"/>
      <c r="AG52" s="78"/>
      <c r="AH52" s="78"/>
      <c r="AI52" s="78"/>
      <c r="AJ52" s="78"/>
      <c r="AK52" s="78"/>
      <c r="AL52" s="78"/>
      <c r="AM52" s="78"/>
      <c r="AN52" s="78"/>
      <c r="AO52" s="78"/>
      <c r="AP52" s="78"/>
      <c r="AQ52" s="78"/>
      <c r="AR52" s="78"/>
      <c r="AS52" s="78"/>
      <c r="AT52" s="193"/>
      <c r="AU52" s="193"/>
      <c r="AV52" s="193"/>
      <c r="AW52" s="193"/>
      <c r="AX52" s="193"/>
      <c r="AY52" s="193"/>
      <c r="AZ52" s="193"/>
      <c r="BA52" s="193"/>
      <c r="BB52" s="193"/>
      <c r="BC52" s="193"/>
      <c r="BD52" s="193"/>
      <c r="BE52" s="193"/>
      <c r="BF52" s="193"/>
    </row>
    <row r="53" spans="7:66" s="192" customFormat="1" ht="13.5" outlineLevel="1">
      <c r="G53" s="78"/>
      <c r="H53" s="78"/>
      <c r="I53" s="78"/>
      <c r="J53" s="78"/>
      <c r="K53" s="78"/>
      <c r="L53" s="78"/>
      <c r="M53" s="78"/>
      <c r="N53" s="78"/>
      <c r="O53" s="78"/>
      <c r="P53" s="78"/>
      <c r="Q53" s="78"/>
      <c r="R53" s="78"/>
      <c r="S53" s="78"/>
      <c r="T53" s="78"/>
      <c r="U53" s="78"/>
      <c r="V53" s="78"/>
      <c r="W53" s="78"/>
      <c r="X53" s="78"/>
      <c r="Y53" s="78"/>
      <c r="Z53" s="78"/>
      <c r="AA53" s="78"/>
      <c r="AB53" s="78"/>
      <c r="AC53" s="78"/>
      <c r="AD53" s="78"/>
      <c r="AE53" s="191"/>
      <c r="AF53" s="78"/>
      <c r="AG53" s="78"/>
      <c r="AH53" s="78"/>
      <c r="AI53" s="78"/>
      <c r="AJ53" s="78"/>
      <c r="AK53" s="78"/>
      <c r="AL53" s="78"/>
      <c r="AM53" s="78"/>
      <c r="AN53" s="78"/>
      <c r="AO53" s="78"/>
      <c r="AP53" s="78"/>
      <c r="AQ53" s="78"/>
      <c r="AR53" s="78"/>
      <c r="AS53" s="78"/>
      <c r="AT53" s="193"/>
      <c r="AU53" s="193"/>
      <c r="AV53" s="193"/>
      <c r="AW53" s="193"/>
      <c r="AX53" s="193"/>
      <c r="AY53" s="193"/>
      <c r="AZ53" s="193"/>
      <c r="BA53" s="193"/>
      <c r="BB53" s="193"/>
      <c r="BC53" s="193"/>
      <c r="BD53" s="193"/>
      <c r="BE53" s="193"/>
      <c r="BF53" s="193"/>
    </row>
    <row r="54" spans="7:66" s="192" customFormat="1" ht="15" customHeight="1" outlineLevel="1">
      <c r="G54" s="78"/>
      <c r="H54" s="78"/>
      <c r="I54" s="78"/>
      <c r="J54" s="78"/>
      <c r="K54" s="78"/>
      <c r="L54" s="78"/>
      <c r="M54" s="78"/>
      <c r="N54" s="78"/>
      <c r="O54" s="78"/>
      <c r="P54" s="78"/>
      <c r="Q54" s="78"/>
      <c r="R54" s="78"/>
      <c r="S54" s="78"/>
      <c r="T54" s="78"/>
      <c r="U54" s="78"/>
      <c r="V54" s="78"/>
      <c r="W54" s="78"/>
      <c r="X54" s="78"/>
      <c r="Y54" s="78"/>
      <c r="Z54" s="78"/>
      <c r="AA54" s="78"/>
      <c r="AB54" s="78"/>
      <c r="AC54" s="78"/>
      <c r="AD54" s="78"/>
      <c r="AE54" s="191"/>
      <c r="AF54" s="78"/>
      <c r="AG54" s="78"/>
      <c r="AH54" s="78"/>
      <c r="AI54" s="78"/>
      <c r="AJ54" s="78"/>
      <c r="AK54" s="78"/>
      <c r="AL54" s="78"/>
      <c r="AM54" s="78"/>
      <c r="AN54" s="78"/>
      <c r="AO54" s="78"/>
      <c r="AP54" s="78"/>
      <c r="AQ54" s="78"/>
      <c r="AR54" s="78"/>
      <c r="AS54" s="78"/>
      <c r="AT54" s="193"/>
      <c r="AU54" s="193"/>
      <c r="AV54" s="193"/>
      <c r="AW54" s="193"/>
      <c r="AX54" s="193"/>
      <c r="AY54" s="193"/>
      <c r="AZ54" s="193"/>
      <c r="BA54" s="193"/>
      <c r="BB54" s="193"/>
      <c r="BC54" s="193"/>
      <c r="BD54" s="193"/>
      <c r="BE54" s="193"/>
      <c r="BF54" s="193"/>
    </row>
    <row r="55" spans="7:66" s="192" customFormat="1" ht="13.5" outlineLevel="1">
      <c r="G55" s="78"/>
      <c r="H55" s="78"/>
      <c r="I55" s="78"/>
      <c r="J55" s="78"/>
      <c r="K55" s="78"/>
      <c r="L55" s="78"/>
      <c r="M55" s="78"/>
      <c r="N55" s="78"/>
      <c r="O55" s="78"/>
      <c r="P55" s="78"/>
      <c r="Q55" s="78"/>
      <c r="R55" s="78"/>
      <c r="S55" s="78"/>
      <c r="T55" s="78"/>
      <c r="U55" s="78"/>
      <c r="V55" s="78"/>
      <c r="W55" s="78"/>
      <c r="X55" s="78"/>
      <c r="Y55" s="78"/>
      <c r="Z55" s="78"/>
      <c r="AA55" s="78"/>
      <c r="AB55" s="78"/>
      <c r="AC55" s="78"/>
      <c r="AD55" s="78"/>
      <c r="AE55" s="191"/>
      <c r="AF55" s="78"/>
      <c r="AG55" s="78"/>
      <c r="AH55" s="78"/>
      <c r="AI55" s="78"/>
      <c r="AJ55" s="78"/>
      <c r="AK55" s="78"/>
      <c r="AL55" s="78"/>
      <c r="AM55" s="78"/>
      <c r="AN55" s="78"/>
      <c r="AO55" s="78"/>
      <c r="AP55" s="78"/>
      <c r="AQ55" s="78"/>
      <c r="AR55" s="78"/>
      <c r="AS55" s="78"/>
      <c r="AT55" s="193"/>
      <c r="AU55" s="193"/>
      <c r="AV55" s="193"/>
      <c r="AW55" s="193"/>
      <c r="AX55" s="193"/>
      <c r="AY55" s="193"/>
      <c r="AZ55" s="193"/>
      <c r="BA55" s="193"/>
      <c r="BB55" s="193"/>
      <c r="BC55" s="193"/>
      <c r="BD55" s="193"/>
      <c r="BE55" s="193"/>
      <c r="BF55" s="193"/>
    </row>
    <row r="56" spans="7:66" s="186" customFormat="1" ht="16.5">
      <c r="G56" s="78"/>
      <c r="H56" s="78"/>
      <c r="I56" s="78"/>
      <c r="J56" s="78"/>
      <c r="K56" s="78"/>
      <c r="L56" s="78"/>
      <c r="M56" s="78"/>
      <c r="N56" s="78"/>
      <c r="O56" s="78"/>
      <c r="P56" s="78"/>
      <c r="Q56" s="78"/>
      <c r="R56" s="78"/>
      <c r="S56" s="78"/>
      <c r="T56" s="78"/>
      <c r="U56" s="78"/>
      <c r="V56" s="78"/>
      <c r="W56" s="78"/>
      <c r="X56" s="78"/>
      <c r="Y56" s="78"/>
      <c r="Z56" s="78"/>
      <c r="AA56" s="78"/>
      <c r="AB56" s="78"/>
      <c r="AC56" s="78"/>
      <c r="AD56" s="78"/>
      <c r="AE56" s="191"/>
      <c r="AF56" s="78"/>
      <c r="AG56" s="78"/>
      <c r="AH56" s="78"/>
      <c r="AI56" s="78"/>
      <c r="AJ56" s="78"/>
      <c r="AK56" s="78"/>
      <c r="AL56" s="78"/>
      <c r="AM56" s="78"/>
      <c r="AN56" s="78"/>
      <c r="AO56" s="78"/>
      <c r="AP56" s="78"/>
      <c r="AQ56" s="78"/>
      <c r="AR56" s="78"/>
      <c r="AS56" s="78"/>
      <c r="AT56" s="43"/>
      <c r="AU56" s="43"/>
      <c r="AV56" s="43"/>
      <c r="AW56" s="43"/>
      <c r="AX56" s="43"/>
      <c r="AY56" s="43"/>
      <c r="AZ56" s="43"/>
      <c r="BA56" s="43"/>
      <c r="BB56" s="43"/>
      <c r="BC56" s="43"/>
      <c r="BD56" s="43"/>
      <c r="BE56" s="43"/>
      <c r="BF56" s="43"/>
    </row>
    <row r="57" spans="7:66">
      <c r="G57" s="78"/>
      <c r="H57" s="78"/>
      <c r="I57" s="78"/>
      <c r="J57" s="78"/>
      <c r="K57" s="78"/>
      <c r="L57" s="78"/>
      <c r="AE57" s="191"/>
      <c r="AM57" s="78"/>
      <c r="AT57" s="43"/>
      <c r="AU57" s="43"/>
      <c r="AV57" s="43"/>
      <c r="AW57" s="43"/>
      <c r="AX57" s="43"/>
      <c r="AY57" s="43"/>
      <c r="AZ57" s="43"/>
      <c r="BA57" s="43"/>
      <c r="BG57"/>
      <c r="BH57"/>
      <c r="BI57"/>
      <c r="BJ57"/>
      <c r="BK57"/>
      <c r="BL57"/>
      <c r="BM57"/>
      <c r="BN57"/>
    </row>
  </sheetData>
  <sheetProtection selectLockedCells="1"/>
  <autoFilter ref="G18:BN18" xr:uid="{A542E326-1280-458B-B1A0-6AE424ECA10D}"/>
  <mergeCells count="18">
    <mergeCell ref="G10:H10"/>
    <mergeCell ref="A16:A18"/>
    <mergeCell ref="B16:B18"/>
    <mergeCell ref="C16:C18"/>
    <mergeCell ref="D16:D18"/>
    <mergeCell ref="E16:E18"/>
    <mergeCell ref="F16:F18"/>
    <mergeCell ref="G16:G18"/>
    <mergeCell ref="H16:H18"/>
    <mergeCell ref="AV16:AX16"/>
    <mergeCell ref="AY16:AZ16"/>
    <mergeCell ref="BA16:BJ16"/>
    <mergeCell ref="I16:AB16"/>
    <mergeCell ref="AC16:AF16"/>
    <mergeCell ref="AG16:AH16"/>
    <mergeCell ref="AI16:AO16"/>
    <mergeCell ref="AP16:AS16"/>
    <mergeCell ref="AT16:AU16"/>
  </mergeCells>
  <conditionalFormatting sqref="B2">
    <cfRule type="containsBlanks" dxfId="9" priority="2">
      <formula>LEN(TRIM(B2))=0</formula>
    </cfRule>
  </conditionalFormatting>
  <conditionalFormatting sqref="B4">
    <cfRule type="containsBlanks" dxfId="8" priority="3">
      <formula>LEN(TRIM(B4))=0</formula>
    </cfRule>
  </conditionalFormatting>
  <conditionalFormatting sqref="B19:B37">
    <cfRule type="containsBlanks" dxfId="7" priority="1">
      <formula>LEN(TRIM(B19))=0</formula>
    </cfRule>
  </conditionalFormatting>
  <conditionalFormatting sqref="G14 I19:BJ19 J20:BJ20 I20:I21 K21:BJ21 I22:BJ37">
    <cfRule type="containsBlanks" dxfId="6" priority="4">
      <formula>LEN(TRIM(G14))=0</formula>
    </cfRule>
  </conditionalFormatting>
  <dataValidations count="1">
    <dataValidation type="list" allowBlank="1" showInputMessage="1" showErrorMessage="1" sqref="B2" xr:uid="{B0052DC3-D4EC-42A5-8E2C-EA11D8B4931B}">
      <formula1>PartnershipList</formula1>
    </dataValidation>
  </dataValidations>
  <hyperlinks>
    <hyperlink ref="X19" location="M_3" display="M³" xr:uid="{10B32802-C0B9-40F6-9EDD-097595DE4004}"/>
    <hyperlink ref="AA19" location="M_4" display="M⁴" xr:uid="{AC43A103-B912-43D8-A624-C0314F052146}"/>
    <hyperlink ref="X20" location="M_3" display="M³" xr:uid="{9DC231A2-D17E-4486-9667-95D348084802}"/>
    <hyperlink ref="AA20" location="M_4" display="M⁴" xr:uid="{3F6673C6-BA31-40B2-A172-1AB5FA6310A0}"/>
    <hyperlink ref="X21" location="M_3" display="M³" xr:uid="{A5C3037C-15D8-4098-A73F-E9DADA665A1A}"/>
    <hyperlink ref="AA21" location="M_4" display="M⁴" xr:uid="{079A83DF-FFA2-49CE-BBD5-5671B41B55A8}"/>
    <hyperlink ref="AU21" location="M_6" display="M⁶" xr:uid="{0A4C0095-C0A2-4212-9AD3-CBD2F960C46D}"/>
    <hyperlink ref="X22" location="M_3" display="M³" xr:uid="{A39CF11F-69C9-4E6E-80DA-0AFCB8DD8416}"/>
    <hyperlink ref="AA22" location="M_4" display="M⁴" xr:uid="{50348621-0E4D-4937-BDBA-36B2740CB352}"/>
    <hyperlink ref="AU22" location="M_6" display="M⁶" xr:uid="{447D3A24-56D6-47E4-A270-93066094A36C}"/>
    <hyperlink ref="X23" location="M_3" display="M³" xr:uid="{253CEEC5-D1EA-4767-B400-DE423F78E29B}"/>
    <hyperlink ref="AA23" location="M_4" display="M⁴" xr:uid="{7440BF4D-03BB-4504-A3A2-AE25E4CFF9D9}"/>
    <hyperlink ref="AU23" location="M_6" display="M⁶" xr:uid="{FE4B84E3-67DD-404B-BA1F-B4E101CD1269}"/>
    <hyperlink ref="X24" location="M_3" display="M³" xr:uid="{DF1099E8-ABBC-4A71-B371-3AE9C2BB5CC3}"/>
    <hyperlink ref="AA24" location="M_4" display="M⁴" xr:uid="{45D6DAD4-7BEE-4369-864A-1FAE47329714}"/>
    <hyperlink ref="AU24" location="M_6" display="M⁶" xr:uid="{A2DE1109-8BC2-4255-8949-F7A2D130D2FE}"/>
    <hyperlink ref="X25" location="M_3" display="M³" xr:uid="{079124E1-11DE-4A93-BF90-A10496205000}"/>
    <hyperlink ref="AA25" location="M_4" display="M⁴" xr:uid="{E0AD00C7-56ED-48B1-B3FD-E47C1AB18ACF}"/>
    <hyperlink ref="X26" location="M_3" display="M³" xr:uid="{F25E5508-D87F-4C1B-A45F-43E56702B688}"/>
    <hyperlink ref="AA26" location="M_4" display="M⁴" xr:uid="{5F9004AF-D6B5-4118-B78D-39757CEA96E6}"/>
    <hyperlink ref="X27" location="M_3" display="M³" xr:uid="{F5F9EC7C-C93A-4655-992F-81F9D1A7F63B}"/>
    <hyperlink ref="AA27" location="M_4" display="M⁴" xr:uid="{85D05463-0EF1-4383-A69C-D3B9497A91FE}"/>
    <hyperlink ref="AU27" location="M_6" display="M⁶" xr:uid="{2EDAA1E5-FDF8-4F25-A0C3-8BD84E2384D8}"/>
    <hyperlink ref="X28" location="M_3" display="M³" xr:uid="{96D0F364-27AC-487E-8E6F-0FD787BD3702}"/>
    <hyperlink ref="AA28" location="M_4" display="M⁴" xr:uid="{296B6F9B-CD55-4E06-8B75-F61336137326}"/>
    <hyperlink ref="AU28" location="M_6" display="M⁶" xr:uid="{CC4CF353-D59A-490C-82A7-28B62C9BC4FA}"/>
    <hyperlink ref="T29" location="M_2" display="M²" xr:uid="{4BC29755-874C-4377-9FA3-35E3A404594E}"/>
    <hyperlink ref="P29" location="M_1" display="M¹" xr:uid="{E735E63B-FC2A-4A11-80B5-B83CD66C3174}"/>
    <hyperlink ref="Q29" location="M_1" display="M¹" xr:uid="{C211AC2C-EC7A-4057-94C2-8D7E98819981}"/>
    <hyperlink ref="R29" location="M_1" display="M¹" xr:uid="{0C6D6B9E-A01F-44CA-BDF4-920935432117}"/>
    <hyperlink ref="X29" location="M_3" display="M³" xr:uid="{8525B7E2-6E56-4426-8828-ABD8214C50A2}"/>
    <hyperlink ref="AA29" location="M_4" display="M⁴" xr:uid="{8CB835EC-8746-401E-856D-8D5188C3C424}"/>
    <hyperlink ref="AB29" location="M_5" display="M⁵" xr:uid="{FC6E903A-F18C-43FD-AF70-87DAD53DA92D}"/>
    <hyperlink ref="AU29" location="M_6" display="M⁶" xr:uid="{DC0BAB85-C7B7-4DB0-A6AB-69D0BE9E4C71}"/>
    <hyperlink ref="AX29" location="M_7" display="M⁷" xr:uid="{6FC352A0-93B7-43B5-B514-E00F739A4A1F}"/>
    <hyperlink ref="X37" location="M_3" display="M³" xr:uid="{91D8EF75-1889-4DC8-93B6-79ECBFBD34EB}"/>
    <hyperlink ref="AA37" location="M_4" display="M⁴" xr:uid="{6B09F2C6-486D-4C2C-94A5-23B7A453779B}"/>
    <hyperlink ref="T30" location="M_2" display="M²" xr:uid="{D1E088D5-1BE0-4DB0-B0D6-DB650E3ADF65}"/>
    <hyperlink ref="P30" location="M_1" display="M¹" xr:uid="{175E7D34-8612-45C2-8D00-0BFCB896E74B}"/>
    <hyperlink ref="Q30" location="M_1" display="M¹" xr:uid="{DA4FE54E-94D6-440F-B450-452C3F42312E}"/>
    <hyperlink ref="R30" location="M_1" display="M¹" xr:uid="{2952283C-607F-4F74-BB59-8B862250CDD8}"/>
    <hyperlink ref="X30" location="M_3" display="M³" xr:uid="{5FB2BD3D-7EAC-4882-AE66-BDD2C27F1AAB}"/>
    <hyperlink ref="AA30" location="M_4" display="M⁴" xr:uid="{BEFF0D89-ED2F-4367-9D6A-2A18BB2DEDCF}"/>
    <hyperlink ref="AB30" location="M_5" display="M⁵" xr:uid="{7B6E28ED-C03F-4BF8-8D97-E26707755006}"/>
    <hyperlink ref="AU30" location="M_6" display="M⁶" xr:uid="{E2B23686-0F46-482E-9C61-65F13D7FF857}"/>
    <hyperlink ref="AX30" location="M_7" display="M⁷" xr:uid="{10109F5F-B1B7-4011-B4FD-AD7D13D9FF1B}"/>
    <hyperlink ref="T31" location="M_2" display="M²" xr:uid="{779ED0A6-83F5-49FD-BB5A-C8FC930BC4BD}"/>
    <hyperlink ref="P31" location="M_1" display="M¹" xr:uid="{FA8B7B1E-55D5-407F-ACB6-DF1BDE879B00}"/>
    <hyperlink ref="Q31" location="M_1" display="M¹" xr:uid="{B7788697-D8B8-4B42-B405-AD6F6B57F434}"/>
    <hyperlink ref="R31" location="M_1" display="M¹" xr:uid="{A8F30F19-A824-4383-A9BC-56FD7B306383}"/>
    <hyperlink ref="X31" location="M_3" display="M³" xr:uid="{5CBC660C-104A-43B4-A51B-D951872ED205}"/>
    <hyperlink ref="AA31" location="M_4" display="M⁴" xr:uid="{1DB45E57-E1FC-404D-85CD-BC6AEDA16D8E}"/>
    <hyperlink ref="AB31" location="M_5" display="M⁵" xr:uid="{063D645D-A4D7-4AC5-A32D-4084C8DB8D5F}"/>
    <hyperlink ref="AU31" location="M_6" display="M⁶" xr:uid="{5EE9A70E-446F-4FFC-B2EE-4728483F3E4F}"/>
    <hyperlink ref="AX31" location="M_7" display="M⁷" xr:uid="{6050C551-744A-4AD1-8B99-669E7957373D}"/>
    <hyperlink ref="T32" location="M_2" display="M²" xr:uid="{F21DB14A-EBAD-4DC7-A898-0DD205161528}"/>
    <hyperlink ref="P32" location="M_1" display="M¹" xr:uid="{21FAF7EE-F08A-4D48-A7A3-7736269394F7}"/>
    <hyperlink ref="Q32" location="M_1" display="M¹" xr:uid="{732943C4-D130-4753-AFAF-63F2CA1AFBE7}"/>
    <hyperlink ref="R32" location="M_1" display="M¹" xr:uid="{0769C701-9D7D-4111-8327-1EF9111DF065}"/>
    <hyperlink ref="X32" location="M_3" display="M³" xr:uid="{AE95B9E1-F1D8-42D3-BDA7-B1615914147E}"/>
    <hyperlink ref="AA32" location="M_4" display="M⁴" xr:uid="{7D69C4C1-3253-406D-B024-65609095D03C}"/>
    <hyperlink ref="AB32" location="M_5" display="M⁵" xr:uid="{129F761E-A7D6-46F0-99A9-BAD1F7D22F98}"/>
    <hyperlink ref="AU32" location="M_6" display="M⁶" xr:uid="{40B4EEC7-F23B-4F4B-BA7C-FF7E9353ABB5}"/>
    <hyperlink ref="AX32" location="M_7" display="M⁷" xr:uid="{A2587663-B7B2-48B1-9B54-34ED4747F192}"/>
    <hyperlink ref="T33" location="M_2" display="M²" xr:uid="{35264998-D36C-41E2-875D-D5C5EEA250DD}"/>
    <hyperlink ref="P33" location="M_1" display="M¹" xr:uid="{228850E6-116C-494B-A720-E87C63FD2A28}"/>
    <hyperlink ref="Q33" location="M_1" display="M¹" xr:uid="{9D33A6A5-9EE7-484F-95A5-4BF5A9C2CF3B}"/>
    <hyperlink ref="R33" location="M_1" display="M¹" xr:uid="{143A9293-01E5-4654-9AD8-0217202FA74B}"/>
    <hyperlink ref="X33" location="M_3" display="M³" xr:uid="{27F39C4D-0C44-4AB9-BC1C-34733ADC39F9}"/>
    <hyperlink ref="AA33" location="M_4" display="M⁴" xr:uid="{96E34E29-67F0-47DE-A855-585D10010FE3}"/>
    <hyperlink ref="AB33" location="M_5" display="M⁵" xr:uid="{6EAB02CB-44C7-40CD-AC24-0492AC92ACF1}"/>
    <hyperlink ref="AU33" location="M_6" display="M⁶" xr:uid="{85F15D1E-6A1E-4559-9453-F63F9BE5EB19}"/>
    <hyperlink ref="AX33" location="M_7" display="M⁷" xr:uid="{B3F9B80E-E53B-43D8-AF18-98182AD41819}"/>
    <hyperlink ref="T34" location="M_2" display="M²" xr:uid="{54A74FF1-2F24-4F94-92D0-4A6786BB7E74}"/>
    <hyperlink ref="P34" location="M_1" display="M¹" xr:uid="{DA770D30-9832-4619-B5AE-5ED812A6E796}"/>
    <hyperlink ref="Q34" location="M_1" display="M¹" xr:uid="{2943432B-9B21-461D-9E2C-D07D786E923C}"/>
    <hyperlink ref="R34" location="M_1" display="M¹" xr:uid="{2B0AEED6-DC8A-4C2C-B8F6-C39373FCF8A0}"/>
    <hyperlink ref="X34" location="M_3" display="M³" xr:uid="{847C5597-939E-451D-B112-F1CD00E95B18}"/>
    <hyperlink ref="AA34" location="M_4" display="M⁴" xr:uid="{DB440B31-D99F-4CB1-933E-5BC185D6C850}"/>
    <hyperlink ref="AB34" location="M_5" display="M⁵" xr:uid="{8639E483-53D1-48CC-BBA9-525ED1360599}"/>
    <hyperlink ref="AU34" location="M_6" display="M⁶" xr:uid="{DAA495B1-D2EA-42D3-A030-180CA420ECE0}"/>
    <hyperlink ref="AX34" location="M_7" display="M⁷" xr:uid="{229F7640-95AC-4C32-BCE4-DC3E69652907}"/>
    <hyperlink ref="X35" location="M_3" display="M³" xr:uid="{7AED2CED-343E-4F0D-92DD-B66582733974}"/>
    <hyperlink ref="AA35" location="M_4" display="M⁴" xr:uid="{30D8FD9A-3BE0-4B63-A72D-ED8A764AE1EE}"/>
    <hyperlink ref="AU35" location="M_6" display="M⁶" xr:uid="{FB2C132A-FBEC-4FC8-9136-DE1D02CAB0CE}"/>
    <hyperlink ref="X36" location="M_3" display="M³" xr:uid="{8038FFAA-50EB-4056-93E7-89370A487550}"/>
    <hyperlink ref="AA36" location="M_4" display="M⁴" xr:uid="{7CB02BC6-4C5F-41B6-82E5-810B081A6DC3}"/>
    <hyperlink ref="AU36" location="M_6" display="M⁶" xr:uid="{E2D3196A-E4E6-444C-9ADF-2560D4C9D9A6}"/>
  </hyperlinks>
  <printOptions horizontalCentered="1"/>
  <pageMargins left="0.19685039370078741" right="0.19685039370078741" top="0.39370078740157483" bottom="0.39370078740157483" header="0.31496062992125984" footer="0.19685039370078741"/>
  <pageSetup paperSize="8" scale="21" orientation="landscape" r:id="rId1"/>
  <headerFooter>
    <oddFooter>&amp;L&amp;"Century Gothic,Bold"&amp;10ISSUE DATE: 04/04/2024&amp;C&amp;"Century Gothic,Bold"&amp;10MRM-ATB-REG-0001&amp;R&amp;"Century Gothic,Bold"&amp;10PAGE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77E31A8-3EA5-437F-AF14-4B70E6CD2667}">
          <x14:formula1>
            <xm:f>'CREW EXPIRY DATES'!$B$16:$B$55</xm:f>
          </x14:formula1>
          <xm:sqref>B19:B37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43B26-A7A3-49FC-B236-8688D8CF6103}">
  <sheetPr>
    <tabColor theme="9"/>
    <pageSetUpPr fitToPage="1"/>
  </sheetPr>
  <dimension ref="A1:EE83"/>
  <sheetViews>
    <sheetView showGridLines="0" topLeftCell="A14" zoomScale="70" zoomScaleNormal="70" workbookViewId="0">
      <selection activeCell="A23" sqref="A23"/>
    </sheetView>
  </sheetViews>
  <sheetFormatPr defaultColWidth="9.140625" defaultRowHeight="13.5"/>
  <cols>
    <col min="1" max="1" width="15" style="43" customWidth="1"/>
    <col min="2" max="2" width="16.5703125" style="43" bestFit="1" customWidth="1"/>
    <col min="3" max="3" width="10.85546875" style="43" customWidth="1"/>
    <col min="4" max="4" width="39.85546875" style="43" customWidth="1"/>
    <col min="5" max="5" width="10.85546875" style="43" customWidth="1"/>
    <col min="6" max="7" width="18.5703125" style="43" customWidth="1"/>
    <col min="8" max="8" width="42.7109375" style="43" customWidth="1"/>
    <col min="9" max="19" width="13.5703125" style="78" customWidth="1"/>
    <col min="20" max="50" width="8.140625" style="78" customWidth="1"/>
    <col min="51" max="65" width="8.140625" style="43" customWidth="1"/>
    <col min="66" max="68" width="24.28515625" style="43" customWidth="1"/>
    <col min="69" max="16384" width="9.140625" style="43"/>
  </cols>
  <sheetData>
    <row r="1" spans="1:135">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row>
    <row r="2" spans="1:135" ht="37.9" customHeight="1">
      <c r="A2" s="440" t="s">
        <v>451</v>
      </c>
      <c r="B2" s="440"/>
      <c r="C2" s="440"/>
      <c r="D2" s="440"/>
      <c r="E2" s="440"/>
      <c r="F2" s="440"/>
      <c r="G2" s="440"/>
      <c r="H2" s="440"/>
      <c r="I2" s="440"/>
      <c r="J2" s="440"/>
      <c r="K2" s="440"/>
      <c r="L2" s="440"/>
      <c r="M2" s="440"/>
      <c r="N2" s="440"/>
      <c r="O2" s="440"/>
      <c r="P2" s="440"/>
      <c r="Q2" s="440"/>
      <c r="R2" s="440"/>
      <c r="S2" s="440"/>
      <c r="T2" s="440"/>
      <c r="U2" s="440"/>
      <c r="V2" s="440"/>
      <c r="W2" s="440"/>
      <c r="X2" s="440"/>
      <c r="Y2" s="440"/>
      <c r="Z2" s="440"/>
      <c r="AA2" s="440"/>
      <c r="AB2" s="440"/>
      <c r="AC2" s="440"/>
      <c r="AD2" s="440"/>
      <c r="AE2" s="440"/>
      <c r="AF2" s="440"/>
      <c r="AG2" s="440"/>
      <c r="AH2" s="440"/>
      <c r="AI2" s="440"/>
      <c r="AJ2" s="440"/>
      <c r="AK2" s="440"/>
      <c r="AL2" s="440"/>
      <c r="AM2" s="440"/>
      <c r="AN2" s="440"/>
      <c r="AO2" s="440"/>
      <c r="AP2" s="440"/>
      <c r="AQ2" s="440"/>
      <c r="AR2" s="440"/>
      <c r="AS2" s="440"/>
      <c r="AT2" s="440"/>
      <c r="AU2" s="440"/>
      <c r="AV2" s="440"/>
      <c r="AW2" s="440"/>
      <c r="AX2" s="440"/>
      <c r="AY2" s="440"/>
      <c r="AZ2" s="440"/>
      <c r="BA2" s="440"/>
      <c r="BB2" s="440"/>
      <c r="BC2" s="440"/>
      <c r="BD2" s="440"/>
      <c r="BE2" s="440"/>
      <c r="BF2" s="440"/>
      <c r="BG2" s="440"/>
      <c r="BH2" s="440"/>
      <c r="BI2" s="440"/>
      <c r="BJ2" s="440"/>
      <c r="BK2" s="440"/>
      <c r="BL2" s="440"/>
      <c r="BM2" s="440"/>
      <c r="BN2" s="44"/>
      <c r="BO2" s="44"/>
      <c r="BP2" s="44"/>
    </row>
    <row r="3" spans="1:135">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row>
    <row r="4" spans="1:135">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row>
    <row r="5" spans="1:135" ht="31.5" customHeight="1" thickBot="1">
      <c r="A5" s="71" t="s">
        <v>58</v>
      </c>
      <c r="B5" s="125" t="s">
        <v>276</v>
      </c>
      <c r="C5" s="129" t="s">
        <v>89</v>
      </c>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row>
    <row r="6" spans="1:135" ht="31.5" customHeight="1">
      <c r="A6" s="71" t="s">
        <v>90</v>
      </c>
      <c r="B6" s="128" t="str" cm="1">
        <f t="array" ref="B6">IF(B7="","",
   INDEX(Lookup!$M$2:$M$135,
       MATCH(1,
             (B7 &gt;= Lookup!$O$2:$O$135) *
             (B7 &lt;= Lookup!$P$2:$P$135) *
             ($B5 = Lookup!$N$2:$N$135),
       0)
   )
)</f>
        <v/>
      </c>
      <c r="D6" s="44"/>
      <c r="E6" s="44"/>
      <c r="F6" s="44"/>
      <c r="G6" s="44"/>
      <c r="H6" s="44"/>
      <c r="I6" s="443" t="s">
        <v>452</v>
      </c>
      <c r="J6" s="444"/>
      <c r="K6" s="445"/>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row>
    <row r="7" spans="1:135" ht="31.5" customHeight="1">
      <c r="A7" s="71" t="s">
        <v>92</v>
      </c>
      <c r="B7" s="126"/>
      <c r="D7" s="439" t="s">
        <v>453</v>
      </c>
      <c r="E7" s="44"/>
      <c r="F7" s="44"/>
      <c r="G7" s="44"/>
      <c r="H7" s="44"/>
      <c r="I7" s="45" t="s">
        <v>95</v>
      </c>
      <c r="J7" s="446" t="s">
        <v>454</v>
      </c>
      <c r="K7" s="447"/>
      <c r="L7" s="44"/>
      <c r="M7" s="129" t="s">
        <v>455</v>
      </c>
      <c r="N7" s="46"/>
      <c r="O7" s="46"/>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row>
    <row r="8" spans="1:135" ht="31.5" customHeight="1" thickBot="1">
      <c r="A8" s="71" t="s">
        <v>93</v>
      </c>
      <c r="B8" s="127" t="str" cm="1">
        <f t="array" ref="B8">IF(ISBLANK(B7), "", INDEX(Lookup!P:P, MATCH(1, (Lookup!N:N=B5) * (Lookup!M:M=B6), 0)))</f>
        <v/>
      </c>
      <c r="D8" s="439"/>
      <c r="E8" s="44"/>
      <c r="F8" s="44"/>
      <c r="G8" s="44"/>
      <c r="H8" s="44"/>
      <c r="I8" s="47" t="s">
        <v>99</v>
      </c>
      <c r="J8" s="449" t="s">
        <v>456</v>
      </c>
      <c r="K8" s="450"/>
      <c r="L8" s="44"/>
      <c r="M8" s="44"/>
      <c r="N8" s="46"/>
      <c r="O8" s="46"/>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row>
    <row r="9" spans="1:135" ht="330.75" hidden="1" customHeight="1">
      <c r="B9" s="48"/>
      <c r="C9" s="48"/>
      <c r="D9" s="44"/>
      <c r="E9" s="44"/>
      <c r="F9" s="44"/>
      <c r="G9" s="44"/>
      <c r="H9" s="44"/>
      <c r="I9" s="66" t="s">
        <v>457</v>
      </c>
      <c r="J9" s="62" t="s">
        <v>458</v>
      </c>
      <c r="K9" s="62" t="s">
        <v>459</v>
      </c>
      <c r="L9" s="50" t="s">
        <v>460</v>
      </c>
      <c r="M9" s="50" t="s">
        <v>461</v>
      </c>
      <c r="N9" s="50" t="s">
        <v>462</v>
      </c>
      <c r="O9" s="50" t="s">
        <v>463</v>
      </c>
      <c r="P9" s="50" t="s">
        <v>464</v>
      </c>
      <c r="Q9" s="50" t="s">
        <v>465</v>
      </c>
      <c r="R9" s="50"/>
      <c r="S9" s="50" t="s">
        <v>466</v>
      </c>
      <c r="T9" s="50" t="s">
        <v>467</v>
      </c>
      <c r="U9" s="50" t="s">
        <v>296</v>
      </c>
      <c r="V9" s="50" t="s">
        <v>188</v>
      </c>
      <c r="W9" s="50" t="s">
        <v>299</v>
      </c>
      <c r="X9" s="50" t="s">
        <v>301</v>
      </c>
      <c r="Y9" s="50" t="s">
        <v>468</v>
      </c>
      <c r="Z9" s="50" t="s">
        <v>469</v>
      </c>
      <c r="AA9" s="50" t="s">
        <v>470</v>
      </c>
      <c r="AB9" s="51" t="s">
        <v>471</v>
      </c>
      <c r="AC9" s="52" t="s">
        <v>187</v>
      </c>
      <c r="AD9" s="53" t="s">
        <v>308</v>
      </c>
      <c r="AE9" s="53" t="s">
        <v>310</v>
      </c>
      <c r="AF9" s="53" t="s">
        <v>190</v>
      </c>
      <c r="AG9" s="53" t="s">
        <v>192</v>
      </c>
      <c r="AH9" s="49" t="s">
        <v>472</v>
      </c>
      <c r="AI9" s="50" t="s">
        <v>473</v>
      </c>
      <c r="AJ9" s="50" t="s">
        <v>474</v>
      </c>
      <c r="AK9" s="50" t="s">
        <v>475</v>
      </c>
      <c r="AL9" s="50" t="s">
        <v>476</v>
      </c>
      <c r="AM9" s="50" t="s">
        <v>477</v>
      </c>
      <c r="AN9" s="50" t="s">
        <v>478</v>
      </c>
      <c r="AO9" s="51" t="s">
        <v>199</v>
      </c>
      <c r="AP9" s="52" t="s">
        <v>479</v>
      </c>
      <c r="AQ9" s="53" t="s">
        <v>200</v>
      </c>
      <c r="AR9" s="53" t="s">
        <v>201</v>
      </c>
      <c r="AS9" s="53" t="s">
        <v>480</v>
      </c>
      <c r="AT9" s="54"/>
      <c r="AU9" s="49" t="s">
        <v>481</v>
      </c>
      <c r="AV9" s="50" t="s">
        <v>482</v>
      </c>
      <c r="AW9" s="55"/>
      <c r="AX9" s="56" t="s">
        <v>483</v>
      </c>
      <c r="AY9" s="56" t="s">
        <v>484</v>
      </c>
      <c r="AZ9" s="57" t="s">
        <v>485</v>
      </c>
      <c r="BA9" s="50" t="s">
        <v>210</v>
      </c>
      <c r="BB9" s="51" t="s">
        <v>328</v>
      </c>
      <c r="BC9" s="52" t="s">
        <v>215</v>
      </c>
      <c r="BD9" s="53" t="s">
        <v>216</v>
      </c>
      <c r="BE9" s="53" t="s">
        <v>217</v>
      </c>
      <c r="BF9" s="53" t="s">
        <v>211</v>
      </c>
      <c r="BG9" s="53" t="s">
        <v>212</v>
      </c>
      <c r="BH9" s="53" t="s">
        <v>213</v>
      </c>
      <c r="BI9" s="53" t="s">
        <v>214</v>
      </c>
      <c r="BJ9" s="53" t="s">
        <v>219</v>
      </c>
      <c r="BK9" s="53" t="s">
        <v>220</v>
      </c>
      <c r="BL9" s="58"/>
      <c r="BM9" s="54" t="s">
        <v>191</v>
      </c>
      <c r="BN9" s="44"/>
      <c r="BO9" s="44"/>
      <c r="BP9" s="44"/>
    </row>
    <row r="10" spans="1:135" s="59" customFormat="1" hidden="1">
      <c r="D10" s="44"/>
      <c r="E10" s="44"/>
      <c r="F10" s="44"/>
      <c r="G10" s="44"/>
      <c r="H10" s="44"/>
      <c r="I10" s="60"/>
      <c r="J10" s="61"/>
      <c r="K10" s="61"/>
      <c r="L10" s="61"/>
      <c r="M10" s="61"/>
      <c r="N10" s="61"/>
      <c r="O10" s="61"/>
      <c r="P10" s="61"/>
      <c r="Q10" s="61"/>
      <c r="R10" s="61"/>
      <c r="S10" s="61"/>
      <c r="T10" s="62"/>
      <c r="U10" s="62"/>
      <c r="V10" s="62"/>
      <c r="W10" s="62"/>
      <c r="X10" s="62"/>
      <c r="Y10" s="62"/>
      <c r="Z10" s="62"/>
      <c r="AA10" s="62"/>
      <c r="AB10" s="63"/>
      <c r="AC10" s="64"/>
      <c r="AD10" s="65"/>
      <c r="AE10" s="65"/>
      <c r="AF10" s="65"/>
      <c r="AG10" s="65"/>
      <c r="AH10" s="66"/>
      <c r="AI10" s="62"/>
      <c r="AJ10" s="62"/>
      <c r="AK10" s="62"/>
      <c r="AL10" s="62"/>
      <c r="AM10" s="62"/>
      <c r="AN10" s="62"/>
      <c r="AO10" s="63"/>
      <c r="AP10" s="64"/>
      <c r="AQ10" s="65"/>
      <c r="AR10" s="65"/>
      <c r="AS10" s="65"/>
      <c r="AT10" s="67"/>
      <c r="AU10" s="66"/>
      <c r="AV10" s="62"/>
      <c r="AW10" s="55"/>
      <c r="AX10" s="56"/>
      <c r="AY10" s="56"/>
      <c r="AZ10" s="68"/>
      <c r="BA10" s="62"/>
      <c r="BB10" s="63"/>
      <c r="BC10" s="64"/>
      <c r="BD10" s="65"/>
      <c r="BE10" s="65"/>
      <c r="BF10" s="65"/>
      <c r="BG10" s="65"/>
      <c r="BH10" s="65"/>
      <c r="BI10" s="65"/>
      <c r="BJ10" s="65"/>
      <c r="BK10" s="65"/>
      <c r="BL10" s="69"/>
      <c r="BM10" s="67"/>
      <c r="BN10" s="44"/>
      <c r="BO10" s="44"/>
      <c r="BP10" s="44"/>
    </row>
    <row r="11" spans="1:135" s="59" customFormat="1" ht="165.75" hidden="1">
      <c r="D11" s="44"/>
      <c r="E11" s="44"/>
      <c r="F11" s="44"/>
      <c r="G11" s="44"/>
      <c r="H11" s="44"/>
      <c r="I11" s="70" t="s">
        <v>486</v>
      </c>
      <c r="J11" s="71" t="s">
        <v>458</v>
      </c>
      <c r="K11" s="71" t="s">
        <v>459</v>
      </c>
      <c r="L11" s="71" t="s">
        <v>460</v>
      </c>
      <c r="M11" s="71" t="s">
        <v>461</v>
      </c>
      <c r="N11" s="71" t="s">
        <v>462</v>
      </c>
      <c r="O11" s="71" t="s">
        <v>463</v>
      </c>
      <c r="P11" s="71" t="s">
        <v>464</v>
      </c>
      <c r="Q11" s="71" t="s">
        <v>465</v>
      </c>
      <c r="R11" s="71" t="s">
        <v>487</v>
      </c>
      <c r="S11" s="71" t="s">
        <v>466</v>
      </c>
      <c r="T11" s="71" t="s">
        <v>488</v>
      </c>
      <c r="U11" s="71" t="s">
        <v>296</v>
      </c>
      <c r="V11" s="71" t="s">
        <v>188</v>
      </c>
      <c r="W11" s="71" t="s">
        <v>299</v>
      </c>
      <c r="X11" s="71" t="s">
        <v>301</v>
      </c>
      <c r="Y11" s="71" t="s">
        <v>183</v>
      </c>
      <c r="Z11" s="71" t="s">
        <v>184</v>
      </c>
      <c r="AA11" s="71" t="s">
        <v>185</v>
      </c>
      <c r="AB11" s="72" t="s">
        <v>471</v>
      </c>
      <c r="AC11" s="73" t="s">
        <v>187</v>
      </c>
      <c r="AD11" s="74" t="s">
        <v>308</v>
      </c>
      <c r="AE11" s="74" t="s">
        <v>310</v>
      </c>
      <c r="AF11" s="74" t="s">
        <v>489</v>
      </c>
      <c r="AG11" s="74" t="s">
        <v>490</v>
      </c>
      <c r="AH11" s="75" t="s">
        <v>491</v>
      </c>
      <c r="AI11" s="71" t="s">
        <v>492</v>
      </c>
      <c r="AJ11" s="71" t="s">
        <v>474</v>
      </c>
      <c r="AK11" s="71" t="s">
        <v>475</v>
      </c>
      <c r="AL11" s="71" t="s">
        <v>476</v>
      </c>
      <c r="AM11" s="71" t="s">
        <v>493</v>
      </c>
      <c r="AN11" s="71" t="s">
        <v>494</v>
      </c>
      <c r="AO11" s="72" t="s">
        <v>199</v>
      </c>
      <c r="AP11" s="73" t="s">
        <v>495</v>
      </c>
      <c r="AQ11" s="74" t="s">
        <v>496</v>
      </c>
      <c r="AR11" s="74" t="s">
        <v>497</v>
      </c>
      <c r="AS11" s="74" t="s">
        <v>202</v>
      </c>
      <c r="AT11" s="76" t="s">
        <v>203</v>
      </c>
      <c r="AU11" s="75" t="s">
        <v>204</v>
      </c>
      <c r="AV11" s="71" t="s">
        <v>482</v>
      </c>
      <c r="AW11" s="77" t="s">
        <v>498</v>
      </c>
      <c r="AX11" s="74" t="s">
        <v>483</v>
      </c>
      <c r="AY11" s="76" t="s">
        <v>484</v>
      </c>
      <c r="AZ11" s="75" t="s">
        <v>209</v>
      </c>
      <c r="BA11" s="71" t="s">
        <v>499</v>
      </c>
      <c r="BB11" s="72" t="s">
        <v>500</v>
      </c>
      <c r="BC11" s="73" t="s">
        <v>501</v>
      </c>
      <c r="BD11" s="74" t="s">
        <v>502</v>
      </c>
      <c r="BE11" s="74" t="s">
        <v>503</v>
      </c>
      <c r="BF11" s="74" t="s">
        <v>504</v>
      </c>
      <c r="BG11" s="74" t="s">
        <v>505</v>
      </c>
      <c r="BH11" s="74" t="s">
        <v>506</v>
      </c>
      <c r="BI11" s="74" t="s">
        <v>507</v>
      </c>
      <c r="BJ11" s="74" t="s">
        <v>508</v>
      </c>
      <c r="BK11" s="74" t="s">
        <v>509</v>
      </c>
      <c r="BL11" s="74" t="s">
        <v>329</v>
      </c>
      <c r="BM11" s="76" t="s">
        <v>510</v>
      </c>
      <c r="BN11" s="44"/>
      <c r="BO11" s="44"/>
      <c r="BP11" s="44"/>
    </row>
    <row r="12" spans="1:135" ht="31.5" hidden="1" customHeight="1">
      <c r="B12" s="44"/>
      <c r="C12" s="44"/>
      <c r="D12" s="44"/>
      <c r="E12" s="44"/>
      <c r="F12" s="44"/>
      <c r="G12" s="44"/>
      <c r="H12" s="44"/>
      <c r="BN12" s="44"/>
      <c r="BO12" s="44"/>
      <c r="BP12" s="44"/>
    </row>
    <row r="13" spans="1:135" ht="15" customHeight="1" thickBot="1"/>
    <row r="14" spans="1:135" s="79" customFormat="1" ht="72.599999999999994" customHeight="1" thickBot="1">
      <c r="B14" s="43"/>
      <c r="C14" s="43"/>
      <c r="D14" s="43"/>
      <c r="E14" s="43"/>
      <c r="F14" s="43"/>
      <c r="G14" s="43"/>
      <c r="H14" s="43"/>
      <c r="I14" s="430" t="s">
        <v>511</v>
      </c>
      <c r="J14" s="431"/>
      <c r="K14" s="431"/>
      <c r="L14" s="431"/>
      <c r="M14" s="431"/>
      <c r="N14" s="431"/>
      <c r="O14" s="431"/>
      <c r="P14" s="431"/>
      <c r="Q14" s="431"/>
      <c r="R14" s="431"/>
      <c r="S14" s="431"/>
      <c r="T14" s="431"/>
      <c r="U14" s="431"/>
      <c r="V14" s="431"/>
      <c r="W14" s="431"/>
      <c r="X14" s="431"/>
      <c r="Y14" s="431"/>
      <c r="Z14" s="431"/>
      <c r="AA14" s="431"/>
      <c r="AB14" s="432"/>
      <c r="AC14" s="437" t="s">
        <v>512</v>
      </c>
      <c r="AD14" s="428"/>
      <c r="AE14" s="428"/>
      <c r="AF14" s="428"/>
      <c r="AG14" s="428"/>
      <c r="AH14" s="430" t="s">
        <v>513</v>
      </c>
      <c r="AI14" s="431"/>
      <c r="AJ14" s="431"/>
      <c r="AK14" s="431"/>
      <c r="AL14" s="431"/>
      <c r="AM14" s="431"/>
      <c r="AN14" s="431"/>
      <c r="AO14" s="432"/>
      <c r="AP14" s="437" t="s">
        <v>514</v>
      </c>
      <c r="AQ14" s="428"/>
      <c r="AR14" s="428"/>
      <c r="AS14" s="428"/>
      <c r="AT14" s="429"/>
      <c r="AU14" s="430" t="s">
        <v>515</v>
      </c>
      <c r="AV14" s="431"/>
      <c r="AW14" s="428" t="s">
        <v>516</v>
      </c>
      <c r="AX14" s="428"/>
      <c r="AY14" s="429"/>
      <c r="AZ14" s="430" t="s">
        <v>517</v>
      </c>
      <c r="BA14" s="431"/>
      <c r="BB14" s="432"/>
      <c r="BC14" s="437" t="s">
        <v>518</v>
      </c>
      <c r="BD14" s="428"/>
      <c r="BE14" s="428"/>
      <c r="BF14" s="428"/>
      <c r="BG14" s="428"/>
      <c r="BH14" s="428"/>
      <c r="BI14" s="428"/>
      <c r="BJ14" s="428"/>
      <c r="BK14" s="428"/>
      <c r="BL14" s="428"/>
      <c r="BM14" s="429"/>
      <c r="BN14" s="44"/>
      <c r="BO14" s="44"/>
      <c r="BP14" s="44"/>
    </row>
    <row r="15" spans="1:135" s="164" customFormat="1" ht="207.95" customHeight="1">
      <c r="A15" s="175" t="s">
        <v>9</v>
      </c>
      <c r="B15" s="175" t="s">
        <v>67</v>
      </c>
      <c r="C15" s="175" t="s">
        <v>72</v>
      </c>
      <c r="D15" s="175" t="s">
        <v>63</v>
      </c>
      <c r="E15" s="175" t="s">
        <v>65</v>
      </c>
      <c r="F15" s="175" t="s">
        <v>102</v>
      </c>
      <c r="G15" s="175" t="s">
        <v>103</v>
      </c>
      <c r="H15" s="175" t="s">
        <v>104</v>
      </c>
      <c r="I15" s="165" t="s">
        <v>3</v>
      </c>
      <c r="J15" s="166" t="s">
        <v>168</v>
      </c>
      <c r="K15" s="166" t="s">
        <v>169</v>
      </c>
      <c r="L15" s="166" t="s">
        <v>170</v>
      </c>
      <c r="M15" s="166" t="s">
        <v>171</v>
      </c>
      <c r="N15" s="166" t="s">
        <v>286</v>
      </c>
      <c r="O15" s="166" t="s">
        <v>173</v>
      </c>
      <c r="P15" s="166" t="s">
        <v>174</v>
      </c>
      <c r="Q15" s="166" t="s">
        <v>175</v>
      </c>
      <c r="R15" s="166" t="s">
        <v>292</v>
      </c>
      <c r="S15" s="166" t="s">
        <v>177</v>
      </c>
      <c r="T15" s="167" t="s">
        <v>178</v>
      </c>
      <c r="U15" s="167" t="s">
        <v>296</v>
      </c>
      <c r="V15" s="167" t="s">
        <v>188</v>
      </c>
      <c r="W15" s="167" t="s">
        <v>299</v>
      </c>
      <c r="X15" s="167" t="s">
        <v>301</v>
      </c>
      <c r="Y15" s="167" t="s">
        <v>183</v>
      </c>
      <c r="Z15" s="167" t="s">
        <v>184</v>
      </c>
      <c r="AA15" s="167" t="s">
        <v>185</v>
      </c>
      <c r="AB15" s="168" t="s">
        <v>186</v>
      </c>
      <c r="AC15" s="169" t="s">
        <v>187</v>
      </c>
      <c r="AD15" s="170" t="s">
        <v>308</v>
      </c>
      <c r="AE15" s="170" t="s">
        <v>310</v>
      </c>
      <c r="AF15" s="170" t="s">
        <v>190</v>
      </c>
      <c r="AG15" s="170" t="s">
        <v>313</v>
      </c>
      <c r="AH15" s="171" t="s">
        <v>315</v>
      </c>
      <c r="AI15" s="167" t="s">
        <v>317</v>
      </c>
      <c r="AJ15" s="167" t="s">
        <v>319</v>
      </c>
      <c r="AK15" s="167" t="s">
        <v>321</v>
      </c>
      <c r="AL15" s="167" t="s">
        <v>323</v>
      </c>
      <c r="AM15" s="167" t="s">
        <v>325</v>
      </c>
      <c r="AN15" s="167" t="s">
        <v>326</v>
      </c>
      <c r="AO15" s="168" t="s">
        <v>199</v>
      </c>
      <c r="AP15" s="169" t="s">
        <v>327</v>
      </c>
      <c r="AQ15" s="170" t="s">
        <v>200</v>
      </c>
      <c r="AR15" s="170" t="s">
        <v>201</v>
      </c>
      <c r="AS15" s="170" t="s">
        <v>202</v>
      </c>
      <c r="AT15" s="172" t="s">
        <v>203</v>
      </c>
      <c r="AU15" s="171" t="s">
        <v>204</v>
      </c>
      <c r="AV15" s="167" t="s">
        <v>205</v>
      </c>
      <c r="AW15" s="173" t="s">
        <v>206</v>
      </c>
      <c r="AX15" s="170" t="s">
        <v>207</v>
      </c>
      <c r="AY15" s="174" t="s">
        <v>208</v>
      </c>
      <c r="AZ15" s="171" t="s">
        <v>209</v>
      </c>
      <c r="BA15" s="167" t="s">
        <v>210</v>
      </c>
      <c r="BB15" s="168" t="s">
        <v>328</v>
      </c>
      <c r="BC15" s="169" t="s">
        <v>215</v>
      </c>
      <c r="BD15" s="170" t="s">
        <v>216</v>
      </c>
      <c r="BE15" s="170" t="s">
        <v>217</v>
      </c>
      <c r="BF15" s="170" t="s">
        <v>211</v>
      </c>
      <c r="BG15" s="170" t="s">
        <v>212</v>
      </c>
      <c r="BH15" s="170" t="s">
        <v>213</v>
      </c>
      <c r="BI15" s="170" t="s">
        <v>214</v>
      </c>
      <c r="BJ15" s="170" t="s">
        <v>219</v>
      </c>
      <c r="BK15" s="170" t="s">
        <v>220</v>
      </c>
      <c r="BL15" s="170" t="s">
        <v>329</v>
      </c>
      <c r="BM15" s="170" t="s">
        <v>191</v>
      </c>
      <c r="BN15" s="162"/>
      <c r="BO15" s="162"/>
      <c r="BP15" s="162"/>
      <c r="BQ15" s="163"/>
      <c r="BR15" s="163"/>
      <c r="BS15" s="163"/>
      <c r="BT15" s="163"/>
      <c r="BU15" s="163"/>
      <c r="BV15" s="163"/>
      <c r="BW15" s="163"/>
      <c r="BX15" s="163"/>
      <c r="BY15" s="163"/>
      <c r="BZ15" s="163"/>
      <c r="CA15" s="163"/>
      <c r="CB15" s="163"/>
      <c r="CC15" s="163"/>
      <c r="CD15" s="163"/>
      <c r="CE15" s="163"/>
      <c r="CF15" s="163"/>
      <c r="CG15" s="163"/>
      <c r="CH15" s="163"/>
      <c r="CI15" s="163"/>
      <c r="CJ15" s="163"/>
      <c r="CK15" s="163"/>
      <c r="CL15" s="163"/>
      <c r="CM15" s="163"/>
      <c r="CN15" s="163"/>
      <c r="CO15" s="163"/>
      <c r="CP15" s="163"/>
      <c r="CQ15" s="163"/>
      <c r="CR15" s="163"/>
      <c r="CS15" s="163"/>
      <c r="CT15" s="163"/>
      <c r="CU15" s="163"/>
      <c r="CV15" s="163"/>
      <c r="CW15" s="163"/>
      <c r="CX15" s="163"/>
      <c r="CY15" s="163"/>
      <c r="CZ15" s="163"/>
      <c r="DA15" s="163"/>
      <c r="DB15" s="163"/>
      <c r="DC15" s="163"/>
      <c r="DD15" s="163"/>
      <c r="DE15" s="163"/>
      <c r="DF15" s="163"/>
      <c r="DG15" s="163"/>
      <c r="DH15" s="163"/>
      <c r="DI15" s="163"/>
      <c r="DJ15" s="163"/>
      <c r="DK15" s="163"/>
      <c r="DL15" s="163"/>
      <c r="DM15" s="163"/>
      <c r="DN15" s="163"/>
      <c r="DO15" s="163"/>
      <c r="DP15" s="163"/>
      <c r="DQ15" s="163"/>
      <c r="DR15" s="163"/>
      <c r="DS15" s="163"/>
      <c r="DT15" s="163"/>
      <c r="DU15" s="163"/>
      <c r="DV15" s="163"/>
      <c r="DW15" s="163"/>
      <c r="DX15" s="163"/>
      <c r="DY15" s="163"/>
      <c r="DZ15" s="163"/>
      <c r="EA15" s="163"/>
      <c r="EB15" s="163"/>
      <c r="EC15" s="163"/>
      <c r="ED15" s="163"/>
      <c r="EE15" s="163"/>
    </row>
    <row r="16" spans="1:135" ht="17.100000000000001" customHeight="1">
      <c r="A16" s="118">
        <v>1</v>
      </c>
      <c r="B16" s="119" t="s">
        <v>3</v>
      </c>
      <c r="C16" s="120" t="s">
        <v>221</v>
      </c>
      <c r="D16" s="42"/>
      <c r="E16" s="117" t="str">
        <f>IF(D16="","",_xlfn.XLOOKUP(D16,Lookup!I:I,Lookup!J:J,"",0,1))</f>
        <v/>
      </c>
      <c r="F16" s="121" t="str">
        <f t="shared" ref="F16:F34" si="0">IF(ISBLANK($B$7), "", $B$7)</f>
        <v/>
      </c>
      <c r="G16" s="121" t="str">
        <f t="shared" ref="G16:G34" si="1">IF(ISBLANK($B$8), "", $B$8)</f>
        <v/>
      </c>
      <c r="H16" s="125"/>
      <c r="I16" s="87" t="s">
        <v>95</v>
      </c>
      <c r="J16" s="81"/>
      <c r="K16" s="81"/>
      <c r="L16" s="81"/>
      <c r="M16" s="81"/>
      <c r="N16" s="81"/>
      <c r="O16" s="81"/>
      <c r="P16" s="81"/>
      <c r="Q16" s="81"/>
      <c r="R16" s="81"/>
      <c r="S16" s="81"/>
      <c r="T16" s="81"/>
      <c r="U16" s="82" t="s">
        <v>95</v>
      </c>
      <c r="V16" s="81" t="s">
        <v>95</v>
      </c>
      <c r="W16" s="81" t="s">
        <v>95</v>
      </c>
      <c r="X16" s="83" t="s">
        <v>519</v>
      </c>
      <c r="Y16" s="81" t="s">
        <v>95</v>
      </c>
      <c r="Z16" s="81" t="s">
        <v>95</v>
      </c>
      <c r="AA16" s="83" t="s">
        <v>520</v>
      </c>
      <c r="AB16" s="84"/>
      <c r="AC16" s="80" t="s">
        <v>95</v>
      </c>
      <c r="AD16" s="81" t="s">
        <v>95</v>
      </c>
      <c r="AE16" s="81" t="s">
        <v>95</v>
      </c>
      <c r="AF16" s="81" t="s">
        <v>95</v>
      </c>
      <c r="AG16" s="85" t="s">
        <v>95</v>
      </c>
      <c r="AH16" s="81" t="s">
        <v>95</v>
      </c>
      <c r="AI16" s="81" t="s">
        <v>95</v>
      </c>
      <c r="AJ16" s="81" t="s">
        <v>95</v>
      </c>
      <c r="AK16" s="81" t="s">
        <v>95</v>
      </c>
      <c r="AL16" s="81" t="s">
        <v>95</v>
      </c>
      <c r="AM16" s="81" t="s">
        <v>95</v>
      </c>
      <c r="AN16" s="81" t="s">
        <v>95</v>
      </c>
      <c r="AO16" s="84" t="s">
        <v>95</v>
      </c>
      <c r="AP16" s="80" t="s">
        <v>95</v>
      </c>
      <c r="AQ16" s="81" t="s">
        <v>95</v>
      </c>
      <c r="AR16" s="81" t="s">
        <v>95</v>
      </c>
      <c r="AS16" s="82" t="s">
        <v>95</v>
      </c>
      <c r="AT16" s="86"/>
      <c r="AU16" s="80"/>
      <c r="AV16" s="81"/>
      <c r="AW16" s="87" t="s">
        <v>95</v>
      </c>
      <c r="AX16" s="81" t="s">
        <v>95</v>
      </c>
      <c r="AY16" s="84" t="s">
        <v>95</v>
      </c>
      <c r="AZ16" s="80" t="s">
        <v>95</v>
      </c>
      <c r="BA16" s="81" t="s">
        <v>95</v>
      </c>
      <c r="BB16" s="84" t="s">
        <v>95</v>
      </c>
      <c r="BC16" s="80" t="s">
        <v>95</v>
      </c>
      <c r="BD16" s="81" t="s">
        <v>95</v>
      </c>
      <c r="BE16" s="81" t="s">
        <v>95</v>
      </c>
      <c r="BF16" s="81" t="s">
        <v>95</v>
      </c>
      <c r="BG16" s="81" t="s">
        <v>95</v>
      </c>
      <c r="BH16" s="81" t="s">
        <v>95</v>
      </c>
      <c r="BI16" s="81" t="s">
        <v>95</v>
      </c>
      <c r="BJ16" s="81" t="s">
        <v>95</v>
      </c>
      <c r="BK16" s="81" t="s">
        <v>95</v>
      </c>
      <c r="BL16" s="81" t="s">
        <v>95</v>
      </c>
      <c r="BM16" s="84" t="s">
        <v>95</v>
      </c>
      <c r="BN16" s="44"/>
      <c r="BO16" s="44"/>
      <c r="BP16" s="44"/>
    </row>
    <row r="17" spans="1:68" ht="17.100000000000001" customHeight="1">
      <c r="A17" s="9">
        <v>2</v>
      </c>
      <c r="B17" s="6" t="s">
        <v>3</v>
      </c>
      <c r="C17" s="8" t="s">
        <v>224</v>
      </c>
      <c r="D17" s="42"/>
      <c r="E17" s="117" t="str">
        <f>IF(D17="","",_xlfn.XLOOKUP(D17,Lookup!I:I,Lookup!J:J,"",0,1))</f>
        <v/>
      </c>
      <c r="F17" s="121" t="str">
        <f t="shared" si="0"/>
        <v/>
      </c>
      <c r="G17" s="121" t="str">
        <f t="shared" si="1"/>
        <v/>
      </c>
      <c r="H17" s="125"/>
      <c r="I17" s="87" t="s">
        <v>95</v>
      </c>
      <c r="J17" s="81"/>
      <c r="K17" s="81"/>
      <c r="L17" s="81"/>
      <c r="M17" s="81"/>
      <c r="N17" s="81"/>
      <c r="O17" s="81"/>
      <c r="P17" s="81"/>
      <c r="Q17" s="81"/>
      <c r="R17" s="81"/>
      <c r="S17" s="81"/>
      <c r="T17" s="81"/>
      <c r="U17" s="82" t="s">
        <v>95</v>
      </c>
      <c r="V17" s="81" t="s">
        <v>95</v>
      </c>
      <c r="W17" s="81" t="s">
        <v>95</v>
      </c>
      <c r="X17" s="83" t="s">
        <v>519</v>
      </c>
      <c r="Y17" s="81" t="s">
        <v>95</v>
      </c>
      <c r="Z17" s="81" t="s">
        <v>95</v>
      </c>
      <c r="AA17" s="83" t="s">
        <v>520</v>
      </c>
      <c r="AB17" s="84"/>
      <c r="AC17" s="80" t="s">
        <v>95</v>
      </c>
      <c r="AD17" s="81" t="s">
        <v>95</v>
      </c>
      <c r="AE17" s="81" t="s">
        <v>95</v>
      </c>
      <c r="AF17" s="81" t="s">
        <v>95</v>
      </c>
      <c r="AG17" s="85" t="s">
        <v>95</v>
      </c>
      <c r="AH17" s="81" t="s">
        <v>95</v>
      </c>
      <c r="AI17" s="81" t="s">
        <v>95</v>
      </c>
      <c r="AJ17" s="81" t="s">
        <v>95</v>
      </c>
      <c r="AK17" s="81" t="s">
        <v>95</v>
      </c>
      <c r="AL17" s="81" t="s">
        <v>95</v>
      </c>
      <c r="AM17" s="81" t="s">
        <v>95</v>
      </c>
      <c r="AN17" s="81" t="s">
        <v>95</v>
      </c>
      <c r="AO17" s="84" t="s">
        <v>95</v>
      </c>
      <c r="AP17" s="80" t="s">
        <v>95</v>
      </c>
      <c r="AQ17" s="81" t="s">
        <v>95</v>
      </c>
      <c r="AR17" s="81" t="s">
        <v>95</v>
      </c>
      <c r="AS17" s="82" t="s">
        <v>95</v>
      </c>
      <c r="AT17" s="86"/>
      <c r="AU17" s="80"/>
      <c r="AV17" s="81"/>
      <c r="AW17" s="87" t="s">
        <v>95</v>
      </c>
      <c r="AX17" s="81" t="s">
        <v>95</v>
      </c>
      <c r="AY17" s="84" t="s">
        <v>95</v>
      </c>
      <c r="AZ17" s="80" t="s">
        <v>95</v>
      </c>
      <c r="BA17" s="81" t="s">
        <v>95</v>
      </c>
      <c r="BB17" s="84" t="s">
        <v>95</v>
      </c>
      <c r="BC17" s="80" t="s">
        <v>95</v>
      </c>
      <c r="BD17" s="81" t="s">
        <v>95</v>
      </c>
      <c r="BE17" s="81" t="s">
        <v>95</v>
      </c>
      <c r="BF17" s="81" t="s">
        <v>95</v>
      </c>
      <c r="BG17" s="81" t="s">
        <v>95</v>
      </c>
      <c r="BH17" s="81" t="s">
        <v>95</v>
      </c>
      <c r="BI17" s="81" t="s">
        <v>95</v>
      </c>
      <c r="BJ17" s="81" t="s">
        <v>95</v>
      </c>
      <c r="BK17" s="81" t="s">
        <v>95</v>
      </c>
      <c r="BL17" s="81" t="s">
        <v>95</v>
      </c>
      <c r="BM17" s="84" t="s">
        <v>95</v>
      </c>
      <c r="BN17" s="44"/>
      <c r="BO17" s="44"/>
      <c r="BP17" s="44"/>
    </row>
    <row r="18" spans="1:68" ht="17.100000000000001" customHeight="1">
      <c r="A18" s="9">
        <v>3</v>
      </c>
      <c r="B18" s="6" t="s">
        <v>225</v>
      </c>
      <c r="C18" s="8" t="s">
        <v>221</v>
      </c>
      <c r="D18" s="42"/>
      <c r="E18" s="117" t="str">
        <f>IF(D18="","",_xlfn.XLOOKUP(D18,Lookup!I:I,Lookup!J:J,"",0,1))</f>
        <v/>
      </c>
      <c r="F18" s="121" t="str">
        <f t="shared" si="0"/>
        <v/>
      </c>
      <c r="G18" s="121" t="str">
        <f t="shared" si="1"/>
        <v/>
      </c>
      <c r="H18" s="125"/>
      <c r="I18" s="87"/>
      <c r="J18" s="81" t="s">
        <v>95</v>
      </c>
      <c r="K18" s="81"/>
      <c r="L18" s="81"/>
      <c r="M18" s="81"/>
      <c r="N18" s="81"/>
      <c r="O18" s="81"/>
      <c r="P18" s="81"/>
      <c r="Q18" s="81"/>
      <c r="R18" s="81"/>
      <c r="S18" s="81"/>
      <c r="T18" s="81"/>
      <c r="U18" s="82" t="s">
        <v>95</v>
      </c>
      <c r="V18" s="88" t="s">
        <v>95</v>
      </c>
      <c r="W18" s="81" t="s">
        <v>95</v>
      </c>
      <c r="X18" s="83" t="s">
        <v>519</v>
      </c>
      <c r="Y18" s="81" t="s">
        <v>95</v>
      </c>
      <c r="Z18" s="81" t="s">
        <v>95</v>
      </c>
      <c r="AA18" s="83" t="s">
        <v>520</v>
      </c>
      <c r="AB18" s="89"/>
      <c r="AC18" s="80" t="s">
        <v>95</v>
      </c>
      <c r="AD18" s="88" t="s">
        <v>95</v>
      </c>
      <c r="AE18" s="81" t="s">
        <v>95</v>
      </c>
      <c r="AF18" s="88" t="s">
        <v>95</v>
      </c>
      <c r="AG18" s="90" t="s">
        <v>95</v>
      </c>
      <c r="AH18" s="91" t="s">
        <v>99</v>
      </c>
      <c r="AI18" s="91" t="s">
        <v>99</v>
      </c>
      <c r="AJ18" s="88" t="s">
        <v>95</v>
      </c>
      <c r="AK18" s="88" t="s">
        <v>95</v>
      </c>
      <c r="AL18" s="88"/>
      <c r="AM18" s="88" t="s">
        <v>95</v>
      </c>
      <c r="AN18" s="88"/>
      <c r="AO18" s="89"/>
      <c r="AP18" s="92" t="s">
        <v>95</v>
      </c>
      <c r="AQ18" s="88" t="s">
        <v>95</v>
      </c>
      <c r="AR18" s="88" t="s">
        <v>95</v>
      </c>
      <c r="AS18" s="93" t="s">
        <v>95</v>
      </c>
      <c r="AT18" s="94"/>
      <c r="AU18" s="93" t="s">
        <v>99</v>
      </c>
      <c r="AV18" s="93" t="s">
        <v>99</v>
      </c>
      <c r="AW18" s="87" t="s">
        <v>95</v>
      </c>
      <c r="AX18" s="90"/>
      <c r="AY18" s="89"/>
      <c r="AZ18" s="80" t="s">
        <v>95</v>
      </c>
      <c r="BA18" s="88" t="s">
        <v>95</v>
      </c>
      <c r="BB18" s="89" t="s">
        <v>95</v>
      </c>
      <c r="BC18" s="92" t="s">
        <v>95</v>
      </c>
      <c r="BD18" s="88" t="s">
        <v>95</v>
      </c>
      <c r="BE18" s="88" t="s">
        <v>95</v>
      </c>
      <c r="BF18" s="88" t="s">
        <v>95</v>
      </c>
      <c r="BG18" s="88" t="s">
        <v>95</v>
      </c>
      <c r="BH18" s="88" t="s">
        <v>95</v>
      </c>
      <c r="BI18" s="88" t="s">
        <v>95</v>
      </c>
      <c r="BJ18" s="88" t="s">
        <v>95</v>
      </c>
      <c r="BK18" s="81" t="s">
        <v>95</v>
      </c>
      <c r="BL18" s="81" t="s">
        <v>95</v>
      </c>
      <c r="BM18" s="89" t="s">
        <v>95</v>
      </c>
      <c r="BN18" s="44"/>
      <c r="BO18" s="44"/>
      <c r="BP18" s="44"/>
    </row>
    <row r="19" spans="1:68" ht="17.100000000000001" customHeight="1">
      <c r="A19" s="9">
        <v>4</v>
      </c>
      <c r="B19" s="6" t="s">
        <v>225</v>
      </c>
      <c r="C19" s="8" t="s">
        <v>224</v>
      </c>
      <c r="D19" s="42"/>
      <c r="E19" s="117" t="str">
        <f>IF(D19="","",_xlfn.XLOOKUP(D19,Lookup!I:I,Lookup!J:J,"",0,1))</f>
        <v/>
      </c>
      <c r="F19" s="121" t="str">
        <f t="shared" si="0"/>
        <v/>
      </c>
      <c r="G19" s="121" t="str">
        <f t="shared" si="1"/>
        <v/>
      </c>
      <c r="H19" s="125"/>
      <c r="I19" s="87"/>
      <c r="J19" s="81"/>
      <c r="K19" s="81" t="s">
        <v>95</v>
      </c>
      <c r="L19" s="81"/>
      <c r="M19" s="81"/>
      <c r="N19" s="81"/>
      <c r="O19" s="81"/>
      <c r="P19" s="81"/>
      <c r="Q19" s="81"/>
      <c r="R19" s="81"/>
      <c r="S19" s="81"/>
      <c r="T19" s="81" t="s">
        <v>95</v>
      </c>
      <c r="U19" s="82" t="s">
        <v>95</v>
      </c>
      <c r="V19" s="88" t="s">
        <v>95</v>
      </c>
      <c r="W19" s="81" t="s">
        <v>95</v>
      </c>
      <c r="X19" s="83" t="s">
        <v>519</v>
      </c>
      <c r="Y19" s="81" t="s">
        <v>95</v>
      </c>
      <c r="Z19" s="81" t="s">
        <v>95</v>
      </c>
      <c r="AA19" s="83" t="s">
        <v>520</v>
      </c>
      <c r="AB19" s="89"/>
      <c r="AC19" s="80" t="s">
        <v>95</v>
      </c>
      <c r="AD19" s="88" t="s">
        <v>95</v>
      </c>
      <c r="AE19" s="81" t="s">
        <v>95</v>
      </c>
      <c r="AF19" s="88" t="s">
        <v>95</v>
      </c>
      <c r="AG19" s="90" t="s">
        <v>95</v>
      </c>
      <c r="AH19" s="91" t="s">
        <v>99</v>
      </c>
      <c r="AI19" s="91" t="s">
        <v>99</v>
      </c>
      <c r="AJ19" s="88" t="s">
        <v>95</v>
      </c>
      <c r="AK19" s="88" t="s">
        <v>95</v>
      </c>
      <c r="AL19" s="88"/>
      <c r="AM19" s="88" t="s">
        <v>95</v>
      </c>
      <c r="AN19" s="88"/>
      <c r="AO19" s="89"/>
      <c r="AP19" s="92" t="s">
        <v>95</v>
      </c>
      <c r="AQ19" s="88" t="s">
        <v>95</v>
      </c>
      <c r="AR19" s="88" t="s">
        <v>95</v>
      </c>
      <c r="AS19" s="93" t="s">
        <v>95</v>
      </c>
      <c r="AT19" s="94"/>
      <c r="AU19" s="93" t="s">
        <v>99</v>
      </c>
      <c r="AV19" s="93" t="s">
        <v>99</v>
      </c>
      <c r="AW19" s="87" t="s">
        <v>95</v>
      </c>
      <c r="AX19" s="90"/>
      <c r="AY19" s="89"/>
      <c r="AZ19" s="80" t="s">
        <v>95</v>
      </c>
      <c r="BA19" s="88" t="s">
        <v>95</v>
      </c>
      <c r="BB19" s="89" t="s">
        <v>95</v>
      </c>
      <c r="BC19" s="92" t="s">
        <v>95</v>
      </c>
      <c r="BD19" s="88" t="s">
        <v>95</v>
      </c>
      <c r="BE19" s="88" t="s">
        <v>95</v>
      </c>
      <c r="BF19" s="88" t="s">
        <v>95</v>
      </c>
      <c r="BG19" s="88" t="s">
        <v>95</v>
      </c>
      <c r="BH19" s="88" t="s">
        <v>95</v>
      </c>
      <c r="BI19" s="88" t="s">
        <v>95</v>
      </c>
      <c r="BJ19" s="88" t="s">
        <v>95</v>
      </c>
      <c r="BK19" s="81" t="s">
        <v>95</v>
      </c>
      <c r="BL19" s="81" t="s">
        <v>95</v>
      </c>
      <c r="BM19" s="89" t="s">
        <v>95</v>
      </c>
      <c r="BN19" s="44"/>
      <c r="BO19" s="44"/>
      <c r="BP19" s="44"/>
    </row>
    <row r="20" spans="1:68" ht="17.100000000000001" customHeight="1">
      <c r="A20" s="9">
        <v>5</v>
      </c>
      <c r="B20" s="6" t="s">
        <v>227</v>
      </c>
      <c r="C20" s="8" t="s">
        <v>221</v>
      </c>
      <c r="D20" s="42"/>
      <c r="E20" s="117" t="str">
        <f>IF(D20="","",_xlfn.XLOOKUP(D20,Lookup!I:I,Lookup!J:J,"",0,1))</f>
        <v/>
      </c>
      <c r="F20" s="121" t="str">
        <f t="shared" si="0"/>
        <v/>
      </c>
      <c r="G20" s="121" t="str">
        <f t="shared" si="1"/>
        <v/>
      </c>
      <c r="H20" s="125"/>
      <c r="I20" s="87"/>
      <c r="J20" s="81"/>
      <c r="K20" s="81"/>
      <c r="L20" s="81" t="s">
        <v>95</v>
      </c>
      <c r="M20" s="81"/>
      <c r="N20" s="81"/>
      <c r="O20" s="81"/>
      <c r="P20" s="81"/>
      <c r="Q20" s="81"/>
      <c r="R20" s="81"/>
      <c r="S20" s="81"/>
      <c r="T20" s="81" t="s">
        <v>95</v>
      </c>
      <c r="U20" s="95" t="s">
        <v>95</v>
      </c>
      <c r="V20" s="88" t="s">
        <v>95</v>
      </c>
      <c r="W20" s="96"/>
      <c r="X20" s="83" t="s">
        <v>519</v>
      </c>
      <c r="Y20" s="81" t="s">
        <v>95</v>
      </c>
      <c r="Z20" s="81" t="s">
        <v>95</v>
      </c>
      <c r="AA20" s="83" t="s">
        <v>520</v>
      </c>
      <c r="AB20" s="97"/>
      <c r="AC20" s="80" t="s">
        <v>95</v>
      </c>
      <c r="AD20" s="88" t="s">
        <v>95</v>
      </c>
      <c r="AE20" s="81" t="s">
        <v>95</v>
      </c>
      <c r="AF20" s="98"/>
      <c r="AG20" s="90" t="s">
        <v>95</v>
      </c>
      <c r="AH20" s="92"/>
      <c r="AI20" s="88"/>
      <c r="AJ20" s="88"/>
      <c r="AK20" s="88"/>
      <c r="AL20" s="88"/>
      <c r="AM20" s="88"/>
      <c r="AN20" s="88"/>
      <c r="AO20" s="89"/>
      <c r="AP20" s="92" t="s">
        <v>95</v>
      </c>
      <c r="AQ20" s="88" t="s">
        <v>95</v>
      </c>
      <c r="AR20" s="88" t="s">
        <v>95</v>
      </c>
      <c r="AS20" s="93" t="s">
        <v>95</v>
      </c>
      <c r="AT20" s="153" t="s">
        <v>95</v>
      </c>
      <c r="AU20" s="93" t="s">
        <v>99</v>
      </c>
      <c r="AV20" s="93" t="s">
        <v>99</v>
      </c>
      <c r="AW20" s="87" t="s">
        <v>95</v>
      </c>
      <c r="AX20" s="90"/>
      <c r="AY20" s="97"/>
      <c r="AZ20" s="80" t="s">
        <v>95</v>
      </c>
      <c r="BA20" s="88" t="s">
        <v>95</v>
      </c>
      <c r="BB20" s="89" t="s">
        <v>95</v>
      </c>
      <c r="BC20" s="92" t="s">
        <v>95</v>
      </c>
      <c r="BD20" s="88" t="s">
        <v>95</v>
      </c>
      <c r="BE20" s="88" t="s">
        <v>95</v>
      </c>
      <c r="BF20" s="88" t="s">
        <v>95</v>
      </c>
      <c r="BG20" s="88" t="s">
        <v>95</v>
      </c>
      <c r="BH20" s="88" t="s">
        <v>95</v>
      </c>
      <c r="BI20" s="88" t="s">
        <v>95</v>
      </c>
      <c r="BJ20" s="88" t="s">
        <v>95</v>
      </c>
      <c r="BK20" s="81" t="s">
        <v>95</v>
      </c>
      <c r="BL20" s="81" t="s">
        <v>95</v>
      </c>
      <c r="BM20" s="89" t="s">
        <v>95</v>
      </c>
      <c r="BN20" s="44"/>
      <c r="BO20" s="44"/>
      <c r="BP20" s="44"/>
    </row>
    <row r="21" spans="1:68" ht="17.100000000000001" customHeight="1">
      <c r="A21" s="9">
        <v>6</v>
      </c>
      <c r="B21" s="6" t="s">
        <v>227</v>
      </c>
      <c r="C21" s="8" t="s">
        <v>224</v>
      </c>
      <c r="D21" s="42"/>
      <c r="E21" s="117" t="str">
        <f>IF(D21="","",_xlfn.XLOOKUP(D21,Lookup!I:I,Lookup!J:J,"",0,1))</f>
        <v/>
      </c>
      <c r="F21" s="121" t="str">
        <f t="shared" si="0"/>
        <v/>
      </c>
      <c r="G21" s="121" t="str">
        <f t="shared" si="1"/>
        <v/>
      </c>
      <c r="H21" s="125"/>
      <c r="I21" s="87"/>
      <c r="J21" s="81"/>
      <c r="K21" s="81"/>
      <c r="L21" s="81" t="s">
        <v>95</v>
      </c>
      <c r="M21" s="81"/>
      <c r="N21" s="81"/>
      <c r="O21" s="81"/>
      <c r="P21" s="81"/>
      <c r="Q21" s="81"/>
      <c r="R21" s="81"/>
      <c r="S21" s="81"/>
      <c r="T21" s="81" t="s">
        <v>95</v>
      </c>
      <c r="U21" s="95" t="s">
        <v>95</v>
      </c>
      <c r="V21" s="88" t="s">
        <v>95</v>
      </c>
      <c r="W21" s="96"/>
      <c r="X21" s="83" t="s">
        <v>519</v>
      </c>
      <c r="Y21" s="81" t="s">
        <v>95</v>
      </c>
      <c r="Z21" s="81" t="s">
        <v>95</v>
      </c>
      <c r="AA21" s="83" t="s">
        <v>520</v>
      </c>
      <c r="AB21" s="97"/>
      <c r="AC21" s="80" t="s">
        <v>95</v>
      </c>
      <c r="AD21" s="88" t="s">
        <v>95</v>
      </c>
      <c r="AE21" s="81" t="s">
        <v>95</v>
      </c>
      <c r="AF21" s="98"/>
      <c r="AG21" s="90" t="s">
        <v>95</v>
      </c>
      <c r="AH21" s="92"/>
      <c r="AI21" s="88"/>
      <c r="AJ21" s="88"/>
      <c r="AK21" s="88"/>
      <c r="AL21" s="88"/>
      <c r="AM21" s="88"/>
      <c r="AN21" s="88"/>
      <c r="AO21" s="89"/>
      <c r="AP21" s="92" t="s">
        <v>95</v>
      </c>
      <c r="AQ21" s="88" t="s">
        <v>95</v>
      </c>
      <c r="AR21" s="88" t="s">
        <v>95</v>
      </c>
      <c r="AS21" s="93" t="s">
        <v>95</v>
      </c>
      <c r="AT21" s="153" t="s">
        <v>95</v>
      </c>
      <c r="AU21" s="93" t="s">
        <v>99</v>
      </c>
      <c r="AV21" s="93" t="s">
        <v>99</v>
      </c>
      <c r="AW21" s="87" t="s">
        <v>95</v>
      </c>
      <c r="AX21" s="90"/>
      <c r="AY21" s="97"/>
      <c r="AZ21" s="80" t="s">
        <v>95</v>
      </c>
      <c r="BA21" s="88" t="s">
        <v>95</v>
      </c>
      <c r="BB21" s="89" t="s">
        <v>95</v>
      </c>
      <c r="BC21" s="92" t="s">
        <v>95</v>
      </c>
      <c r="BD21" s="88" t="s">
        <v>95</v>
      </c>
      <c r="BE21" s="88" t="s">
        <v>95</v>
      </c>
      <c r="BF21" s="88" t="s">
        <v>95</v>
      </c>
      <c r="BG21" s="88" t="s">
        <v>95</v>
      </c>
      <c r="BH21" s="88" t="s">
        <v>95</v>
      </c>
      <c r="BI21" s="88" t="s">
        <v>95</v>
      </c>
      <c r="BJ21" s="88" t="s">
        <v>95</v>
      </c>
      <c r="BK21" s="81" t="s">
        <v>95</v>
      </c>
      <c r="BL21" s="81" t="s">
        <v>95</v>
      </c>
      <c r="BM21" s="89" t="s">
        <v>95</v>
      </c>
      <c r="BN21" s="44"/>
      <c r="BO21" s="44"/>
      <c r="BP21" s="44"/>
    </row>
    <row r="22" spans="1:68" ht="17.100000000000001" customHeight="1">
      <c r="A22" s="9">
        <v>7</v>
      </c>
      <c r="B22" s="6" t="s">
        <v>228</v>
      </c>
      <c r="C22" s="8" t="s">
        <v>221</v>
      </c>
      <c r="D22" s="42"/>
      <c r="E22" s="117" t="str">
        <f>IF(D22="","",_xlfn.XLOOKUP(D22,Lookup!I:I,Lookup!J:J,"",0,1))</f>
        <v/>
      </c>
      <c r="F22" s="121" t="str">
        <f t="shared" si="0"/>
        <v/>
      </c>
      <c r="G22" s="121" t="str">
        <f t="shared" si="1"/>
        <v/>
      </c>
      <c r="H22" s="125"/>
      <c r="I22" s="87"/>
      <c r="J22" s="81"/>
      <c r="K22" s="81"/>
      <c r="L22" s="81"/>
      <c r="M22" s="81" t="s">
        <v>95</v>
      </c>
      <c r="N22" s="81"/>
      <c r="O22" s="81"/>
      <c r="P22" s="81"/>
      <c r="Q22" s="81"/>
      <c r="R22" s="81"/>
      <c r="S22" s="81"/>
      <c r="T22" s="81"/>
      <c r="U22" s="88"/>
      <c r="V22" s="88"/>
      <c r="W22" s="96"/>
      <c r="X22" s="83" t="s">
        <v>519</v>
      </c>
      <c r="Y22" s="81" t="s">
        <v>95</v>
      </c>
      <c r="Z22" s="81" t="s">
        <v>95</v>
      </c>
      <c r="AA22" s="83" t="s">
        <v>520</v>
      </c>
      <c r="AB22" s="97"/>
      <c r="AC22" s="80" t="s">
        <v>95</v>
      </c>
      <c r="AD22" s="88"/>
      <c r="AE22" s="81" t="s">
        <v>95</v>
      </c>
      <c r="AF22" s="88" t="s">
        <v>95</v>
      </c>
      <c r="AG22" s="90" t="s">
        <v>95</v>
      </c>
      <c r="AH22" s="92"/>
      <c r="AI22" s="88"/>
      <c r="AJ22" s="88"/>
      <c r="AK22" s="88"/>
      <c r="AL22" s="88"/>
      <c r="AM22" s="88"/>
      <c r="AN22" s="88"/>
      <c r="AO22" s="89"/>
      <c r="AP22" s="92" t="s">
        <v>95</v>
      </c>
      <c r="AQ22" s="88" t="s">
        <v>95</v>
      </c>
      <c r="AR22" s="88" t="s">
        <v>95</v>
      </c>
      <c r="AS22" s="88" t="s">
        <v>99</v>
      </c>
      <c r="AT22" s="89"/>
      <c r="AU22" s="92"/>
      <c r="AV22" s="88"/>
      <c r="AW22" s="87" t="s">
        <v>95</v>
      </c>
      <c r="AX22" s="88" t="s">
        <v>95</v>
      </c>
      <c r="AY22" s="97" t="s">
        <v>95</v>
      </c>
      <c r="AZ22" s="80" t="s">
        <v>95</v>
      </c>
      <c r="BA22" s="88" t="s">
        <v>95</v>
      </c>
      <c r="BB22" s="89" t="s">
        <v>95</v>
      </c>
      <c r="BC22" s="92" t="s">
        <v>95</v>
      </c>
      <c r="BD22" s="88" t="s">
        <v>95</v>
      </c>
      <c r="BE22" s="88" t="s">
        <v>95</v>
      </c>
      <c r="BF22" s="88" t="s">
        <v>95</v>
      </c>
      <c r="BG22" s="88" t="s">
        <v>95</v>
      </c>
      <c r="BH22" s="88" t="s">
        <v>95</v>
      </c>
      <c r="BI22" s="88" t="s">
        <v>95</v>
      </c>
      <c r="BJ22" s="88" t="s">
        <v>95</v>
      </c>
      <c r="BK22" s="81" t="s">
        <v>95</v>
      </c>
      <c r="BL22" s="81" t="s">
        <v>95</v>
      </c>
      <c r="BM22" s="89"/>
      <c r="BN22" s="44"/>
      <c r="BO22" s="44"/>
      <c r="BP22" s="44"/>
    </row>
    <row r="23" spans="1:68" ht="17.100000000000001" customHeight="1">
      <c r="A23" s="9">
        <v>8</v>
      </c>
      <c r="B23" s="6" t="s">
        <v>229</v>
      </c>
      <c r="C23" s="8" t="s">
        <v>224</v>
      </c>
      <c r="D23" s="42"/>
      <c r="E23" s="117" t="str">
        <f>IF(D23="","",_xlfn.XLOOKUP(D23,Lookup!I:I,Lookup!J:J,"",0,1))</f>
        <v/>
      </c>
      <c r="F23" s="121" t="str">
        <f t="shared" si="0"/>
        <v/>
      </c>
      <c r="G23" s="121" t="str">
        <f t="shared" si="1"/>
        <v/>
      </c>
      <c r="H23" s="125"/>
      <c r="I23" s="87"/>
      <c r="J23" s="81"/>
      <c r="K23" s="81"/>
      <c r="L23" s="81"/>
      <c r="M23" s="81"/>
      <c r="N23" s="81" t="s">
        <v>95</v>
      </c>
      <c r="O23" s="81"/>
      <c r="P23" s="81"/>
      <c r="Q23" s="81"/>
      <c r="R23" s="81"/>
      <c r="S23" s="81"/>
      <c r="T23" s="81"/>
      <c r="U23" s="88"/>
      <c r="V23" s="88"/>
      <c r="W23" s="96"/>
      <c r="X23" s="83" t="s">
        <v>519</v>
      </c>
      <c r="Y23" s="81" t="s">
        <v>95</v>
      </c>
      <c r="Z23" s="81" t="s">
        <v>95</v>
      </c>
      <c r="AA23" s="83" t="s">
        <v>520</v>
      </c>
      <c r="AB23" s="97"/>
      <c r="AC23" s="80" t="s">
        <v>95</v>
      </c>
      <c r="AD23" s="88"/>
      <c r="AE23" s="81" t="s">
        <v>95</v>
      </c>
      <c r="AF23" s="88" t="s">
        <v>95</v>
      </c>
      <c r="AG23" s="90" t="s">
        <v>95</v>
      </c>
      <c r="AH23" s="92"/>
      <c r="AI23" s="88"/>
      <c r="AJ23" s="88"/>
      <c r="AK23" s="88"/>
      <c r="AL23" s="88"/>
      <c r="AM23" s="88"/>
      <c r="AN23" s="88"/>
      <c r="AO23" s="89"/>
      <c r="AP23" s="92" t="s">
        <v>95</v>
      </c>
      <c r="AQ23" s="88" t="s">
        <v>95</v>
      </c>
      <c r="AR23" s="88" t="s">
        <v>95</v>
      </c>
      <c r="AS23" s="88" t="s">
        <v>99</v>
      </c>
      <c r="AT23" s="89"/>
      <c r="AU23" s="92"/>
      <c r="AV23" s="93"/>
      <c r="AW23" s="87" t="s">
        <v>95</v>
      </c>
      <c r="AX23" s="93" t="s">
        <v>95</v>
      </c>
      <c r="AY23" s="97" t="s">
        <v>95</v>
      </c>
      <c r="AZ23" s="80" t="s">
        <v>95</v>
      </c>
      <c r="BA23" s="88" t="s">
        <v>95</v>
      </c>
      <c r="BB23" s="89" t="s">
        <v>95</v>
      </c>
      <c r="BC23" s="92" t="s">
        <v>95</v>
      </c>
      <c r="BD23" s="88" t="s">
        <v>95</v>
      </c>
      <c r="BE23" s="88" t="s">
        <v>95</v>
      </c>
      <c r="BF23" s="88" t="s">
        <v>95</v>
      </c>
      <c r="BG23" s="88" t="s">
        <v>95</v>
      </c>
      <c r="BH23" s="88" t="s">
        <v>95</v>
      </c>
      <c r="BI23" s="88" t="s">
        <v>95</v>
      </c>
      <c r="BJ23" s="88" t="s">
        <v>95</v>
      </c>
      <c r="BK23" s="81" t="s">
        <v>95</v>
      </c>
      <c r="BL23" s="81" t="s">
        <v>95</v>
      </c>
      <c r="BM23" s="89"/>
      <c r="BN23" s="44"/>
      <c r="BO23" s="44"/>
      <c r="BP23" s="44"/>
    </row>
    <row r="24" spans="1:68" ht="17.100000000000001" customHeight="1">
      <c r="A24" s="9">
        <v>9</v>
      </c>
      <c r="B24" s="6" t="s">
        <v>230</v>
      </c>
      <c r="C24" s="8" t="s">
        <v>221</v>
      </c>
      <c r="D24" s="42"/>
      <c r="E24" s="117" t="str">
        <f>IF(D24="","",_xlfn.XLOOKUP(D24,Lookup!I:I,Lookup!J:J,"",0,1))</f>
        <v/>
      </c>
      <c r="F24" s="121" t="str">
        <f t="shared" si="0"/>
        <v/>
      </c>
      <c r="G24" s="121" t="str">
        <f t="shared" si="1"/>
        <v/>
      </c>
      <c r="H24" s="125"/>
      <c r="I24" s="87"/>
      <c r="J24" s="81"/>
      <c r="K24" s="81"/>
      <c r="L24" s="81"/>
      <c r="M24" s="81"/>
      <c r="N24" s="81"/>
      <c r="O24" s="81" t="s">
        <v>95</v>
      </c>
      <c r="P24" s="81"/>
      <c r="Q24" s="81"/>
      <c r="R24" s="81"/>
      <c r="S24" s="81"/>
      <c r="T24" s="81" t="s">
        <v>95</v>
      </c>
      <c r="U24" s="88"/>
      <c r="V24" s="88"/>
      <c r="W24" s="96"/>
      <c r="X24" s="83" t="s">
        <v>519</v>
      </c>
      <c r="Y24" s="81" t="s">
        <v>95</v>
      </c>
      <c r="Z24" s="81" t="s">
        <v>95</v>
      </c>
      <c r="AA24" s="83" t="s">
        <v>520</v>
      </c>
      <c r="AB24" s="97"/>
      <c r="AC24" s="80" t="s">
        <v>95</v>
      </c>
      <c r="AD24" s="88"/>
      <c r="AE24" s="81" t="s">
        <v>95</v>
      </c>
      <c r="AF24" s="99"/>
      <c r="AG24" s="90" t="s">
        <v>95</v>
      </c>
      <c r="AH24" s="92"/>
      <c r="AI24" s="88"/>
      <c r="AJ24" s="88"/>
      <c r="AK24" s="88"/>
      <c r="AL24" s="88"/>
      <c r="AM24" s="88"/>
      <c r="AN24" s="88"/>
      <c r="AO24" s="89"/>
      <c r="AP24" s="92" t="s">
        <v>95</v>
      </c>
      <c r="AQ24" s="88" t="s">
        <v>95</v>
      </c>
      <c r="AR24" s="88" t="s">
        <v>95</v>
      </c>
      <c r="AS24" s="88"/>
      <c r="AT24" s="89"/>
      <c r="AU24" s="92" t="s">
        <v>95</v>
      </c>
      <c r="AV24" s="88" t="s">
        <v>521</v>
      </c>
      <c r="AW24" s="87" t="s">
        <v>95</v>
      </c>
      <c r="AX24" s="100"/>
      <c r="AY24" s="153" t="s">
        <v>95</v>
      </c>
      <c r="AZ24" s="80" t="s">
        <v>95</v>
      </c>
      <c r="BA24" s="88" t="s">
        <v>95</v>
      </c>
      <c r="BB24" s="89" t="s">
        <v>95</v>
      </c>
      <c r="BC24" s="92" t="s">
        <v>95</v>
      </c>
      <c r="BD24" s="88" t="s">
        <v>95</v>
      </c>
      <c r="BE24" s="88" t="s">
        <v>95</v>
      </c>
      <c r="BF24" s="88" t="s">
        <v>95</v>
      </c>
      <c r="BG24" s="88" t="s">
        <v>95</v>
      </c>
      <c r="BH24" s="88" t="s">
        <v>95</v>
      </c>
      <c r="BI24" s="88" t="s">
        <v>95</v>
      </c>
      <c r="BJ24" s="88" t="s">
        <v>95</v>
      </c>
      <c r="BK24" s="81" t="s">
        <v>95</v>
      </c>
      <c r="BL24" s="81" t="s">
        <v>95</v>
      </c>
      <c r="BM24" s="89"/>
      <c r="BN24" s="44"/>
      <c r="BO24" s="44"/>
      <c r="BP24" s="44"/>
    </row>
    <row r="25" spans="1:68" ht="17.100000000000001" customHeight="1">
      <c r="A25" s="9">
        <v>10</v>
      </c>
      <c r="B25" s="6" t="s">
        <v>230</v>
      </c>
      <c r="C25" s="8" t="s">
        <v>224</v>
      </c>
      <c r="D25" s="42"/>
      <c r="E25" s="117" t="str">
        <f>IF(D25="","",_xlfn.XLOOKUP(D25,Lookup!I:I,Lookup!J:J,"",0,1))</f>
        <v/>
      </c>
      <c r="F25" s="121" t="str">
        <f t="shared" si="0"/>
        <v/>
      </c>
      <c r="G25" s="121" t="str">
        <f t="shared" si="1"/>
        <v/>
      </c>
      <c r="H25" s="125"/>
      <c r="I25" s="87"/>
      <c r="J25" s="81"/>
      <c r="K25" s="81"/>
      <c r="L25" s="81"/>
      <c r="M25" s="81"/>
      <c r="N25" s="81"/>
      <c r="O25" s="81" t="s">
        <v>95</v>
      </c>
      <c r="P25" s="81"/>
      <c r="Q25" s="81"/>
      <c r="R25" s="81"/>
      <c r="S25" s="81"/>
      <c r="T25" s="81" t="s">
        <v>95</v>
      </c>
      <c r="U25" s="88"/>
      <c r="V25" s="88"/>
      <c r="W25" s="96"/>
      <c r="X25" s="83" t="s">
        <v>519</v>
      </c>
      <c r="Y25" s="81" t="s">
        <v>95</v>
      </c>
      <c r="Z25" s="81" t="s">
        <v>95</v>
      </c>
      <c r="AA25" s="83" t="s">
        <v>520</v>
      </c>
      <c r="AB25" s="97"/>
      <c r="AC25" s="80" t="s">
        <v>95</v>
      </c>
      <c r="AD25" s="88"/>
      <c r="AE25" s="81" t="s">
        <v>95</v>
      </c>
      <c r="AF25" s="99"/>
      <c r="AG25" s="90" t="s">
        <v>95</v>
      </c>
      <c r="AH25" s="92"/>
      <c r="AI25" s="88"/>
      <c r="AJ25" s="88"/>
      <c r="AK25" s="88"/>
      <c r="AL25" s="88"/>
      <c r="AM25" s="88"/>
      <c r="AN25" s="88"/>
      <c r="AO25" s="89"/>
      <c r="AP25" s="92" t="s">
        <v>95</v>
      </c>
      <c r="AQ25" s="88" t="s">
        <v>95</v>
      </c>
      <c r="AR25" s="88" t="s">
        <v>95</v>
      </c>
      <c r="AS25" s="88"/>
      <c r="AT25" s="89"/>
      <c r="AU25" s="92" t="s">
        <v>95</v>
      </c>
      <c r="AV25" s="88" t="s">
        <v>521</v>
      </c>
      <c r="AW25" s="87" t="s">
        <v>95</v>
      </c>
      <c r="AX25" s="100"/>
      <c r="AY25" s="153" t="s">
        <v>95</v>
      </c>
      <c r="AZ25" s="80" t="s">
        <v>95</v>
      </c>
      <c r="BA25" s="88" t="s">
        <v>95</v>
      </c>
      <c r="BB25" s="89" t="s">
        <v>95</v>
      </c>
      <c r="BC25" s="92" t="s">
        <v>95</v>
      </c>
      <c r="BD25" s="88" t="s">
        <v>95</v>
      </c>
      <c r="BE25" s="88" t="s">
        <v>95</v>
      </c>
      <c r="BF25" s="88" t="s">
        <v>95</v>
      </c>
      <c r="BG25" s="88" t="s">
        <v>95</v>
      </c>
      <c r="BH25" s="88" t="s">
        <v>95</v>
      </c>
      <c r="BI25" s="88" t="s">
        <v>95</v>
      </c>
      <c r="BJ25" s="88" t="s">
        <v>95</v>
      </c>
      <c r="BK25" s="81" t="s">
        <v>95</v>
      </c>
      <c r="BL25" s="81" t="s">
        <v>95</v>
      </c>
      <c r="BM25" s="89"/>
      <c r="BN25" s="44"/>
      <c r="BO25" s="44"/>
      <c r="BP25" s="44"/>
    </row>
    <row r="26" spans="1:68" ht="17.100000000000001" customHeight="1">
      <c r="A26" s="9">
        <v>11</v>
      </c>
      <c r="B26" s="6" t="s">
        <v>231</v>
      </c>
      <c r="C26" s="8" t="s">
        <v>221</v>
      </c>
      <c r="D26" s="42"/>
      <c r="E26" s="117" t="str">
        <f>IF(D26="","",_xlfn.XLOOKUP(D26,Lookup!I:I,Lookup!J:J,"",0,1))</f>
        <v/>
      </c>
      <c r="F26" s="121" t="str">
        <f t="shared" si="0"/>
        <v/>
      </c>
      <c r="G26" s="121" t="str">
        <f t="shared" si="1"/>
        <v/>
      </c>
      <c r="H26" s="125"/>
      <c r="I26" s="87"/>
      <c r="J26" s="81"/>
      <c r="K26" s="81"/>
      <c r="L26" s="81"/>
      <c r="M26" s="81"/>
      <c r="N26" s="81"/>
      <c r="O26" s="82"/>
      <c r="P26" s="83" t="s">
        <v>522</v>
      </c>
      <c r="Q26" s="83" t="s">
        <v>522</v>
      </c>
      <c r="R26" s="83" t="s">
        <v>522</v>
      </c>
      <c r="S26" s="82"/>
      <c r="T26" s="101" t="s">
        <v>523</v>
      </c>
      <c r="U26" s="88"/>
      <c r="V26" s="88"/>
      <c r="W26" s="96"/>
      <c r="X26" s="83" t="s">
        <v>519</v>
      </c>
      <c r="Y26" s="81" t="s">
        <v>95</v>
      </c>
      <c r="Z26" s="81" t="s">
        <v>95</v>
      </c>
      <c r="AA26" s="83" t="s">
        <v>520</v>
      </c>
      <c r="AB26" s="102" t="s">
        <v>524</v>
      </c>
      <c r="AC26" s="80" t="s">
        <v>95</v>
      </c>
      <c r="AD26" s="88"/>
      <c r="AE26" s="81" t="s">
        <v>95</v>
      </c>
      <c r="AF26" s="99"/>
      <c r="AG26" s="90" t="s">
        <v>95</v>
      </c>
      <c r="AH26" s="92"/>
      <c r="AI26" s="88"/>
      <c r="AJ26" s="88"/>
      <c r="AK26" s="88"/>
      <c r="AL26" s="88"/>
      <c r="AM26" s="88"/>
      <c r="AN26" s="88"/>
      <c r="AO26" s="89"/>
      <c r="AP26" s="92" t="s">
        <v>95</v>
      </c>
      <c r="AQ26" s="88" t="s">
        <v>95</v>
      </c>
      <c r="AR26" s="88" t="s">
        <v>95</v>
      </c>
      <c r="AS26" s="88"/>
      <c r="AT26" s="89"/>
      <c r="AU26" s="92" t="s">
        <v>95</v>
      </c>
      <c r="AV26" s="88" t="s">
        <v>521</v>
      </c>
      <c r="AW26" s="87" t="s">
        <v>95</v>
      </c>
      <c r="AX26" s="100"/>
      <c r="AY26" s="153" t="s">
        <v>525</v>
      </c>
      <c r="AZ26" s="80" t="s">
        <v>95</v>
      </c>
      <c r="BA26" s="88" t="s">
        <v>95</v>
      </c>
      <c r="BB26" s="89" t="s">
        <v>95</v>
      </c>
      <c r="BC26" s="92" t="s">
        <v>95</v>
      </c>
      <c r="BD26" s="88" t="s">
        <v>95</v>
      </c>
      <c r="BE26" s="88" t="s">
        <v>95</v>
      </c>
      <c r="BF26" s="88" t="s">
        <v>95</v>
      </c>
      <c r="BG26" s="88" t="s">
        <v>95</v>
      </c>
      <c r="BH26" s="88" t="s">
        <v>95</v>
      </c>
      <c r="BI26" s="88" t="s">
        <v>95</v>
      </c>
      <c r="BJ26" s="88" t="s">
        <v>95</v>
      </c>
      <c r="BK26" s="81" t="s">
        <v>95</v>
      </c>
      <c r="BL26" s="81" t="s">
        <v>95</v>
      </c>
      <c r="BM26" s="89"/>
    </row>
    <row r="27" spans="1:68" ht="17.100000000000001" customHeight="1">
      <c r="A27" s="9">
        <v>12</v>
      </c>
      <c r="B27" s="6" t="s">
        <v>231</v>
      </c>
      <c r="C27" s="8" t="s">
        <v>224</v>
      </c>
      <c r="D27" s="42"/>
      <c r="E27" s="117" t="str">
        <f>IF(D27="","",_xlfn.XLOOKUP(D27,Lookup!I:I,Lookup!J:J,"",0,1))</f>
        <v/>
      </c>
      <c r="F27" s="121" t="str">
        <f t="shared" si="0"/>
        <v/>
      </c>
      <c r="G27" s="121" t="str">
        <f t="shared" si="1"/>
        <v/>
      </c>
      <c r="H27" s="125"/>
      <c r="I27" s="87"/>
      <c r="J27" s="81"/>
      <c r="K27" s="81"/>
      <c r="L27" s="81"/>
      <c r="M27" s="81"/>
      <c r="N27" s="81"/>
      <c r="O27" s="82"/>
      <c r="P27" s="83" t="s">
        <v>522</v>
      </c>
      <c r="Q27" s="83" t="s">
        <v>522</v>
      </c>
      <c r="R27" s="83" t="s">
        <v>522</v>
      </c>
      <c r="S27" s="82"/>
      <c r="T27" s="101" t="s">
        <v>523</v>
      </c>
      <c r="U27" s="88"/>
      <c r="V27" s="88"/>
      <c r="W27" s="96"/>
      <c r="X27" s="83" t="s">
        <v>519</v>
      </c>
      <c r="Y27" s="81" t="s">
        <v>95</v>
      </c>
      <c r="Z27" s="81" t="s">
        <v>95</v>
      </c>
      <c r="AA27" s="83" t="s">
        <v>520</v>
      </c>
      <c r="AB27" s="102" t="s">
        <v>524</v>
      </c>
      <c r="AC27" s="80" t="s">
        <v>95</v>
      </c>
      <c r="AD27" s="88"/>
      <c r="AE27" s="81" t="s">
        <v>95</v>
      </c>
      <c r="AF27" s="99"/>
      <c r="AG27" s="90" t="s">
        <v>95</v>
      </c>
      <c r="AH27" s="92"/>
      <c r="AI27" s="88"/>
      <c r="AJ27" s="88"/>
      <c r="AK27" s="88"/>
      <c r="AL27" s="88"/>
      <c r="AM27" s="88"/>
      <c r="AN27" s="88"/>
      <c r="AO27" s="89"/>
      <c r="AP27" s="92" t="s">
        <v>95</v>
      </c>
      <c r="AQ27" s="88" t="s">
        <v>95</v>
      </c>
      <c r="AR27" s="88" t="s">
        <v>95</v>
      </c>
      <c r="AS27" s="88"/>
      <c r="AT27" s="89"/>
      <c r="AU27" s="92" t="s">
        <v>95</v>
      </c>
      <c r="AV27" s="88" t="s">
        <v>521</v>
      </c>
      <c r="AW27" s="87" t="s">
        <v>95</v>
      </c>
      <c r="AX27" s="100"/>
      <c r="AY27" s="153" t="s">
        <v>525</v>
      </c>
      <c r="AZ27" s="80" t="s">
        <v>95</v>
      </c>
      <c r="BA27" s="88" t="s">
        <v>95</v>
      </c>
      <c r="BB27" s="89" t="s">
        <v>95</v>
      </c>
      <c r="BC27" s="92" t="s">
        <v>95</v>
      </c>
      <c r="BD27" s="88" t="s">
        <v>95</v>
      </c>
      <c r="BE27" s="88" t="s">
        <v>95</v>
      </c>
      <c r="BF27" s="88" t="s">
        <v>95</v>
      </c>
      <c r="BG27" s="88" t="s">
        <v>95</v>
      </c>
      <c r="BH27" s="88" t="s">
        <v>95</v>
      </c>
      <c r="BI27" s="88" t="s">
        <v>95</v>
      </c>
      <c r="BJ27" s="88" t="s">
        <v>95</v>
      </c>
      <c r="BK27" s="81" t="s">
        <v>95</v>
      </c>
      <c r="BL27" s="81" t="s">
        <v>95</v>
      </c>
      <c r="BM27" s="89"/>
    </row>
    <row r="28" spans="1:68" ht="17.100000000000001" customHeight="1">
      <c r="A28" s="9">
        <v>13</v>
      </c>
      <c r="B28" s="6" t="s">
        <v>231</v>
      </c>
      <c r="C28" s="8" t="s">
        <v>221</v>
      </c>
      <c r="D28" s="42"/>
      <c r="E28" s="117" t="str">
        <f>IF(D28="","",_xlfn.XLOOKUP(D28,Lookup!I:I,Lookup!J:J,"",0,1))</f>
        <v/>
      </c>
      <c r="F28" s="121" t="str">
        <f t="shared" si="0"/>
        <v/>
      </c>
      <c r="G28" s="121" t="str">
        <f t="shared" si="1"/>
        <v/>
      </c>
      <c r="H28" s="125"/>
      <c r="I28" s="87"/>
      <c r="J28" s="81"/>
      <c r="K28" s="81"/>
      <c r="L28" s="81"/>
      <c r="M28" s="81"/>
      <c r="N28" s="81"/>
      <c r="O28" s="82"/>
      <c r="P28" s="83" t="s">
        <v>522</v>
      </c>
      <c r="Q28" s="83" t="s">
        <v>522</v>
      </c>
      <c r="R28" s="83" t="s">
        <v>522</v>
      </c>
      <c r="S28" s="82"/>
      <c r="T28" s="101" t="s">
        <v>523</v>
      </c>
      <c r="U28" s="88"/>
      <c r="V28" s="88"/>
      <c r="W28" s="96"/>
      <c r="X28" s="83" t="s">
        <v>519</v>
      </c>
      <c r="Y28" s="81" t="s">
        <v>95</v>
      </c>
      <c r="Z28" s="81" t="s">
        <v>95</v>
      </c>
      <c r="AA28" s="83" t="s">
        <v>520</v>
      </c>
      <c r="AB28" s="102" t="s">
        <v>524</v>
      </c>
      <c r="AC28" s="80" t="s">
        <v>95</v>
      </c>
      <c r="AD28" s="88"/>
      <c r="AE28" s="81" t="s">
        <v>95</v>
      </c>
      <c r="AF28" s="99"/>
      <c r="AG28" s="90" t="s">
        <v>95</v>
      </c>
      <c r="AH28" s="92"/>
      <c r="AI28" s="88"/>
      <c r="AJ28" s="88"/>
      <c r="AK28" s="88"/>
      <c r="AL28" s="88"/>
      <c r="AM28" s="88"/>
      <c r="AN28" s="88"/>
      <c r="AO28" s="89"/>
      <c r="AP28" s="92" t="s">
        <v>95</v>
      </c>
      <c r="AQ28" s="88" t="s">
        <v>95</v>
      </c>
      <c r="AR28" s="88" t="s">
        <v>95</v>
      </c>
      <c r="AS28" s="88"/>
      <c r="AT28" s="89"/>
      <c r="AU28" s="92" t="s">
        <v>95</v>
      </c>
      <c r="AV28" s="88" t="s">
        <v>521</v>
      </c>
      <c r="AW28" s="87" t="s">
        <v>95</v>
      </c>
      <c r="AX28" s="100"/>
      <c r="AY28" s="153" t="s">
        <v>525</v>
      </c>
      <c r="AZ28" s="80" t="s">
        <v>95</v>
      </c>
      <c r="BA28" s="88" t="s">
        <v>95</v>
      </c>
      <c r="BB28" s="89" t="s">
        <v>95</v>
      </c>
      <c r="BC28" s="92" t="s">
        <v>95</v>
      </c>
      <c r="BD28" s="88" t="s">
        <v>95</v>
      </c>
      <c r="BE28" s="88" t="s">
        <v>95</v>
      </c>
      <c r="BF28" s="88" t="s">
        <v>95</v>
      </c>
      <c r="BG28" s="88" t="s">
        <v>95</v>
      </c>
      <c r="BH28" s="88" t="s">
        <v>95</v>
      </c>
      <c r="BI28" s="88" t="s">
        <v>95</v>
      </c>
      <c r="BJ28" s="88" t="s">
        <v>95</v>
      </c>
      <c r="BK28" s="81" t="s">
        <v>95</v>
      </c>
      <c r="BL28" s="81" t="s">
        <v>95</v>
      </c>
      <c r="BM28" s="89"/>
    </row>
    <row r="29" spans="1:68" ht="17.100000000000001" customHeight="1">
      <c r="A29" s="9">
        <v>14</v>
      </c>
      <c r="B29" s="6" t="s">
        <v>231</v>
      </c>
      <c r="C29" s="8" t="s">
        <v>224</v>
      </c>
      <c r="D29" s="42"/>
      <c r="E29" s="117" t="str">
        <f>IF(D29="","",_xlfn.XLOOKUP(D29,Lookup!I:I,Lookup!J:J,"",0,1))</f>
        <v/>
      </c>
      <c r="F29" s="121" t="str">
        <f t="shared" si="0"/>
        <v/>
      </c>
      <c r="G29" s="121" t="str">
        <f t="shared" si="1"/>
        <v/>
      </c>
      <c r="H29" s="125"/>
      <c r="I29" s="87"/>
      <c r="J29" s="81"/>
      <c r="K29" s="81"/>
      <c r="L29" s="81"/>
      <c r="M29" s="81"/>
      <c r="N29" s="81"/>
      <c r="O29" s="82"/>
      <c r="P29" s="83" t="s">
        <v>522</v>
      </c>
      <c r="Q29" s="83" t="s">
        <v>522</v>
      </c>
      <c r="R29" s="83" t="s">
        <v>522</v>
      </c>
      <c r="S29" s="82"/>
      <c r="T29" s="101" t="s">
        <v>523</v>
      </c>
      <c r="U29" s="88"/>
      <c r="V29" s="88"/>
      <c r="W29" s="96"/>
      <c r="X29" s="83" t="s">
        <v>519</v>
      </c>
      <c r="Y29" s="81" t="s">
        <v>95</v>
      </c>
      <c r="Z29" s="81" t="s">
        <v>95</v>
      </c>
      <c r="AA29" s="83" t="s">
        <v>520</v>
      </c>
      <c r="AB29" s="102" t="s">
        <v>524</v>
      </c>
      <c r="AC29" s="80" t="s">
        <v>95</v>
      </c>
      <c r="AD29" s="88"/>
      <c r="AE29" s="81" t="s">
        <v>95</v>
      </c>
      <c r="AF29" s="99"/>
      <c r="AG29" s="90" t="s">
        <v>95</v>
      </c>
      <c r="AH29" s="92"/>
      <c r="AI29" s="88"/>
      <c r="AJ29" s="88"/>
      <c r="AK29" s="88"/>
      <c r="AL29" s="88"/>
      <c r="AM29" s="88"/>
      <c r="AN29" s="88"/>
      <c r="AO29" s="89"/>
      <c r="AP29" s="92" t="s">
        <v>95</v>
      </c>
      <c r="AQ29" s="88" t="s">
        <v>95</v>
      </c>
      <c r="AR29" s="88" t="s">
        <v>95</v>
      </c>
      <c r="AS29" s="88"/>
      <c r="AT29" s="89"/>
      <c r="AU29" s="92" t="s">
        <v>95</v>
      </c>
      <c r="AV29" s="88" t="s">
        <v>521</v>
      </c>
      <c r="AW29" s="87" t="s">
        <v>95</v>
      </c>
      <c r="AX29" s="100"/>
      <c r="AY29" s="153" t="s">
        <v>525</v>
      </c>
      <c r="AZ29" s="80" t="s">
        <v>95</v>
      </c>
      <c r="BA29" s="88" t="s">
        <v>95</v>
      </c>
      <c r="BB29" s="89" t="s">
        <v>95</v>
      </c>
      <c r="BC29" s="92" t="s">
        <v>95</v>
      </c>
      <c r="BD29" s="88" t="s">
        <v>95</v>
      </c>
      <c r="BE29" s="88" t="s">
        <v>95</v>
      </c>
      <c r="BF29" s="88" t="s">
        <v>95</v>
      </c>
      <c r="BG29" s="88" t="s">
        <v>95</v>
      </c>
      <c r="BH29" s="88" t="s">
        <v>95</v>
      </c>
      <c r="BI29" s="88" t="s">
        <v>95</v>
      </c>
      <c r="BJ29" s="88" t="s">
        <v>95</v>
      </c>
      <c r="BK29" s="81" t="s">
        <v>95</v>
      </c>
      <c r="BL29" s="81" t="s">
        <v>95</v>
      </c>
      <c r="BM29" s="89"/>
    </row>
    <row r="30" spans="1:68" ht="17.100000000000001" customHeight="1">
      <c r="A30" s="9">
        <v>15</v>
      </c>
      <c r="B30" s="6" t="s">
        <v>231</v>
      </c>
      <c r="C30" s="8" t="s">
        <v>221</v>
      </c>
      <c r="D30" s="42"/>
      <c r="E30" s="117" t="str">
        <f>IF(D30="","",_xlfn.XLOOKUP(D30,Lookup!I:I,Lookup!J:J,"",0,1))</f>
        <v/>
      </c>
      <c r="F30" s="121" t="str">
        <f t="shared" si="0"/>
        <v/>
      </c>
      <c r="G30" s="121" t="str">
        <f t="shared" si="1"/>
        <v/>
      </c>
      <c r="H30" s="125"/>
      <c r="I30" s="87"/>
      <c r="J30" s="81"/>
      <c r="K30" s="81"/>
      <c r="L30" s="81"/>
      <c r="M30" s="81"/>
      <c r="N30" s="81"/>
      <c r="O30" s="82"/>
      <c r="P30" s="83" t="s">
        <v>522</v>
      </c>
      <c r="Q30" s="83" t="s">
        <v>522</v>
      </c>
      <c r="R30" s="83" t="s">
        <v>522</v>
      </c>
      <c r="S30" s="82"/>
      <c r="T30" s="101" t="s">
        <v>523</v>
      </c>
      <c r="U30" s="88"/>
      <c r="V30" s="88"/>
      <c r="W30" s="96"/>
      <c r="X30" s="83" t="s">
        <v>519</v>
      </c>
      <c r="Y30" s="81" t="s">
        <v>95</v>
      </c>
      <c r="Z30" s="81" t="s">
        <v>95</v>
      </c>
      <c r="AA30" s="83" t="s">
        <v>520</v>
      </c>
      <c r="AB30" s="102" t="s">
        <v>524</v>
      </c>
      <c r="AC30" s="80" t="s">
        <v>95</v>
      </c>
      <c r="AD30" s="88"/>
      <c r="AE30" s="81" t="s">
        <v>95</v>
      </c>
      <c r="AF30" s="99"/>
      <c r="AG30" s="90" t="s">
        <v>95</v>
      </c>
      <c r="AH30" s="92"/>
      <c r="AI30" s="88"/>
      <c r="AJ30" s="88"/>
      <c r="AK30" s="88"/>
      <c r="AL30" s="88"/>
      <c r="AM30" s="88"/>
      <c r="AN30" s="88"/>
      <c r="AO30" s="89"/>
      <c r="AP30" s="92" t="s">
        <v>95</v>
      </c>
      <c r="AQ30" s="88" t="s">
        <v>95</v>
      </c>
      <c r="AR30" s="88" t="s">
        <v>95</v>
      </c>
      <c r="AS30" s="88"/>
      <c r="AT30" s="89"/>
      <c r="AU30" s="92" t="s">
        <v>95</v>
      </c>
      <c r="AV30" s="88" t="s">
        <v>521</v>
      </c>
      <c r="AW30" s="87" t="s">
        <v>95</v>
      </c>
      <c r="AX30" s="100"/>
      <c r="AY30" s="153" t="s">
        <v>525</v>
      </c>
      <c r="AZ30" s="80" t="s">
        <v>95</v>
      </c>
      <c r="BA30" s="88" t="s">
        <v>95</v>
      </c>
      <c r="BB30" s="89" t="s">
        <v>95</v>
      </c>
      <c r="BC30" s="92" t="s">
        <v>95</v>
      </c>
      <c r="BD30" s="88" t="s">
        <v>95</v>
      </c>
      <c r="BE30" s="88" t="s">
        <v>95</v>
      </c>
      <c r="BF30" s="88" t="s">
        <v>95</v>
      </c>
      <c r="BG30" s="88" t="s">
        <v>95</v>
      </c>
      <c r="BH30" s="88" t="s">
        <v>95</v>
      </c>
      <c r="BI30" s="88" t="s">
        <v>95</v>
      </c>
      <c r="BJ30" s="88" t="s">
        <v>95</v>
      </c>
      <c r="BK30" s="81" t="s">
        <v>95</v>
      </c>
      <c r="BL30" s="81" t="s">
        <v>95</v>
      </c>
      <c r="BM30" s="89"/>
    </row>
    <row r="31" spans="1:68" ht="16.899999999999999" customHeight="1">
      <c r="A31" s="9">
        <v>16</v>
      </c>
      <c r="B31" s="6" t="s">
        <v>231</v>
      </c>
      <c r="C31" s="8" t="s">
        <v>224</v>
      </c>
      <c r="D31" s="42"/>
      <c r="E31" s="117" t="str">
        <f>IF(D31="","",_xlfn.XLOOKUP(D31,Lookup!I:I,Lookup!J:J,"",0,1))</f>
        <v/>
      </c>
      <c r="F31" s="121" t="str">
        <f t="shared" si="0"/>
        <v/>
      </c>
      <c r="G31" s="121" t="str">
        <f t="shared" si="1"/>
        <v/>
      </c>
      <c r="H31" s="125"/>
      <c r="I31" s="87"/>
      <c r="J31" s="81"/>
      <c r="K31" s="81"/>
      <c r="L31" s="81"/>
      <c r="M31" s="81"/>
      <c r="N31" s="81"/>
      <c r="O31" s="82"/>
      <c r="P31" s="83" t="s">
        <v>522</v>
      </c>
      <c r="Q31" s="83" t="s">
        <v>522</v>
      </c>
      <c r="R31" s="83" t="s">
        <v>522</v>
      </c>
      <c r="S31" s="82"/>
      <c r="T31" s="101" t="s">
        <v>523</v>
      </c>
      <c r="U31" s="88"/>
      <c r="V31" s="88"/>
      <c r="W31" s="96"/>
      <c r="X31" s="83" t="s">
        <v>519</v>
      </c>
      <c r="Y31" s="81" t="s">
        <v>95</v>
      </c>
      <c r="Z31" s="81" t="s">
        <v>95</v>
      </c>
      <c r="AA31" s="83" t="s">
        <v>520</v>
      </c>
      <c r="AB31" s="102" t="s">
        <v>524</v>
      </c>
      <c r="AC31" s="80" t="s">
        <v>95</v>
      </c>
      <c r="AD31" s="88"/>
      <c r="AE31" s="81" t="s">
        <v>95</v>
      </c>
      <c r="AF31" s="99"/>
      <c r="AG31" s="90" t="s">
        <v>95</v>
      </c>
      <c r="AH31" s="92"/>
      <c r="AI31" s="88"/>
      <c r="AJ31" s="88"/>
      <c r="AK31" s="88"/>
      <c r="AL31" s="88"/>
      <c r="AM31" s="88"/>
      <c r="AN31" s="88"/>
      <c r="AO31" s="89"/>
      <c r="AP31" s="92" t="s">
        <v>95</v>
      </c>
      <c r="AQ31" s="88" t="s">
        <v>95</v>
      </c>
      <c r="AR31" s="88" t="s">
        <v>95</v>
      </c>
      <c r="AS31" s="88"/>
      <c r="AT31" s="89"/>
      <c r="AU31" s="92" t="s">
        <v>95</v>
      </c>
      <c r="AV31" s="88" t="s">
        <v>521</v>
      </c>
      <c r="AW31" s="87" t="s">
        <v>95</v>
      </c>
      <c r="AX31" s="100"/>
      <c r="AY31" s="153" t="s">
        <v>525</v>
      </c>
      <c r="AZ31" s="80" t="s">
        <v>95</v>
      </c>
      <c r="BA31" s="88" t="s">
        <v>95</v>
      </c>
      <c r="BB31" s="89" t="s">
        <v>95</v>
      </c>
      <c r="BC31" s="92" t="s">
        <v>95</v>
      </c>
      <c r="BD31" s="88" t="s">
        <v>95</v>
      </c>
      <c r="BE31" s="88" t="s">
        <v>95</v>
      </c>
      <c r="BF31" s="88" t="s">
        <v>95</v>
      </c>
      <c r="BG31" s="88" t="s">
        <v>95</v>
      </c>
      <c r="BH31" s="88" t="s">
        <v>95</v>
      </c>
      <c r="BI31" s="88" t="s">
        <v>95</v>
      </c>
      <c r="BJ31" s="88" t="s">
        <v>95</v>
      </c>
      <c r="BK31" s="81" t="s">
        <v>95</v>
      </c>
      <c r="BL31" s="81" t="s">
        <v>95</v>
      </c>
      <c r="BM31" s="89"/>
    </row>
    <row r="32" spans="1:68" ht="17.100000000000001" customHeight="1">
      <c r="A32" s="9">
        <v>15</v>
      </c>
      <c r="B32" s="6" t="s">
        <v>230</v>
      </c>
      <c r="C32" s="8" t="s">
        <v>221</v>
      </c>
      <c r="D32" s="42"/>
      <c r="E32" s="117" t="str">
        <f>IF(D32="","",_xlfn.XLOOKUP(D32,Lookup!I:I,Lookup!J:J,"",0,1))</f>
        <v/>
      </c>
      <c r="F32" s="121" t="str">
        <f t="shared" si="0"/>
        <v/>
      </c>
      <c r="G32" s="121" t="str">
        <f t="shared" si="1"/>
        <v/>
      </c>
      <c r="H32" s="125"/>
      <c r="I32" s="87"/>
      <c r="J32" s="81"/>
      <c r="K32" s="81"/>
      <c r="L32" s="81"/>
      <c r="M32" s="81"/>
      <c r="N32" s="81"/>
      <c r="O32" s="81" t="s">
        <v>95</v>
      </c>
      <c r="P32" s="81"/>
      <c r="Q32" s="81"/>
      <c r="R32" s="81"/>
      <c r="S32" s="81"/>
      <c r="T32" s="81" t="s">
        <v>95</v>
      </c>
      <c r="U32" s="88"/>
      <c r="V32" s="88"/>
      <c r="W32" s="96"/>
      <c r="X32" s="83" t="s">
        <v>519</v>
      </c>
      <c r="Y32" s="81" t="s">
        <v>95</v>
      </c>
      <c r="Z32" s="81" t="s">
        <v>95</v>
      </c>
      <c r="AA32" s="83" t="s">
        <v>520</v>
      </c>
      <c r="AB32" s="97"/>
      <c r="AC32" s="80" t="s">
        <v>95</v>
      </c>
      <c r="AD32" s="88"/>
      <c r="AE32" s="81" t="s">
        <v>95</v>
      </c>
      <c r="AF32" s="99"/>
      <c r="AG32" s="90" t="s">
        <v>95</v>
      </c>
      <c r="AH32" s="92"/>
      <c r="AI32" s="88"/>
      <c r="AJ32" s="88"/>
      <c r="AK32" s="88"/>
      <c r="AL32" s="88"/>
      <c r="AM32" s="88"/>
      <c r="AN32" s="88"/>
      <c r="AO32" s="89"/>
      <c r="AP32" s="92" t="s">
        <v>95</v>
      </c>
      <c r="AQ32" s="88" t="s">
        <v>95</v>
      </c>
      <c r="AR32" s="88" t="s">
        <v>95</v>
      </c>
      <c r="AS32" s="88"/>
      <c r="AT32" s="89"/>
      <c r="AU32" s="92" t="s">
        <v>95</v>
      </c>
      <c r="AV32" s="88" t="s">
        <v>521</v>
      </c>
      <c r="AW32" s="87" t="s">
        <v>95</v>
      </c>
      <c r="AX32" s="100"/>
      <c r="AY32" s="153" t="s">
        <v>95</v>
      </c>
      <c r="AZ32" s="80" t="s">
        <v>95</v>
      </c>
      <c r="BA32" s="88" t="s">
        <v>95</v>
      </c>
      <c r="BB32" s="89" t="s">
        <v>95</v>
      </c>
      <c r="BC32" s="92" t="s">
        <v>95</v>
      </c>
      <c r="BD32" s="88" t="s">
        <v>95</v>
      </c>
      <c r="BE32" s="88" t="s">
        <v>95</v>
      </c>
      <c r="BF32" s="88" t="s">
        <v>95</v>
      </c>
      <c r="BG32" s="88" t="s">
        <v>95</v>
      </c>
      <c r="BH32" s="88" t="s">
        <v>95</v>
      </c>
      <c r="BI32" s="88" t="s">
        <v>95</v>
      </c>
      <c r="BJ32" s="88" t="s">
        <v>95</v>
      </c>
      <c r="BK32" s="81" t="s">
        <v>95</v>
      </c>
      <c r="BL32" s="81" t="s">
        <v>95</v>
      </c>
      <c r="BM32" s="89"/>
      <c r="BN32" s="44"/>
      <c r="BO32" s="44"/>
      <c r="BP32" s="44"/>
    </row>
    <row r="33" spans="1:135" ht="17.100000000000001" customHeight="1">
      <c r="A33" s="9">
        <v>16</v>
      </c>
      <c r="B33" s="6" t="s">
        <v>230</v>
      </c>
      <c r="C33" s="8" t="s">
        <v>224</v>
      </c>
      <c r="D33" s="42"/>
      <c r="E33" s="117" t="str">
        <f>IF(D33="","",_xlfn.XLOOKUP(D33,Lookup!I:I,Lookup!J:J,"",0,1))</f>
        <v/>
      </c>
      <c r="F33" s="121" t="str">
        <f t="shared" si="0"/>
        <v/>
      </c>
      <c r="G33" s="121" t="str">
        <f t="shared" si="1"/>
        <v/>
      </c>
      <c r="H33" s="125"/>
      <c r="I33" s="87"/>
      <c r="J33" s="81"/>
      <c r="K33" s="81"/>
      <c r="L33" s="81"/>
      <c r="M33" s="81"/>
      <c r="N33" s="81"/>
      <c r="O33" s="81" t="s">
        <v>95</v>
      </c>
      <c r="P33" s="81"/>
      <c r="Q33" s="81"/>
      <c r="R33" s="81"/>
      <c r="S33" s="81"/>
      <c r="T33" s="81" t="s">
        <v>95</v>
      </c>
      <c r="U33" s="88"/>
      <c r="V33" s="88"/>
      <c r="W33" s="96"/>
      <c r="X33" s="83" t="s">
        <v>519</v>
      </c>
      <c r="Y33" s="81" t="s">
        <v>95</v>
      </c>
      <c r="Z33" s="81" t="s">
        <v>95</v>
      </c>
      <c r="AA33" s="83" t="s">
        <v>520</v>
      </c>
      <c r="AB33" s="97"/>
      <c r="AC33" s="80" t="s">
        <v>95</v>
      </c>
      <c r="AD33" s="88"/>
      <c r="AE33" s="81" t="s">
        <v>95</v>
      </c>
      <c r="AF33" s="99"/>
      <c r="AG33" s="90" t="s">
        <v>95</v>
      </c>
      <c r="AH33" s="92"/>
      <c r="AI33" s="88"/>
      <c r="AJ33" s="88"/>
      <c r="AK33" s="88"/>
      <c r="AL33" s="88"/>
      <c r="AM33" s="88"/>
      <c r="AN33" s="88"/>
      <c r="AO33" s="89"/>
      <c r="AP33" s="92" t="s">
        <v>95</v>
      </c>
      <c r="AQ33" s="88" t="s">
        <v>95</v>
      </c>
      <c r="AR33" s="88" t="s">
        <v>95</v>
      </c>
      <c r="AS33" s="88"/>
      <c r="AT33" s="89"/>
      <c r="AU33" s="92" t="s">
        <v>95</v>
      </c>
      <c r="AV33" s="88" t="s">
        <v>521</v>
      </c>
      <c r="AW33" s="87" t="s">
        <v>95</v>
      </c>
      <c r="AX33" s="100"/>
      <c r="AY33" s="153" t="s">
        <v>95</v>
      </c>
      <c r="AZ33" s="80" t="s">
        <v>95</v>
      </c>
      <c r="BA33" s="88" t="s">
        <v>95</v>
      </c>
      <c r="BB33" s="89" t="s">
        <v>95</v>
      </c>
      <c r="BC33" s="92" t="s">
        <v>95</v>
      </c>
      <c r="BD33" s="88" t="s">
        <v>95</v>
      </c>
      <c r="BE33" s="88" t="s">
        <v>95</v>
      </c>
      <c r="BF33" s="88" t="s">
        <v>95</v>
      </c>
      <c r="BG33" s="88" t="s">
        <v>95</v>
      </c>
      <c r="BH33" s="88" t="s">
        <v>95</v>
      </c>
      <c r="BI33" s="88" t="s">
        <v>95</v>
      </c>
      <c r="BJ33" s="88" t="s">
        <v>95</v>
      </c>
      <c r="BK33" s="81" t="s">
        <v>95</v>
      </c>
      <c r="BL33" s="81" t="s">
        <v>95</v>
      </c>
      <c r="BM33" s="89"/>
      <c r="BN33" s="44"/>
      <c r="BO33" s="44"/>
      <c r="BP33" s="44"/>
    </row>
    <row r="34" spans="1:135" ht="17.100000000000001" customHeight="1" thickBot="1">
      <c r="A34" s="9">
        <v>17</v>
      </c>
      <c r="B34" s="7" t="s">
        <v>236</v>
      </c>
      <c r="C34" s="8" t="s">
        <v>237</v>
      </c>
      <c r="D34" s="42"/>
      <c r="E34" s="117" t="str">
        <f>IF(D34="","",_xlfn.XLOOKUP(D34,Lookup!I:I,Lookup!J:J,"",0,1))</f>
        <v/>
      </c>
      <c r="F34" s="121" t="str">
        <f t="shared" si="0"/>
        <v/>
      </c>
      <c r="G34" s="121" t="str">
        <f t="shared" si="1"/>
        <v/>
      </c>
      <c r="H34" s="125"/>
      <c r="I34" s="116"/>
      <c r="J34" s="104"/>
      <c r="K34" s="104"/>
      <c r="L34" s="104"/>
      <c r="M34" s="104"/>
      <c r="N34" s="104"/>
      <c r="O34" s="105"/>
      <c r="P34" s="105"/>
      <c r="Q34" s="105"/>
      <c r="R34" s="105"/>
      <c r="S34" s="105" t="s">
        <v>95</v>
      </c>
      <c r="T34" s="104"/>
      <c r="U34" s="106"/>
      <c r="V34" s="106"/>
      <c r="W34" s="107"/>
      <c r="X34" s="108" t="s">
        <v>519</v>
      </c>
      <c r="Y34" s="104" t="s">
        <v>95</v>
      </c>
      <c r="Z34" s="104" t="s">
        <v>95</v>
      </c>
      <c r="AA34" s="108" t="s">
        <v>520</v>
      </c>
      <c r="AB34" s="109"/>
      <c r="AC34" s="103" t="s">
        <v>95</v>
      </c>
      <c r="AD34" s="106"/>
      <c r="AE34" s="104"/>
      <c r="AF34" s="110"/>
      <c r="AG34" s="111"/>
      <c r="AH34" s="112"/>
      <c r="AI34" s="106"/>
      <c r="AJ34" s="106"/>
      <c r="AK34" s="106"/>
      <c r="AL34" s="106"/>
      <c r="AM34" s="106"/>
      <c r="AN34" s="106"/>
      <c r="AO34" s="113"/>
      <c r="AP34" s="112"/>
      <c r="AQ34" s="106"/>
      <c r="AR34" s="106"/>
      <c r="AS34" s="106"/>
      <c r="AT34" s="113"/>
      <c r="AU34" s="112"/>
      <c r="AV34" s="106"/>
      <c r="AW34" s="114" t="s">
        <v>95</v>
      </c>
      <c r="AX34" s="111"/>
      <c r="AY34" s="109"/>
      <c r="AZ34" s="103" t="s">
        <v>95</v>
      </c>
      <c r="BA34" s="106" t="s">
        <v>95</v>
      </c>
      <c r="BB34" s="113" t="s">
        <v>95</v>
      </c>
      <c r="BC34" s="112" t="s">
        <v>95</v>
      </c>
      <c r="BD34" s="106" t="s">
        <v>95</v>
      </c>
      <c r="BE34" s="106" t="s">
        <v>95</v>
      </c>
      <c r="BF34" s="106" t="s">
        <v>95</v>
      </c>
      <c r="BG34" s="106" t="s">
        <v>95</v>
      </c>
      <c r="BH34" s="106" t="s">
        <v>95</v>
      </c>
      <c r="BI34" s="106" t="s">
        <v>95</v>
      </c>
      <c r="BJ34" s="106" t="s">
        <v>95</v>
      </c>
      <c r="BK34" s="106" t="s">
        <v>95</v>
      </c>
      <c r="BL34" s="106" t="s">
        <v>95</v>
      </c>
      <c r="BM34" s="113"/>
    </row>
    <row r="35" spans="1:135" ht="17.100000000000001"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row>
    <row r="36" spans="1:135" ht="17.100000000000001"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row>
    <row r="37" spans="1:135" ht="17.100000000000001"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row>
    <row r="38" spans="1:135" ht="15" customHeight="1" thickBot="1">
      <c r="D38" s="19"/>
      <c r="E38" s="19"/>
      <c r="F38" s="19"/>
      <c r="G38" s="19"/>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row>
    <row r="39" spans="1:135" ht="15.75" thickBot="1">
      <c r="D39" s="19"/>
      <c r="E39" s="19"/>
      <c r="F39" s="19"/>
      <c r="G39" s="19"/>
      <c r="I39" s="122" t="s">
        <v>238</v>
      </c>
      <c r="J39" s="123"/>
      <c r="K39" s="123"/>
      <c r="L39" s="123"/>
      <c r="M39" s="123"/>
      <c r="N39" s="124"/>
      <c r="AW39" s="115"/>
      <c r="AX39" s="115"/>
    </row>
    <row r="40" spans="1:135" ht="177.6" customHeight="1">
      <c r="D40" s="19"/>
      <c r="E40" s="19"/>
      <c r="F40" s="19"/>
      <c r="G40" s="19"/>
      <c r="I40" s="180" t="s">
        <v>526</v>
      </c>
      <c r="J40" s="438" t="s">
        <v>240</v>
      </c>
      <c r="K40" s="438"/>
      <c r="L40" s="181" t="s">
        <v>241</v>
      </c>
      <c r="M40" s="182" t="s">
        <v>221</v>
      </c>
      <c r="N40" s="183" t="s">
        <v>224</v>
      </c>
    </row>
    <row r="41" spans="1:135" ht="93" customHeight="1">
      <c r="D41" s="19"/>
      <c r="E41" s="19"/>
      <c r="F41" s="19"/>
      <c r="G41" s="19"/>
      <c r="I41" s="448">
        <v>1</v>
      </c>
      <c r="J41" s="433" t="s">
        <v>527</v>
      </c>
      <c r="K41" s="434"/>
      <c r="L41" s="176" t="s">
        <v>243</v>
      </c>
      <c r="M41" s="441" t="s">
        <v>244</v>
      </c>
      <c r="N41" s="442"/>
    </row>
    <row r="42" spans="1:135" ht="57" customHeight="1">
      <c r="D42" s="19"/>
      <c r="E42" s="19"/>
      <c r="F42" s="19"/>
      <c r="G42" s="19"/>
      <c r="I42" s="448"/>
      <c r="J42" s="435"/>
      <c r="K42" s="436"/>
      <c r="L42" s="176" t="s">
        <v>67</v>
      </c>
      <c r="M42" s="441" t="s">
        <v>231</v>
      </c>
      <c r="N42" s="442"/>
    </row>
    <row r="43" spans="1:135" ht="57" customHeight="1">
      <c r="D43" s="19"/>
      <c r="E43" s="19"/>
      <c r="F43" s="19"/>
      <c r="G43" s="19"/>
      <c r="I43" s="448">
        <v>2</v>
      </c>
      <c r="J43" s="433" t="str">
        <f>T15</f>
        <v>Certificate of Safety Training (COST)</v>
      </c>
      <c r="K43" s="434"/>
      <c r="L43" s="176" t="s">
        <v>243</v>
      </c>
      <c r="M43" s="441" t="s">
        <v>528</v>
      </c>
      <c r="N43" s="442"/>
    </row>
    <row r="44" spans="1:135" ht="57" customHeight="1">
      <c r="D44" s="19"/>
      <c r="E44" s="19"/>
      <c r="F44" s="19"/>
      <c r="G44" s="19"/>
      <c r="I44" s="448"/>
      <c r="J44" s="435"/>
      <c r="K44" s="436"/>
      <c r="L44" s="176" t="s">
        <v>67</v>
      </c>
      <c r="M44" s="441" t="s">
        <v>231</v>
      </c>
      <c r="N44" s="442"/>
    </row>
    <row r="45" spans="1:135" ht="57" customHeight="1">
      <c r="D45" s="19"/>
      <c r="E45" s="19"/>
      <c r="F45" s="19"/>
      <c r="G45" s="19"/>
      <c r="I45" s="448">
        <v>3</v>
      </c>
      <c r="J45" s="433" t="str">
        <f>X15</f>
        <v>Proficiency in fast rescue boats—STCW Regulation VI/2 Code A -VI/2 table A-VI/2-2</v>
      </c>
      <c r="K45" s="434"/>
      <c r="L45" s="176" t="s">
        <v>243</v>
      </c>
      <c r="M45" s="441">
        <v>4</v>
      </c>
      <c r="N45" s="442"/>
    </row>
    <row r="46" spans="1:135" ht="57" customHeight="1">
      <c r="D46" s="19"/>
      <c r="E46" s="19"/>
      <c r="F46" s="19"/>
      <c r="G46" s="19"/>
      <c r="I46" s="448"/>
      <c r="J46" s="435"/>
      <c r="K46" s="436"/>
      <c r="L46" s="176" t="s">
        <v>67</v>
      </c>
      <c r="M46" s="441" t="s">
        <v>248</v>
      </c>
      <c r="N46" s="442"/>
    </row>
    <row r="47" spans="1:135" s="78" customFormat="1" ht="57" customHeight="1">
      <c r="B47" s="43"/>
      <c r="D47" s="19"/>
      <c r="E47" s="19"/>
      <c r="F47" s="19"/>
      <c r="G47" s="19"/>
      <c r="I47" s="448">
        <v>4</v>
      </c>
      <c r="J47" s="433" t="str">
        <f>AA15</f>
        <v>Adv Resuscitation and Oxygen Therapy - HLTIAD015</v>
      </c>
      <c r="K47" s="434"/>
      <c r="L47" s="176" t="s">
        <v>243</v>
      </c>
      <c r="M47" s="177">
        <v>2</v>
      </c>
      <c r="N47" s="177">
        <v>2</v>
      </c>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c r="CS47" s="43"/>
      <c r="CT47" s="43"/>
      <c r="CU47" s="43"/>
      <c r="CV47" s="43"/>
      <c r="CW47" s="43"/>
      <c r="CX47" s="43"/>
      <c r="CY47" s="43"/>
      <c r="CZ47" s="43"/>
      <c r="DA47" s="43"/>
      <c r="DB47" s="43"/>
      <c r="DC47" s="43"/>
      <c r="DD47" s="43"/>
      <c r="DE47" s="43"/>
      <c r="DF47" s="43"/>
      <c r="DG47" s="43"/>
      <c r="DH47" s="43"/>
      <c r="DI47" s="43"/>
      <c r="DJ47" s="43"/>
      <c r="DK47" s="43"/>
      <c r="DL47" s="43"/>
      <c r="DM47" s="43"/>
      <c r="DN47" s="43"/>
      <c r="DO47" s="43"/>
      <c r="DP47" s="43"/>
      <c r="DQ47" s="43"/>
      <c r="DR47" s="43"/>
      <c r="DS47" s="43"/>
      <c r="DT47" s="43"/>
      <c r="DU47" s="43"/>
      <c r="DV47" s="43"/>
      <c r="DW47" s="43"/>
      <c r="DX47" s="43"/>
      <c r="DY47" s="43"/>
      <c r="DZ47" s="43"/>
      <c r="EA47" s="43"/>
      <c r="EB47" s="43"/>
      <c r="EC47" s="43"/>
      <c r="ED47" s="43"/>
      <c r="EE47" s="43"/>
    </row>
    <row r="48" spans="1:135" s="78" customFormat="1" ht="57" customHeight="1">
      <c r="B48" s="43"/>
      <c r="D48" s="19"/>
      <c r="E48" s="19"/>
      <c r="F48" s="19"/>
      <c r="G48" s="19"/>
      <c r="I48" s="448"/>
      <c r="J48" s="435"/>
      <c r="K48" s="436"/>
      <c r="L48" s="176" t="s">
        <v>67</v>
      </c>
      <c r="M48" s="441" t="s">
        <v>248</v>
      </c>
      <c r="N48" s="442"/>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c r="CS48" s="43"/>
      <c r="CT48" s="43"/>
      <c r="CU48" s="43"/>
      <c r="CV48" s="43"/>
      <c r="CW48" s="43"/>
      <c r="CX48" s="43"/>
      <c r="CY48" s="43"/>
      <c r="CZ48" s="43"/>
      <c r="DA48" s="43"/>
      <c r="DB48" s="43"/>
      <c r="DC48" s="43"/>
      <c r="DD48" s="43"/>
      <c r="DE48" s="43"/>
      <c r="DF48" s="43"/>
      <c r="DG48" s="43"/>
      <c r="DH48" s="43"/>
      <c r="DI48" s="43"/>
      <c r="DJ48" s="43"/>
      <c r="DK48" s="43"/>
      <c r="DL48" s="43"/>
      <c r="DM48" s="43"/>
      <c r="DN48" s="43"/>
      <c r="DO48" s="43"/>
      <c r="DP48" s="43"/>
      <c r="DQ48" s="43"/>
      <c r="DR48" s="43"/>
      <c r="DS48" s="43"/>
      <c r="DT48" s="43"/>
      <c r="DU48" s="43"/>
      <c r="DV48" s="43"/>
      <c r="DW48" s="43"/>
      <c r="DX48" s="43"/>
      <c r="DY48" s="43"/>
      <c r="DZ48" s="43"/>
      <c r="EA48" s="43"/>
      <c r="EB48" s="43"/>
      <c r="EC48" s="43"/>
      <c r="ED48" s="43"/>
      <c r="EE48" s="43"/>
    </row>
    <row r="49" spans="2:135" s="78" customFormat="1" ht="57" customHeight="1">
      <c r="B49" s="43"/>
      <c r="D49" s="19"/>
      <c r="E49" s="19"/>
      <c r="F49" s="19"/>
      <c r="G49" s="19"/>
      <c r="I49" s="448">
        <v>5</v>
      </c>
      <c r="J49" s="433" t="str">
        <f>AB15</f>
        <v>Use hygienic practices for food safety - SITXFSA005</v>
      </c>
      <c r="K49" s="434"/>
      <c r="L49" s="176" t="s">
        <v>243</v>
      </c>
      <c r="M49" s="177">
        <v>1</v>
      </c>
      <c r="N49" s="177">
        <v>1</v>
      </c>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43"/>
      <c r="DT49" s="43"/>
      <c r="DU49" s="43"/>
      <c r="DV49" s="43"/>
      <c r="DW49" s="43"/>
      <c r="DX49" s="43"/>
      <c r="DY49" s="43"/>
      <c r="DZ49" s="43"/>
      <c r="EA49" s="43"/>
      <c r="EB49" s="43"/>
      <c r="EC49" s="43"/>
      <c r="ED49" s="43"/>
      <c r="EE49" s="43"/>
    </row>
    <row r="50" spans="2:135" s="78" customFormat="1" ht="57" customHeight="1">
      <c r="B50" s="43"/>
      <c r="D50" s="19"/>
      <c r="E50" s="19"/>
      <c r="F50" s="19"/>
      <c r="G50" s="19"/>
      <c r="I50" s="448"/>
      <c r="J50" s="435"/>
      <c r="K50" s="436"/>
      <c r="L50" s="176" t="s">
        <v>67</v>
      </c>
      <c r="M50" s="177" t="s">
        <v>231</v>
      </c>
      <c r="N50" s="177" t="s">
        <v>231</v>
      </c>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c r="CT50" s="43"/>
      <c r="CU50" s="43"/>
      <c r="CV50" s="43"/>
      <c r="CW50" s="43"/>
      <c r="CX50" s="43"/>
      <c r="CY50" s="43"/>
      <c r="CZ50" s="43"/>
      <c r="DA50" s="43"/>
      <c r="DB50" s="43"/>
      <c r="DC50" s="43"/>
      <c r="DD50" s="43"/>
      <c r="DE50" s="43"/>
      <c r="DF50" s="43"/>
      <c r="DG50" s="43"/>
      <c r="DH50" s="43"/>
      <c r="DI50" s="43"/>
      <c r="DJ50" s="43"/>
      <c r="DK50" s="43"/>
      <c r="DL50" s="43"/>
      <c r="DM50" s="43"/>
      <c r="DN50" s="43"/>
      <c r="DO50" s="43"/>
      <c r="DP50" s="43"/>
      <c r="DQ50" s="43"/>
      <c r="DR50" s="43"/>
      <c r="DS50" s="43"/>
      <c r="DT50" s="43"/>
      <c r="DU50" s="43"/>
      <c r="DV50" s="43"/>
      <c r="DW50" s="43"/>
      <c r="DX50" s="43"/>
      <c r="DY50" s="43"/>
      <c r="DZ50" s="43"/>
      <c r="EA50" s="43"/>
      <c r="EB50" s="43"/>
      <c r="EC50" s="43"/>
      <c r="ED50" s="43"/>
      <c r="EE50" s="43"/>
    </row>
    <row r="51" spans="2:135" s="78" customFormat="1" ht="57" customHeight="1">
      <c r="B51" s="43"/>
      <c r="D51" s="19"/>
      <c r="E51" s="19"/>
      <c r="F51" s="19"/>
      <c r="G51" s="19"/>
      <c r="I51" s="448">
        <v>6</v>
      </c>
      <c r="J51" s="433" t="str">
        <f>AV15</f>
        <v>HRWL - Vehicle loading crane (CV)</v>
      </c>
      <c r="K51" s="434"/>
      <c r="L51" s="176" t="s">
        <v>243</v>
      </c>
      <c r="M51" s="177">
        <v>2</v>
      </c>
      <c r="N51" s="177">
        <v>2</v>
      </c>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W51" s="43"/>
      <c r="CX51" s="43"/>
      <c r="CY51" s="43"/>
      <c r="CZ51" s="43"/>
      <c r="DA51" s="43"/>
      <c r="DB51" s="43"/>
      <c r="DC51" s="43"/>
      <c r="DD51" s="43"/>
      <c r="DE51" s="43"/>
      <c r="DF51" s="43"/>
      <c r="DG51" s="43"/>
      <c r="DH51" s="43"/>
      <c r="DI51" s="43"/>
      <c r="DJ51" s="43"/>
      <c r="DK51" s="43"/>
      <c r="DL51" s="43"/>
      <c r="DM51" s="43"/>
      <c r="DN51" s="43"/>
      <c r="DO51" s="43"/>
      <c r="DP51" s="43"/>
      <c r="DQ51" s="43"/>
      <c r="DR51" s="43"/>
      <c r="DS51" s="43"/>
      <c r="DT51" s="43"/>
      <c r="DU51" s="43"/>
      <c r="DV51" s="43"/>
      <c r="DW51" s="43"/>
      <c r="DX51" s="43"/>
      <c r="DY51" s="43"/>
      <c r="DZ51" s="43"/>
      <c r="EA51" s="43"/>
      <c r="EB51" s="43"/>
      <c r="EC51" s="43"/>
      <c r="ED51" s="43"/>
      <c r="EE51" s="43"/>
    </row>
    <row r="52" spans="2:135" s="78" customFormat="1" ht="57" customHeight="1">
      <c r="B52" s="43"/>
      <c r="D52" s="19"/>
      <c r="E52" s="19"/>
      <c r="F52" s="19"/>
      <c r="G52" s="19"/>
      <c r="I52" s="448"/>
      <c r="J52" s="435"/>
      <c r="K52" s="436"/>
      <c r="L52" s="176" t="s">
        <v>67</v>
      </c>
      <c r="M52" s="177" t="s">
        <v>529</v>
      </c>
      <c r="N52" s="177" t="s">
        <v>529</v>
      </c>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c r="CJ52" s="43"/>
      <c r="CK52" s="43"/>
      <c r="CL52" s="43"/>
      <c r="CM52" s="43"/>
      <c r="CN52" s="43"/>
      <c r="CO52" s="43"/>
      <c r="CP52" s="43"/>
      <c r="CQ52" s="43"/>
      <c r="CR52" s="43"/>
      <c r="CS52" s="43"/>
      <c r="CT52" s="43"/>
      <c r="CU52" s="43"/>
      <c r="CV52" s="43"/>
      <c r="CW52" s="43"/>
      <c r="CX52" s="43"/>
      <c r="CY52" s="43"/>
      <c r="CZ52" s="43"/>
      <c r="DA52" s="43"/>
      <c r="DB52" s="43"/>
      <c r="DC52" s="43"/>
      <c r="DD52" s="43"/>
      <c r="DE52" s="43"/>
      <c r="DF52" s="43"/>
      <c r="DG52" s="43"/>
      <c r="DH52" s="43"/>
      <c r="DI52" s="43"/>
      <c r="DJ52" s="43"/>
      <c r="DK52" s="43"/>
      <c r="DL52" s="43"/>
      <c r="DM52" s="43"/>
      <c r="DN52" s="43"/>
      <c r="DO52" s="43"/>
      <c r="DP52" s="43"/>
      <c r="DQ52" s="43"/>
      <c r="DR52" s="43"/>
      <c r="DS52" s="43"/>
      <c r="DT52" s="43"/>
      <c r="DU52" s="43"/>
      <c r="DV52" s="43"/>
      <c r="DW52" s="43"/>
      <c r="DX52" s="43"/>
      <c r="DY52" s="43"/>
      <c r="DZ52" s="43"/>
      <c r="EA52" s="43"/>
      <c r="EB52" s="43"/>
      <c r="EC52" s="43"/>
      <c r="ED52" s="43"/>
      <c r="EE52" s="43"/>
    </row>
    <row r="53" spans="2:135" s="78" customFormat="1" ht="57" customHeight="1">
      <c r="B53" s="43"/>
      <c r="D53" s="19"/>
      <c r="E53" s="19"/>
      <c r="F53" s="19"/>
      <c r="G53" s="19"/>
      <c r="I53" s="439" t="s">
        <v>530</v>
      </c>
      <c r="J53" s="451" t="str">
        <f>AY15</f>
        <v xml:space="preserve">Work Safely at Heights - RIIWHS204E </v>
      </c>
      <c r="K53" s="452"/>
      <c r="L53" s="178" t="s">
        <v>243</v>
      </c>
      <c r="M53" s="179">
        <v>1</v>
      </c>
      <c r="N53" s="179">
        <v>1</v>
      </c>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c r="CJ53" s="43"/>
      <c r="CK53" s="43"/>
      <c r="CL53" s="43"/>
      <c r="CM53" s="43"/>
      <c r="CN53" s="43"/>
      <c r="CO53" s="43"/>
      <c r="CP53" s="43"/>
      <c r="CQ53" s="43"/>
      <c r="CR53" s="43"/>
      <c r="CS53" s="43"/>
      <c r="CT53" s="43"/>
      <c r="CU53" s="43"/>
      <c r="CV53" s="43"/>
      <c r="CW53" s="43"/>
      <c r="CX53" s="43"/>
      <c r="CY53" s="43"/>
      <c r="CZ53" s="43"/>
      <c r="DA53" s="43"/>
      <c r="DB53" s="43"/>
      <c r="DC53" s="43"/>
      <c r="DD53" s="43"/>
      <c r="DE53" s="43"/>
      <c r="DF53" s="43"/>
      <c r="DG53" s="43"/>
      <c r="DH53" s="43"/>
      <c r="DI53" s="43"/>
      <c r="DJ53" s="43"/>
      <c r="DK53" s="43"/>
      <c r="DL53" s="43"/>
      <c r="DM53" s="43"/>
      <c r="DN53" s="43"/>
      <c r="DO53" s="43"/>
      <c r="DP53" s="43"/>
      <c r="DQ53" s="43"/>
      <c r="DR53" s="43"/>
      <c r="DS53" s="43"/>
      <c r="DT53" s="43"/>
      <c r="DU53" s="43"/>
      <c r="DV53" s="43"/>
      <c r="DW53" s="43"/>
      <c r="DX53" s="43"/>
      <c r="DY53" s="43"/>
      <c r="DZ53" s="43"/>
      <c r="EA53" s="43"/>
      <c r="EB53" s="43"/>
      <c r="EC53" s="43"/>
      <c r="ED53" s="43"/>
      <c r="EE53" s="43"/>
    </row>
    <row r="54" spans="2:135" s="78" customFormat="1" ht="57" customHeight="1">
      <c r="B54" s="43"/>
      <c r="D54" s="19"/>
      <c r="E54" s="19"/>
      <c r="F54" s="19"/>
      <c r="G54" s="19"/>
      <c r="I54" s="439"/>
      <c r="J54" s="453"/>
      <c r="K54" s="454"/>
      <c r="L54" s="178" t="s">
        <v>67</v>
      </c>
      <c r="M54" s="179" t="s">
        <v>231</v>
      </c>
      <c r="N54" s="179" t="s">
        <v>231</v>
      </c>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3"/>
      <c r="DH54" s="43"/>
      <c r="DI54" s="43"/>
      <c r="DJ54" s="43"/>
      <c r="DK54" s="43"/>
      <c r="DL54" s="43"/>
      <c r="DM54" s="43"/>
      <c r="DN54" s="43"/>
      <c r="DO54" s="43"/>
      <c r="DP54" s="43"/>
      <c r="DQ54" s="43"/>
      <c r="DR54" s="43"/>
      <c r="DS54" s="43"/>
      <c r="DT54" s="43"/>
      <c r="DU54" s="43"/>
      <c r="DV54" s="43"/>
      <c r="DW54" s="43"/>
      <c r="DX54" s="43"/>
      <c r="DY54" s="43"/>
      <c r="DZ54" s="43"/>
      <c r="EA54" s="43"/>
      <c r="EB54" s="43"/>
      <c r="EC54" s="43"/>
      <c r="ED54" s="43"/>
      <c r="EE54" s="43"/>
    </row>
    <row r="55" spans="2:135" ht="15">
      <c r="D55" s="19"/>
      <c r="E55" s="19"/>
      <c r="F55" s="19"/>
      <c r="G55" s="19"/>
    </row>
    <row r="56" spans="2:135" ht="15">
      <c r="D56" s="19"/>
      <c r="E56" s="19"/>
      <c r="F56" s="19"/>
      <c r="G56" s="19"/>
    </row>
    <row r="57" spans="2:135" ht="15">
      <c r="D57" s="19"/>
      <c r="E57" s="19"/>
      <c r="F57" s="19"/>
      <c r="G57" s="19"/>
    </row>
    <row r="58" spans="2:135" ht="15">
      <c r="D58" s="19"/>
      <c r="E58" s="19"/>
      <c r="F58" s="19"/>
      <c r="G58" s="19"/>
    </row>
    <row r="59" spans="2:135" ht="15">
      <c r="D59" s="19"/>
      <c r="E59" s="19"/>
      <c r="F59" s="19"/>
      <c r="G59" s="19"/>
    </row>
    <row r="60" spans="2:135" ht="15">
      <c r="D60" s="19"/>
      <c r="E60" s="19"/>
      <c r="F60" s="19"/>
      <c r="G60" s="19"/>
    </row>
    <row r="61" spans="2:135" ht="15">
      <c r="D61" s="19"/>
      <c r="E61" s="19"/>
      <c r="F61" s="19"/>
      <c r="G61" s="19"/>
    </row>
    <row r="62" spans="2:135" ht="15">
      <c r="D62" s="19"/>
      <c r="E62" s="19"/>
      <c r="F62" s="19"/>
      <c r="G62" s="19"/>
    </row>
    <row r="63" spans="2:135" ht="15">
      <c r="D63" s="19"/>
      <c r="E63" s="19"/>
      <c r="F63" s="19"/>
      <c r="G63" s="19"/>
    </row>
    <row r="64" spans="2:135" ht="15">
      <c r="D64" s="19"/>
      <c r="E64" s="19"/>
      <c r="F64" s="19"/>
      <c r="G64" s="19"/>
    </row>
    <row r="65" spans="4:7" ht="15">
      <c r="D65" s="19"/>
      <c r="E65" s="19"/>
      <c r="F65" s="19"/>
      <c r="G65" s="19"/>
    </row>
    <row r="66" spans="4:7" ht="15">
      <c r="D66" s="19"/>
      <c r="E66" s="19"/>
      <c r="F66" s="19"/>
      <c r="G66" s="19"/>
    </row>
    <row r="67" spans="4:7" ht="15">
      <c r="D67" s="19"/>
      <c r="E67" s="19"/>
      <c r="F67" s="19"/>
      <c r="G67" s="19"/>
    </row>
    <row r="68" spans="4:7" ht="15">
      <c r="D68" s="19"/>
      <c r="E68" s="19"/>
      <c r="F68" s="19"/>
      <c r="G68" s="19"/>
    </row>
    <row r="69" spans="4:7" ht="15">
      <c r="D69" s="19"/>
      <c r="E69" s="19"/>
      <c r="F69" s="19"/>
      <c r="G69" s="19"/>
    </row>
    <row r="70" spans="4:7" ht="15">
      <c r="D70" s="19"/>
      <c r="E70" s="19"/>
      <c r="F70" s="19"/>
      <c r="G70" s="19"/>
    </row>
    <row r="71" spans="4:7" ht="15">
      <c r="D71" s="19"/>
      <c r="E71" s="19"/>
      <c r="F71" s="19"/>
      <c r="G71" s="19"/>
    </row>
    <row r="72" spans="4:7" ht="15">
      <c r="D72" s="19"/>
      <c r="E72" s="19"/>
      <c r="F72" s="19"/>
      <c r="G72" s="19"/>
    </row>
    <row r="73" spans="4:7" ht="15">
      <c r="D73" s="19"/>
      <c r="E73" s="19"/>
      <c r="F73" s="19"/>
      <c r="G73" s="19"/>
    </row>
    <row r="74" spans="4:7" ht="15">
      <c r="D74" s="19"/>
      <c r="E74" s="19"/>
      <c r="F74" s="19"/>
      <c r="G74" s="19"/>
    </row>
    <row r="75" spans="4:7" ht="15">
      <c r="D75" s="19"/>
      <c r="E75" s="19"/>
      <c r="F75" s="19"/>
      <c r="G75" s="19"/>
    </row>
    <row r="76" spans="4:7" ht="15">
      <c r="D76" s="19"/>
      <c r="E76" s="19"/>
      <c r="F76" s="19"/>
      <c r="G76" s="19"/>
    </row>
    <row r="77" spans="4:7" ht="15">
      <c r="D77" s="19"/>
      <c r="E77" s="19"/>
      <c r="F77" s="19"/>
      <c r="G77" s="19"/>
    </row>
    <row r="78" spans="4:7" ht="15">
      <c r="D78" s="19"/>
      <c r="E78" s="19"/>
      <c r="F78" s="19"/>
      <c r="G78" s="19"/>
    </row>
    <row r="79" spans="4:7" ht="15">
      <c r="D79" s="19"/>
      <c r="E79" s="19"/>
      <c r="F79" s="19"/>
      <c r="G79" s="19"/>
    </row>
    <row r="80" spans="4:7" ht="15">
      <c r="D80" s="19"/>
      <c r="E80" s="19"/>
      <c r="F80" s="19"/>
      <c r="G80" s="19"/>
    </row>
    <row r="81" spans="4:7" ht="15">
      <c r="D81" s="19"/>
      <c r="E81" s="19"/>
      <c r="F81" s="19"/>
      <c r="G81" s="19"/>
    </row>
    <row r="82" spans="4:7" ht="15">
      <c r="D82" s="19"/>
      <c r="E82" s="19"/>
      <c r="F82" s="19"/>
      <c r="G82" s="19"/>
    </row>
    <row r="83" spans="4:7" ht="15">
      <c r="D83" s="19"/>
      <c r="E83" s="19"/>
      <c r="F83" s="19"/>
      <c r="G83" s="19"/>
    </row>
  </sheetData>
  <autoFilter ref="A15:EE15" xr:uid="{1D943B26-A7A3-49FC-B236-8688D8CF6103}"/>
  <mergeCells count="35">
    <mergeCell ref="J49:K50"/>
    <mergeCell ref="J53:K54"/>
    <mergeCell ref="J51:K52"/>
    <mergeCell ref="I41:I42"/>
    <mergeCell ref="I14:AB14"/>
    <mergeCell ref="I45:I46"/>
    <mergeCell ref="I53:I54"/>
    <mergeCell ref="I47:I48"/>
    <mergeCell ref="I49:I50"/>
    <mergeCell ref="I51:I52"/>
    <mergeCell ref="D7:D8"/>
    <mergeCell ref="A2:BM2"/>
    <mergeCell ref="M45:N45"/>
    <mergeCell ref="M46:N46"/>
    <mergeCell ref="M48:N48"/>
    <mergeCell ref="I6:K6"/>
    <mergeCell ref="M41:N41"/>
    <mergeCell ref="M42:N42"/>
    <mergeCell ref="M43:N43"/>
    <mergeCell ref="M44:N44"/>
    <mergeCell ref="J41:K42"/>
    <mergeCell ref="J43:K44"/>
    <mergeCell ref="J7:K7"/>
    <mergeCell ref="BC14:BM14"/>
    <mergeCell ref="I43:I44"/>
    <mergeCell ref="J8:K8"/>
    <mergeCell ref="AW14:AY14"/>
    <mergeCell ref="AZ14:BB14"/>
    <mergeCell ref="J45:K46"/>
    <mergeCell ref="J47:K48"/>
    <mergeCell ref="AU14:AV14"/>
    <mergeCell ref="AH14:AO14"/>
    <mergeCell ref="AP14:AT14"/>
    <mergeCell ref="J40:K40"/>
    <mergeCell ref="AC14:AG14"/>
  </mergeCells>
  <conditionalFormatting sqref="B5">
    <cfRule type="containsBlanks" dxfId="5" priority="3">
      <formula>LEN(TRIM(B5))=0</formula>
    </cfRule>
  </conditionalFormatting>
  <conditionalFormatting sqref="B7">
    <cfRule type="containsBlanks" dxfId="4" priority="4">
      <formula>LEN(TRIM(B7))=0</formula>
    </cfRule>
  </conditionalFormatting>
  <conditionalFormatting sqref="D16:D34">
    <cfRule type="containsBlanks" dxfId="3" priority="2">
      <formula>LEN(TRIM(D16))=0</formula>
    </cfRule>
  </conditionalFormatting>
  <conditionalFormatting sqref="I16:AA34">
    <cfRule type="containsBlanks" dxfId="2" priority="6">
      <formula>LEN(TRIM(I16))=0</formula>
    </cfRule>
  </conditionalFormatting>
  <conditionalFormatting sqref="AB16:BM17 AB18:AV25 AC26:AV31 AB32:AV34">
    <cfRule type="containsBlanks" dxfId="1" priority="7">
      <formula>LEN(TRIM(AB16))=0</formula>
    </cfRule>
  </conditionalFormatting>
  <conditionalFormatting sqref="AW18:BM34">
    <cfRule type="containsBlanks" dxfId="0" priority="1">
      <formula>LEN(TRIM(AW18))=0</formula>
    </cfRule>
  </conditionalFormatting>
  <dataValidations count="7">
    <dataValidation type="list" allowBlank="1" showInputMessage="1" showErrorMessage="1" sqref="B5" xr:uid="{751B95D3-6CC9-4B75-A27D-09898C5994ED}">
      <formula1>PartnershipList</formula1>
    </dataValidation>
    <dataValidation type="list" allowBlank="1" showInputMessage="1" showErrorMessage="1" sqref="D16:D34" xr:uid="{FD880552-64A2-4382-A39B-335D1DECCF0A}">
      <formula1>NameListMatrix</formula1>
    </dataValidation>
    <dataValidation allowBlank="1" showInputMessage="1" showErrorMessage="1" prompt="This field will auto populate with crew change from date, manually alter this field to the correct date if different" sqref="F15:G15" xr:uid="{98C95CB3-AAA2-43A6-B003-BE174651A069}"/>
    <dataValidation allowBlank="1" showInputMessage="1" showErrorMessage="1" prompt="This field will auto populate with crew change to date, manually alter this field to the correct date if different" sqref="G15" xr:uid="{7DC8E581-8CA6-4B18-9E44-8BF5B1EFD034}"/>
    <dataValidation allowBlank="1" showInputMessage="1" showErrorMessage="1" prompt="&gt; delete row if Assistant Engineer" sqref="A30" xr:uid="{022B7AEB-6FEC-456A-AE2C-0BC72409FD81}"/>
    <dataValidation allowBlank="1" showInputMessage="1" showErrorMessage="1" prompt="Delete row if Assistant Engineer" sqref="A31" xr:uid="{D8D0EF30-4F6B-473C-977D-F802744D942E}"/>
    <dataValidation allowBlank="1" showInputMessage="1" showErrorMessage="1" prompt="Delete row if GPH" sqref="A32:A33" xr:uid="{B9BAF565-E0DD-4A1F-85B0-AFF02E8E5DC1}"/>
  </dataValidations>
  <printOptions horizontalCentered="1"/>
  <pageMargins left="0.19685039370078741" right="0.19685039370078741" top="0.39370078740157483" bottom="0.39370078740157483" header="0.31496062992125984" footer="0.19685039370078741"/>
  <pageSetup paperSize="8" scale="49" orientation="landscape" r:id="rId1"/>
  <headerFooter>
    <oddFooter>&amp;L&amp;"Century Gothic,Bold"&amp;10ISSUE DATE: 04/04/2024&amp;C&amp;"Century Gothic,Bold"&amp;10MRM-ATB-REG-0001&amp;R&amp;"Century Gothic,Bold"&amp;10PAGE &amp;P OF &amp;N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EE34E-164F-4DBA-9301-0F5767429203}">
  <sheetPr>
    <tabColor theme="7"/>
  </sheetPr>
  <dimension ref="A1:G20"/>
  <sheetViews>
    <sheetView workbookViewId="0">
      <selection activeCell="U8" sqref="U8"/>
    </sheetView>
  </sheetViews>
  <sheetFormatPr defaultRowHeight="15"/>
  <cols>
    <col min="1" max="1" width="16.28515625" bestFit="1" customWidth="1"/>
    <col min="2" max="2" width="10.140625" customWidth="1"/>
    <col min="3" max="3" width="10.42578125" customWidth="1"/>
    <col min="4" max="4" width="37.28515625" bestFit="1" customWidth="1"/>
    <col min="7" max="7" width="9.7109375" bestFit="1" customWidth="1"/>
  </cols>
  <sheetData>
    <row r="1" spans="1:7">
      <c r="A1" s="16" t="s">
        <v>67</v>
      </c>
      <c r="B1" s="16" t="s">
        <v>256</v>
      </c>
      <c r="C1" s="16" t="s">
        <v>72</v>
      </c>
      <c r="D1" s="16" t="s">
        <v>531</v>
      </c>
    </row>
    <row r="2" spans="1:7">
      <c r="A2" s="6" t="s">
        <v>3</v>
      </c>
      <c r="B2" s="9">
        <v>1</v>
      </c>
      <c r="C2" s="8" t="s">
        <v>221</v>
      </c>
      <c r="D2" s="8"/>
      <c r="F2" s="8" t="s">
        <v>221</v>
      </c>
      <c r="G2" s="8" t="s">
        <v>532</v>
      </c>
    </row>
    <row r="3" spans="1:7">
      <c r="A3" s="6" t="s">
        <v>3</v>
      </c>
      <c r="B3" s="9">
        <v>2</v>
      </c>
      <c r="C3" s="8" t="s">
        <v>224</v>
      </c>
      <c r="D3" s="8"/>
      <c r="F3" s="8" t="s">
        <v>224</v>
      </c>
      <c r="G3" s="8" t="s">
        <v>533</v>
      </c>
    </row>
    <row r="4" spans="1:7">
      <c r="A4" s="6" t="s">
        <v>225</v>
      </c>
      <c r="B4" s="9">
        <v>3</v>
      </c>
      <c r="C4" s="8" t="s">
        <v>221</v>
      </c>
      <c r="D4" s="8"/>
    </row>
    <row r="5" spans="1:7">
      <c r="A5" s="6" t="s">
        <v>225</v>
      </c>
      <c r="B5" s="9">
        <v>4</v>
      </c>
      <c r="C5" s="8" t="s">
        <v>224</v>
      </c>
      <c r="D5" s="8"/>
    </row>
    <row r="6" spans="1:7">
      <c r="A6" s="6" t="s">
        <v>227</v>
      </c>
      <c r="B6" s="9">
        <v>5</v>
      </c>
      <c r="C6" s="8" t="s">
        <v>221</v>
      </c>
      <c r="D6" s="8"/>
    </row>
    <row r="7" spans="1:7">
      <c r="A7" s="6" t="s">
        <v>227</v>
      </c>
      <c r="B7" s="9">
        <v>6</v>
      </c>
      <c r="C7" s="8" t="s">
        <v>224</v>
      </c>
      <c r="D7" s="8"/>
    </row>
    <row r="8" spans="1:7">
      <c r="A8" s="6" t="s">
        <v>228</v>
      </c>
      <c r="B8" s="9">
        <v>7</v>
      </c>
      <c r="C8" s="8" t="s">
        <v>221</v>
      </c>
      <c r="D8" s="8"/>
    </row>
    <row r="9" spans="1:7">
      <c r="A9" s="6" t="s">
        <v>229</v>
      </c>
      <c r="B9" s="9">
        <v>8</v>
      </c>
      <c r="C9" s="8" t="s">
        <v>224</v>
      </c>
      <c r="D9" s="8"/>
    </row>
    <row r="10" spans="1:7">
      <c r="A10" s="6" t="s">
        <v>230</v>
      </c>
      <c r="B10" s="9">
        <v>9</v>
      </c>
      <c r="C10" s="8" t="s">
        <v>221</v>
      </c>
      <c r="D10" s="8"/>
    </row>
    <row r="11" spans="1:7">
      <c r="A11" s="6" t="s">
        <v>230</v>
      </c>
      <c r="B11" s="9">
        <v>10</v>
      </c>
      <c r="C11" s="8" t="s">
        <v>224</v>
      </c>
      <c r="D11" s="8"/>
    </row>
    <row r="12" spans="1:7">
      <c r="A12" s="6" t="s">
        <v>231</v>
      </c>
      <c r="B12" s="9">
        <v>11</v>
      </c>
      <c r="C12" s="8" t="s">
        <v>221</v>
      </c>
      <c r="D12" s="8"/>
    </row>
    <row r="13" spans="1:7">
      <c r="A13" s="6" t="s">
        <v>231</v>
      </c>
      <c r="B13" s="9">
        <v>12</v>
      </c>
      <c r="C13" s="8" t="s">
        <v>224</v>
      </c>
      <c r="D13" s="8"/>
    </row>
    <row r="14" spans="1:7">
      <c r="A14" s="6" t="s">
        <v>231</v>
      </c>
      <c r="B14" s="9">
        <v>13</v>
      </c>
      <c r="C14" s="8" t="s">
        <v>221</v>
      </c>
      <c r="D14" s="8"/>
    </row>
    <row r="15" spans="1:7">
      <c r="A15" s="6" t="s">
        <v>231</v>
      </c>
      <c r="B15" s="9">
        <v>14</v>
      </c>
      <c r="C15" s="8" t="s">
        <v>224</v>
      </c>
      <c r="D15" s="8"/>
    </row>
    <row r="16" spans="1:7">
      <c r="A16" s="6" t="s">
        <v>230</v>
      </c>
      <c r="B16" s="9">
        <v>15</v>
      </c>
      <c r="C16" s="8" t="s">
        <v>221</v>
      </c>
      <c r="D16" s="455" t="s">
        <v>534</v>
      </c>
    </row>
    <row r="17" spans="1:4">
      <c r="A17" s="6" t="s">
        <v>231</v>
      </c>
      <c r="B17" s="9">
        <v>15</v>
      </c>
      <c r="C17" s="8" t="s">
        <v>221</v>
      </c>
      <c r="D17" s="456"/>
    </row>
    <row r="18" spans="1:4">
      <c r="A18" s="6" t="s">
        <v>230</v>
      </c>
      <c r="B18" s="9">
        <v>16</v>
      </c>
      <c r="C18" s="8" t="s">
        <v>224</v>
      </c>
      <c r="D18" s="455" t="s">
        <v>535</v>
      </c>
    </row>
    <row r="19" spans="1:4">
      <c r="A19" s="6" t="s">
        <v>231</v>
      </c>
      <c r="B19" s="9">
        <v>16</v>
      </c>
      <c r="C19" s="8" t="s">
        <v>224</v>
      </c>
      <c r="D19" s="456"/>
    </row>
    <row r="20" spans="1:4">
      <c r="A20" s="7" t="s">
        <v>236</v>
      </c>
      <c r="B20" s="9">
        <v>17</v>
      </c>
      <c r="C20" s="8" t="s">
        <v>237</v>
      </c>
      <c r="D20" s="8"/>
    </row>
  </sheetData>
  <autoFilter ref="A1:D1" xr:uid="{8A3EE34E-164F-4DBA-9301-0F5767429203}"/>
  <sortState xmlns:xlrd2="http://schemas.microsoft.com/office/spreadsheetml/2017/richdata2" ref="A2:D20">
    <sortCondition ref="B2:B20"/>
    <sortCondition ref="A2:A20"/>
  </sortState>
  <mergeCells count="2">
    <mergeCell ref="D16:D17"/>
    <mergeCell ref="D18:D19"/>
  </mergeCell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42E7-5E95-4C25-B927-6757F04AF1EB}">
  <sheetPr>
    <tabColor theme="7"/>
  </sheetPr>
  <dimension ref="A1:E35"/>
  <sheetViews>
    <sheetView topLeftCell="A12" workbookViewId="0">
      <selection activeCell="B42" sqref="B42"/>
    </sheetView>
  </sheetViews>
  <sheetFormatPr defaultRowHeight="15"/>
  <cols>
    <col min="1" max="1" width="35.42578125" bestFit="1" customWidth="1"/>
    <col min="2" max="2" width="12.28515625" customWidth="1"/>
    <col min="5" max="5" width="20.85546875" customWidth="1"/>
    <col min="6" max="6" width="11.85546875" bestFit="1" customWidth="1"/>
    <col min="7" max="7" width="11.7109375" customWidth="1"/>
  </cols>
  <sheetData>
    <row r="1" spans="1:5">
      <c r="A1" s="457" t="s">
        <v>536</v>
      </c>
      <c r="B1" s="457"/>
      <c r="C1" s="457"/>
      <c r="D1" s="457"/>
      <c r="E1" s="457"/>
    </row>
    <row r="2" spans="1:5" ht="38.450000000000003" customHeight="1">
      <c r="A2" s="458" t="s">
        <v>537</v>
      </c>
      <c r="B2" s="458"/>
    </row>
    <row r="4" spans="1:5" ht="30">
      <c r="A4" s="16" t="s">
        <v>58</v>
      </c>
      <c r="B4" s="18" t="s">
        <v>538</v>
      </c>
    </row>
    <row r="5" spans="1:5">
      <c r="A5" t="s">
        <v>263</v>
      </c>
      <c r="B5" t="s">
        <v>539</v>
      </c>
    </row>
    <row r="6" spans="1:5">
      <c r="A6" t="s">
        <v>267</v>
      </c>
      <c r="B6" t="s">
        <v>540</v>
      </c>
    </row>
    <row r="7" spans="1:5">
      <c r="A7" t="s">
        <v>271</v>
      </c>
      <c r="B7" t="s">
        <v>541</v>
      </c>
    </row>
    <row r="8" spans="1:5">
      <c r="A8" t="s">
        <v>276</v>
      </c>
      <c r="B8" t="s">
        <v>542</v>
      </c>
    </row>
    <row r="9" spans="1:5">
      <c r="A9" t="s">
        <v>281</v>
      </c>
      <c r="B9" t="s">
        <v>543</v>
      </c>
    </row>
    <row r="11" spans="1:5">
      <c r="A11" s="16" t="s">
        <v>544</v>
      </c>
      <c r="B11" s="16" t="s">
        <v>545</v>
      </c>
    </row>
    <row r="12" spans="1:5" ht="60">
      <c r="A12" s="17" t="s">
        <v>546</v>
      </c>
      <c r="B12" s="28" t="s">
        <v>303</v>
      </c>
    </row>
    <row r="14" spans="1:5">
      <c r="A14" s="18" t="s">
        <v>547</v>
      </c>
      <c r="B14" s="18" t="s">
        <v>545</v>
      </c>
    </row>
    <row r="15" spans="1:5">
      <c r="A15" t="s">
        <v>548</v>
      </c>
      <c r="B15" s="30" t="s">
        <v>549</v>
      </c>
    </row>
    <row r="16" spans="1:5">
      <c r="B16" s="30" t="s">
        <v>550</v>
      </c>
    </row>
    <row r="17" spans="1:5">
      <c r="B17" s="30" t="s">
        <v>551</v>
      </c>
    </row>
    <row r="18" spans="1:5">
      <c r="B18" s="30" t="s">
        <v>552</v>
      </c>
    </row>
    <row r="19" spans="1:5">
      <c r="B19" s="19" t="s">
        <v>553</v>
      </c>
    </row>
    <row r="20" spans="1:5">
      <c r="A20" s="31" t="s">
        <v>554</v>
      </c>
      <c r="B20" s="31"/>
      <c r="C20" s="31"/>
      <c r="D20" s="31"/>
      <c r="E20" s="31"/>
    </row>
    <row r="21" spans="1:5">
      <c r="E21" s="29" t="s">
        <v>555</v>
      </c>
    </row>
    <row r="22" spans="1:5" ht="30">
      <c r="A22" s="18" t="s">
        <v>556</v>
      </c>
      <c r="B22" s="18" t="s">
        <v>544</v>
      </c>
      <c r="C22" s="18" t="s">
        <v>557</v>
      </c>
      <c r="D22" s="18" t="s">
        <v>558</v>
      </c>
      <c r="E22" s="16" t="s">
        <v>559</v>
      </c>
    </row>
    <row r="23" spans="1:5">
      <c r="A23" s="32" t="s">
        <v>539</v>
      </c>
      <c r="B23" s="33" t="s">
        <v>304</v>
      </c>
      <c r="C23" s="33" t="s">
        <v>560</v>
      </c>
      <c r="D23" s="34" t="s">
        <v>549</v>
      </c>
      <c r="E23" s="35" t="str">
        <f>A23&amp;B23&amp;C23&amp;D23</f>
        <v>NORCC18-01</v>
      </c>
    </row>
    <row r="24" spans="1:5">
      <c r="A24" s="36" t="s">
        <v>539</v>
      </c>
      <c r="B24" t="s">
        <v>304</v>
      </c>
      <c r="C24" t="s">
        <v>560</v>
      </c>
      <c r="D24" s="37" t="s">
        <v>550</v>
      </c>
      <c r="E24" s="38" t="str">
        <f t="shared" ref="E24:E30" si="0">A24&amp;B24&amp;C24&amp;D24</f>
        <v>NORCC18-02</v>
      </c>
    </row>
    <row r="25" spans="1:5">
      <c r="A25" s="36" t="s">
        <v>539</v>
      </c>
      <c r="B25" t="s">
        <v>304</v>
      </c>
      <c r="C25" t="s">
        <v>560</v>
      </c>
      <c r="D25" s="37" t="s">
        <v>551</v>
      </c>
      <c r="E25" s="38" t="str">
        <f t="shared" si="0"/>
        <v>NORCC18-03</v>
      </c>
    </row>
    <row r="26" spans="1:5">
      <c r="A26" s="39" t="s">
        <v>539</v>
      </c>
      <c r="B26" s="40" t="s">
        <v>304</v>
      </c>
      <c r="C26" s="40" t="s">
        <v>560</v>
      </c>
      <c r="D26" s="41" t="s">
        <v>552</v>
      </c>
      <c r="E26" s="42" t="str">
        <f t="shared" si="0"/>
        <v>NORCC18-04</v>
      </c>
    </row>
    <row r="27" spans="1:5">
      <c r="A27" s="32" t="s">
        <v>539</v>
      </c>
      <c r="B27" s="33" t="s">
        <v>305</v>
      </c>
      <c r="C27" s="33" t="s">
        <v>560</v>
      </c>
      <c r="D27" s="34" t="s">
        <v>549</v>
      </c>
      <c r="E27" s="35" t="str">
        <f t="shared" si="0"/>
        <v>NORCC19-01</v>
      </c>
    </row>
    <row r="28" spans="1:5">
      <c r="A28" s="36" t="s">
        <v>539</v>
      </c>
      <c r="B28" t="s">
        <v>305</v>
      </c>
      <c r="C28" t="s">
        <v>560</v>
      </c>
      <c r="D28" s="37" t="s">
        <v>550</v>
      </c>
      <c r="E28" s="38" t="str">
        <f t="shared" si="0"/>
        <v>NORCC19-02</v>
      </c>
    </row>
    <row r="29" spans="1:5">
      <c r="A29" s="39" t="s">
        <v>539</v>
      </c>
      <c r="B29" s="40" t="s">
        <v>305</v>
      </c>
      <c r="C29" s="40" t="s">
        <v>560</v>
      </c>
      <c r="D29" s="41" t="s">
        <v>551</v>
      </c>
      <c r="E29" s="42" t="str">
        <f t="shared" si="0"/>
        <v>NORCC19-03</v>
      </c>
    </row>
    <row r="30" spans="1:5">
      <c r="E30" t="str">
        <f t="shared" si="0"/>
        <v/>
      </c>
    </row>
    <row r="32" spans="1:5">
      <c r="A32" s="18" t="s">
        <v>561</v>
      </c>
      <c r="B32" s="18" t="s">
        <v>545</v>
      </c>
    </row>
    <row r="33" spans="1:2">
      <c r="A33" t="s">
        <v>562</v>
      </c>
      <c r="B33" t="s">
        <v>563</v>
      </c>
    </row>
    <row r="34" spans="1:2">
      <c r="A34" t="s">
        <v>564</v>
      </c>
      <c r="B34" t="s">
        <v>565</v>
      </c>
    </row>
    <row r="35" spans="1:2">
      <c r="A35" t="s">
        <v>566</v>
      </c>
      <c r="B35" t="s">
        <v>567</v>
      </c>
    </row>
  </sheetData>
  <mergeCells count="2">
    <mergeCell ref="A1:E1"/>
    <mergeCell ref="A2:B2"/>
  </mergeCells>
  <phoneticPr fontId="16"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4578AC3D3DEC549B6FFCC2E9BFDADC8" ma:contentTypeVersion="3" ma:contentTypeDescription="Create a new document." ma:contentTypeScope="" ma:versionID="7db716931b44523b83fdb86e37de8f89">
  <xsd:schema xmlns:xsd="http://www.w3.org/2001/XMLSchema" xmlns:xs="http://www.w3.org/2001/XMLSchema" xmlns:p="http://schemas.microsoft.com/office/2006/metadata/properties" xmlns:ns2="eb4baca8-be6a-4e17-9f38-7addfaa83600" targetNamespace="http://schemas.microsoft.com/office/2006/metadata/properties" ma:root="true" ma:fieldsID="239407396385dd0208b57a824291e4f9" ns2:_="">
    <xsd:import namespace="eb4baca8-be6a-4e17-9f38-7addfaa8360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baca8-be6a-4e17-9f38-7addfaa836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60D119-B990-4769-A94B-0A3A744E8A7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C19661E-A740-4BFC-A2AE-D5096C4128C1}">
  <ds:schemaRefs>
    <ds:schemaRef ds:uri="http://schemas.microsoft.com/sharepoint/v3/contenttype/forms"/>
  </ds:schemaRefs>
</ds:datastoreItem>
</file>

<file path=customXml/itemProps3.xml><?xml version="1.0" encoding="utf-8"?>
<ds:datastoreItem xmlns:ds="http://schemas.openxmlformats.org/officeDocument/2006/customXml" ds:itemID="{4E4FA650-D842-443D-8760-347DDC6127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4baca8-be6a-4e17-9f38-7addfaa836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22</vt:i4>
      </vt:variant>
    </vt:vector>
  </HeadingPairs>
  <TitlesOfParts>
    <vt:vector size="30" baseType="lpstr">
      <vt:lpstr>Instruction Sheet</vt:lpstr>
      <vt:lpstr>Template -Matrix Archive</vt:lpstr>
      <vt:lpstr>Lookup</vt:lpstr>
      <vt:lpstr>CREW EXPIRY DATES</vt:lpstr>
      <vt:lpstr>Template</vt:lpstr>
      <vt:lpstr>Template - Matrix</vt:lpstr>
      <vt:lpstr>Position Reference</vt:lpstr>
      <vt:lpstr>ID# Convention</vt:lpstr>
      <vt:lpstr>Category</vt:lpstr>
      <vt:lpstr>'Template -Matrix Archive'!M_1</vt:lpstr>
      <vt:lpstr>'Template -Matrix Archive'!M_2</vt:lpstr>
      <vt:lpstr>'Template -Matrix Archive'!M_3</vt:lpstr>
      <vt:lpstr>'Template -Matrix Archive'!M_4</vt:lpstr>
      <vt:lpstr>'Template -Matrix Archive'!M_5</vt:lpstr>
      <vt:lpstr>'Template -Matrix Archive'!M_6</vt:lpstr>
      <vt:lpstr>'Template -Matrix Archive'!M_7</vt:lpstr>
      <vt:lpstr>Name</vt:lpstr>
      <vt:lpstr>PartnershipList</vt:lpstr>
      <vt:lpstr>PositionList</vt:lpstr>
      <vt:lpstr>'CREW EXPIRY DATES'!Print_Area</vt:lpstr>
      <vt:lpstr>Template!Print_Area</vt:lpstr>
      <vt:lpstr>'Template - Matrix'!Print_Area</vt:lpstr>
      <vt:lpstr>'Template -Matrix Archive'!Print_Area</vt:lpstr>
      <vt:lpstr>Reference</vt:lpstr>
      <vt:lpstr>SamNo</vt:lpstr>
      <vt:lpstr>Shift</vt:lpstr>
      <vt:lpstr>Status</vt:lpstr>
      <vt:lpstr>TMItem</vt:lpstr>
      <vt:lpstr>Type</vt:lpstr>
      <vt:lpstr>Vessel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Jacquilyn Brittain</dc:creator>
  <cp:keywords/>
  <dc:description/>
  <cp:lastModifiedBy>Matthew Jones</cp:lastModifiedBy>
  <cp:revision/>
  <dcterms:created xsi:type="dcterms:W3CDTF">2026-02-11T07:25:26Z</dcterms:created>
  <dcterms:modified xsi:type="dcterms:W3CDTF">2026-08-08T14:57:13Z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0x01010054578AC3D3DEC549B6FFCC2E9BFDADC8</vt:lpwstr>
  </property>
  <property fmtid="{D5CDD505-2E9C-101B-9397-08002B2CF9AE}" pid="3" name="MediaServiceImageTags">
    <vt:lpwstr/>
  </property>
  <property fmtid="{D5CDD505-2E9C-101B-9397-08002B2CF9AE}" pid="4" name="lcf76f155ced4ddcb4097134ff3c332f">
    <vt:lpwstr/>
  </property>
  <property fmtid="{D5CDD505-2E9C-101B-9397-08002B2CF9AE}" pid="5" name="TaxCatchAll">
    <vt:lpwstr/>
  </property>
  <property fmtid="{D5CDD505-2E9C-101B-9397-08002B2CF9AE}" pid="6" name="Order">
    <vt:r8>415100</vt:r8>
  </property>
  <property fmtid="{D5CDD505-2E9C-101B-9397-08002B2CF9AE}" pid="7" name="xd_Signature">
    <vt:bool>false</vt:bool>
  </property>
  <property fmtid="{D5CDD505-2E9C-101B-9397-08002B2CF9AE}" pid="8" name="xd_ProgID">
    <vt:lpwstr/>
  </property>
  <property fmtid="{D5CDD505-2E9C-101B-9397-08002B2CF9AE}" pid="9" name="TriggerFlowInfo">
    <vt:lpwstr/>
  </property>
  <property fmtid="{D5CDD505-2E9C-101B-9397-08002B2CF9AE}" pid="10" name="_SourceUrl">
    <vt:lpwstr/>
  </property>
  <property fmtid="{D5CDD505-2E9C-101B-9397-08002B2CF9AE}" pid="11" name="_SharedFileIndex">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ies>
</file>